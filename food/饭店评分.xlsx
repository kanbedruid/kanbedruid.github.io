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LW\Downloads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<sst xmlns="http://schemas.openxmlformats.org/spreadsheetml/2006/main" count="6358" uniqueCount="1958">
  <si>
    <t>年份</t>
  </si>
  <si>
    <t>排名</t>
  </si>
  <si>
    <t>总评</t>
  </si>
  <si>
    <t>饭店名</t>
  </si>
  <si>
    <t>口味</t>
  </si>
  <si>
    <t>服务</t>
  </si>
  <si>
    <t>环境</t>
  </si>
  <si>
    <t>位置</t>
  </si>
  <si>
    <t>类别</t>
  </si>
  <si>
    <t>单人价位/元</t>
  </si>
  <si>
    <t>特别好吃的东西</t>
  </si>
  <si>
    <t>中位价</t>
  </si>
  <si>
    <t>加权分</t>
  </si>
  <si>
    <t>期望分</t>
  </si>
  <si>
    <t>差值</t>
  </si>
  <si>
    <t>性价比补正</t>
  </si>
  <si>
    <t>淮扬府</t>
  </si>
  <si>
    <t>北京</t>
  </si>
  <si>
    <t>苏菜</t>
  </si>
  <si>
    <t>150-300</t>
  </si>
  <si>
    <t>葱油白切鸡</t>
  </si>
  <si>
    <t>山城老堂口</t>
  </si>
  <si>
    <t>重庆</t>
  </si>
  <si>
    <t>川菜</t>
  </si>
  <si>
    <t>60-90</t>
  </si>
  <si>
    <t>歌乐山辣子鸡</t>
  </si>
  <si>
    <t>小段牛肉汤</t>
  </si>
  <si>
    <t>淮南</t>
  </si>
  <si>
    <t>中式快餐</t>
  </si>
  <si>
    <t>10-20</t>
  </si>
  <si>
    <t>牛肉汤</t>
  </si>
  <si>
    <t>麺匠 たか松</t>
  </si>
  <si>
    <t>日本-京都</t>
  </si>
  <si>
    <t>日式快餐</t>
  </si>
  <si>
    <t>40-80</t>
  </si>
  <si>
    <t>荞麦蘸面</t>
  </si>
  <si>
    <t>豚吞拉面</t>
  </si>
  <si>
    <t>合肥</t>
  </si>
  <si>
    <t>30-60</t>
  </si>
  <si>
    <t>淡雪豚骨拉面</t>
  </si>
  <si>
    <t>新荣记</t>
  </si>
  <si>
    <t>全国</t>
  </si>
  <si>
    <t>浙菜</t>
  </si>
  <si>
    <t>1000+</t>
  </si>
  <si>
    <t>家烧东海黄鱼，沙蒜豆面</t>
  </si>
  <si>
    <t>お肉ダイニングきく</t>
  </si>
  <si>
    <t>日本-宇治</t>
  </si>
  <si>
    <t>咖喱饭，烤肉</t>
  </si>
  <si>
    <t>近江かね安</t>
  </si>
  <si>
    <t>日本-滋贺</t>
  </si>
  <si>
    <t>烤肉</t>
  </si>
  <si>
    <t>100-300</t>
  </si>
  <si>
    <t>牛丼</t>
  </si>
  <si>
    <t>大头虾越式风味餐厅</t>
  </si>
  <si>
    <t>广州</t>
  </si>
  <si>
    <t>越南菜</t>
  </si>
  <si>
    <t>越南河粉，咖喱牛腩</t>
  </si>
  <si>
    <t>呆梨deli&amp;bistro</t>
  </si>
  <si>
    <t>融合西餐</t>
  </si>
  <si>
    <t>100-200</t>
  </si>
  <si>
    <t>拉美风味三文鱼，牧羊人派</t>
  </si>
  <si>
    <t>Hanako 夏逸法甜</t>
  </si>
  <si>
    <t>江门</t>
  </si>
  <si>
    <t>甜品</t>
  </si>
  <si>
    <t>蓝莓挞</t>
  </si>
  <si>
    <t>早稻田三品食堂</t>
  </si>
  <si>
    <t>日本-东京</t>
  </si>
  <si>
    <t>银座 篝</t>
  </si>
  <si>
    <t>鸡肉叉烧黄油饭</t>
  </si>
  <si>
    <t>马房湾66号</t>
  </si>
  <si>
    <t>尖椒鸡，油渣莲白</t>
  </si>
  <si>
    <t>鲁采</t>
  </si>
  <si>
    <t>鲁菜</t>
  </si>
  <si>
    <t>300-900</t>
  </si>
  <si>
    <t>沂蒙跑山鸡</t>
  </si>
  <si>
    <t>泉记小食店</t>
  </si>
  <si>
    <t>东莞</t>
  </si>
  <si>
    <t>5-20</t>
  </si>
  <si>
    <t>滑蛋牛肉伊面</t>
  </si>
  <si>
    <t>中村商店</t>
  </si>
  <si>
    <t>浓厚鸡白汤拉面</t>
  </si>
  <si>
    <t>永恒小食店</t>
  </si>
  <si>
    <t>肠粉</t>
  </si>
  <si>
    <t>麺屋匠</t>
  </si>
  <si>
    <t>日本-冈山</t>
  </si>
  <si>
    <t>匠拉面</t>
  </si>
  <si>
    <t>容边排骨饭</t>
  </si>
  <si>
    <t>佛山-顺德</t>
  </si>
  <si>
    <t>20-40</t>
  </si>
  <si>
    <t>排骨饭</t>
  </si>
  <si>
    <t>严氏重油烧麦</t>
  </si>
  <si>
    <t>武汉</t>
  </si>
  <si>
    <t>重油烧麦</t>
  </si>
  <si>
    <t>神户牛丼 广重</t>
  </si>
  <si>
    <t>日本-神户</t>
  </si>
  <si>
    <t>神户牛丼</t>
  </si>
  <si>
    <t>食尚居 窝篮拉肠</t>
  </si>
  <si>
    <t>窝篮肠粉</t>
  </si>
  <si>
    <t>鼎膳·匠宴</t>
  </si>
  <si>
    <t>苏州</t>
  </si>
  <si>
    <t>十只蟹炒软饭</t>
  </si>
  <si>
    <t>金香河口肠粉</t>
  </si>
  <si>
    <t>云浮</t>
  </si>
  <si>
    <t>泮溪酒家</t>
  </si>
  <si>
    <t>粤菜</t>
  </si>
  <si>
    <t>60-150</t>
  </si>
  <si>
    <t>早茶</t>
  </si>
  <si>
    <t>SHIRAHAMA KEY NOODLE</t>
  </si>
  <si>
    <t>日本-和歌山</t>
  </si>
  <si>
    <t>鲷鱼担担面</t>
  </si>
  <si>
    <t>南信牛奶甜品专家</t>
  </si>
  <si>
    <t>椰汁马蹄爽</t>
  </si>
  <si>
    <t>鶏soba 座銀</t>
  </si>
  <si>
    <t>日本-大阪</t>
  </si>
  <si>
    <t>鸡汤蘸面</t>
  </si>
  <si>
    <t>润拉面</t>
  </si>
  <si>
    <t>佛山</t>
  </si>
  <si>
    <t>鸡白汤拉面</t>
  </si>
  <si>
    <t>主席楼</t>
  </si>
  <si>
    <t>深圳</t>
  </si>
  <si>
    <t>黯然销魂炒饭，失传的白切鸡</t>
  </si>
  <si>
    <t>香格里拉·江南灶</t>
  </si>
  <si>
    <t>南京</t>
  </si>
  <si>
    <t>200-300</t>
  </si>
  <si>
    <t>扬州炒饭</t>
  </si>
  <si>
    <t>荣记拉肠</t>
  </si>
  <si>
    <t>肠粉，梅州腌面</t>
  </si>
  <si>
    <t>Lumiere - 卢米汉堡</t>
  </si>
  <si>
    <t>西式快餐</t>
  </si>
  <si>
    <t>汉堡</t>
  </si>
  <si>
    <t>踊るうどん</t>
  </si>
  <si>
    <t>肉舞茸冷乌冬</t>
  </si>
  <si>
    <t>吉时制面</t>
  </si>
  <si>
    <t>二郎拉面</t>
  </si>
  <si>
    <t>得润牛庄</t>
  </si>
  <si>
    <t>清远</t>
  </si>
  <si>
    <t>Nova Pequim 知味</t>
  </si>
  <si>
    <t>葡萄牙-里斯本</t>
  </si>
  <si>
    <t>尖椒鸡，家常豆腐</t>
  </si>
  <si>
    <t>大大粒 · 手工饺子</t>
  </si>
  <si>
    <t>10-30</t>
  </si>
  <si>
    <t>饺子</t>
  </si>
  <si>
    <t>寡妇面</t>
  </si>
  <si>
    <t>内江</t>
  </si>
  <si>
    <t>牛肉面</t>
  </si>
  <si>
    <t>强记河口肠粉</t>
  </si>
  <si>
    <t>つけ麺ともやま</t>
  </si>
  <si>
    <t>雍苑食府</t>
  </si>
  <si>
    <t>80-150</t>
  </si>
  <si>
    <t>麵屋 三重滝</t>
  </si>
  <si>
    <t>辣味噌鸡白汤拉面</t>
  </si>
  <si>
    <t>ビフテキのカワムラ</t>
  </si>
  <si>
    <t>牛排</t>
  </si>
  <si>
    <t>AJANTA</t>
  </si>
  <si>
    <t>印度菜</t>
  </si>
  <si>
    <t>咖喱</t>
  </si>
  <si>
    <t>民记煲仔饭</t>
  </si>
  <si>
    <t>香菇滑鸡荷叶饭</t>
  </si>
  <si>
    <t>浪速 鮨波留加</t>
  </si>
  <si>
    <t>日料</t>
  </si>
  <si>
    <t>寿司</t>
  </si>
  <si>
    <t>牛展</t>
  </si>
  <si>
    <t>煲仔饭</t>
  </si>
  <si>
    <t>福生门牛肉面</t>
  </si>
  <si>
    <t xml:space="preserve">モーリヤ </t>
  </si>
  <si>
    <t>陈麻婆豆腐</t>
  </si>
  <si>
    <t>成都</t>
  </si>
  <si>
    <t>水煮鱼</t>
  </si>
  <si>
    <t>潮上潮</t>
  </si>
  <si>
    <t>潮州冻马友鱼饭</t>
  </si>
  <si>
    <t>博多舍乐</t>
  </si>
  <si>
    <t>蘸面</t>
  </si>
  <si>
    <t>千代鮨</t>
  </si>
  <si>
    <t>日本-新泻</t>
  </si>
  <si>
    <t>Café Gula Huset</t>
  </si>
  <si>
    <t>瑞典-维斯比</t>
  </si>
  <si>
    <t>藏红花面包卷，苹果蛋糕</t>
  </si>
  <si>
    <t>炖鸡面</t>
  </si>
  <si>
    <t>宜宾</t>
  </si>
  <si>
    <t>炖鸡面，叶儿粑</t>
  </si>
  <si>
    <t>山下元气</t>
  </si>
  <si>
    <t>香料咖喱饭</t>
  </si>
  <si>
    <t>潮发潮汕牛肉店</t>
  </si>
  <si>
    <t>火锅</t>
  </si>
  <si>
    <t>面屋一灯</t>
  </si>
  <si>
    <t xml:space="preserve">40-80 </t>
  </si>
  <si>
    <t>芳醇香味面</t>
  </si>
  <si>
    <t>黄三面馆</t>
  </si>
  <si>
    <t>金沙厅</t>
  </si>
  <si>
    <t>杭州</t>
  </si>
  <si>
    <t>咸菜，宋嫂鱼羹</t>
  </si>
  <si>
    <t>あかちゃ家</t>
  </si>
  <si>
    <t>骏犇潮州兄弟牛肉火锅</t>
  </si>
  <si>
    <t>六道炒包子</t>
  </si>
  <si>
    <t>牛肉包</t>
  </si>
  <si>
    <t>我妈做菜（参考）</t>
  </si>
  <si>
    <t>（在家）</t>
  </si>
  <si>
    <t>私房菜</t>
  </si>
  <si>
    <t>20-100</t>
  </si>
  <si>
    <t>智强牛肉面</t>
  </si>
  <si>
    <t>一升びん</t>
  </si>
  <si>
    <t>日本-三重</t>
  </si>
  <si>
    <t>真打拉面</t>
  </si>
  <si>
    <t>泡泡鸡白汤拉面</t>
  </si>
  <si>
    <t>京流 · 现熬豚骨拉面</t>
  </si>
  <si>
    <t>老家面馆</t>
  </si>
  <si>
    <t>招牌笋干面</t>
  </si>
  <si>
    <t>香江饭店</t>
  </si>
  <si>
    <t>白切鸡</t>
  </si>
  <si>
    <t>莲姐肠粉店</t>
  </si>
  <si>
    <t>泰州宾馆</t>
  </si>
  <si>
    <t>泰州</t>
  </si>
  <si>
    <t>野菜小馄饨</t>
  </si>
  <si>
    <t>歌志轩</t>
  </si>
  <si>
    <t>容边车仔水牛奶</t>
  </si>
  <si>
    <t>双皮奶</t>
  </si>
  <si>
    <t>红星光发煲仔饭</t>
  </si>
  <si>
    <t xml:space="preserve">一味禅 </t>
  </si>
  <si>
    <t>天丼</t>
  </si>
  <si>
    <t>Gotland Smash</t>
  </si>
  <si>
    <t>金牌汉堡，黑松露汉堡</t>
  </si>
  <si>
    <t>麺屋 蝉</t>
  </si>
  <si>
    <t>竹院牛庄</t>
  </si>
  <si>
    <t>桑拿鸡</t>
  </si>
  <si>
    <t>宁发石磨拉肠</t>
  </si>
  <si>
    <t>麦禾小馆</t>
  </si>
  <si>
    <t>新财记庄园</t>
  </si>
  <si>
    <t>陈皮灌汤包</t>
  </si>
  <si>
    <t>佬麻雀</t>
  </si>
  <si>
    <t>湘菜</t>
  </si>
  <si>
    <t>永乐竹篙粉</t>
  </si>
  <si>
    <t>肇庆</t>
  </si>
  <si>
    <t>华福五宝面</t>
  </si>
  <si>
    <t>超级牛腩面</t>
  </si>
  <si>
    <t>胶己人黄牛肉</t>
  </si>
  <si>
    <t>沙茶粿</t>
  </si>
  <si>
    <t>快活林食家</t>
  </si>
  <si>
    <t>纸包鸡</t>
  </si>
  <si>
    <t>Elba 欧尔巴意大利餐厅</t>
  </si>
  <si>
    <t>意大利菜</t>
  </si>
  <si>
    <t>厚切りとんかつ よし平</t>
  </si>
  <si>
    <t>炸鱼饭</t>
  </si>
  <si>
    <t>一品香牛肉面</t>
  </si>
  <si>
    <t>Two Sizes</t>
  </si>
  <si>
    <t>意大利-罗马</t>
  </si>
  <si>
    <t>提拉米苏</t>
  </si>
  <si>
    <t>啫八</t>
  </si>
  <si>
    <t>青花椒啫笋壳鱼</t>
  </si>
  <si>
    <t>珍珍小食店</t>
  </si>
  <si>
    <t>啫啫牛腩粉</t>
  </si>
  <si>
    <t>林双勤三鲜豆皮</t>
  </si>
  <si>
    <t>牛肉豆皮</t>
  </si>
  <si>
    <t>肥叔锅贴</t>
  </si>
  <si>
    <t>沙汤，锅贴</t>
  </si>
  <si>
    <t>老簋北京羊蝎子铜锅涮肉</t>
  </si>
  <si>
    <t>羊蝎子</t>
  </si>
  <si>
    <t>中華そば カドヤ食堂</t>
  </si>
  <si>
    <t>德庆云吞 · 竹篙粉</t>
  </si>
  <si>
    <t>大运牛腩云吞</t>
  </si>
  <si>
    <t>芳叔</t>
  </si>
  <si>
    <t>蛋挞</t>
  </si>
  <si>
    <t>筠连水粉</t>
  </si>
  <si>
    <t>水粉</t>
  </si>
  <si>
    <t>伊祥·敦煌楼</t>
  </si>
  <si>
    <t>上海</t>
  </si>
  <si>
    <t>西北菜</t>
  </si>
  <si>
    <t>魏家凉皮 / 魏斯理汉堡</t>
  </si>
  <si>
    <t>汉堡，披萨</t>
  </si>
  <si>
    <t>知味鲜小刀面</t>
  </si>
  <si>
    <t>小刀面</t>
  </si>
  <si>
    <t>昊来了寿司</t>
  </si>
  <si>
    <t>皮蛋三文鱼寿司</t>
  </si>
  <si>
    <t>中渡口面王</t>
  </si>
  <si>
    <t>口蘑汤</t>
  </si>
  <si>
    <t>仓桥家</t>
  </si>
  <si>
    <t>和风泡菜牛肉锅，芝士豆腐</t>
  </si>
  <si>
    <t>定兴路蛋饼摊</t>
  </si>
  <si>
    <t>蛋饼</t>
  </si>
  <si>
    <t>苏稽周村纤夫跷脚牛肉</t>
  </si>
  <si>
    <t>乐山</t>
  </si>
  <si>
    <t>鲁哥饭店</t>
  </si>
  <si>
    <t>长沙</t>
  </si>
  <si>
    <t>咸蛋黄茄子</t>
  </si>
  <si>
    <t>大董</t>
  </si>
  <si>
    <t>北京菜</t>
  </si>
  <si>
    <t>三国亭</t>
  </si>
  <si>
    <t>番禺沙湾甜品</t>
  </si>
  <si>
    <t>粥旺庄</t>
  </si>
  <si>
    <t>文记壹心鸡</t>
  </si>
  <si>
    <t>一心鸡</t>
  </si>
  <si>
    <t>Raw Gelato</t>
  </si>
  <si>
    <t>迪拜巧克力 Gelato</t>
  </si>
  <si>
    <t>PATISSERIE TOOTH TOOTH</t>
  </si>
  <si>
    <t>蛋糕</t>
  </si>
  <si>
    <t>椰奶奶</t>
  </si>
  <si>
    <t>花湾甜品</t>
  </si>
  <si>
    <t>海汇源老烧麦店</t>
  </si>
  <si>
    <t>香菇烧麦</t>
  </si>
  <si>
    <t>顺华面店</t>
  </si>
  <si>
    <t>GEROGERO BUTTER STAND</t>
  </si>
  <si>
    <t>日本-岐阜</t>
  </si>
  <si>
    <t>黄油三明治</t>
  </si>
  <si>
    <t>DASOOOO 大手鲜焙</t>
  </si>
  <si>
    <t>武昌重油烧梅</t>
  </si>
  <si>
    <t>灯塔牛排</t>
  </si>
  <si>
    <t>法国菜</t>
  </si>
  <si>
    <t>餐前面包</t>
  </si>
  <si>
    <t>巴月水煮鱼</t>
  </si>
  <si>
    <t>水煮鱼火锅</t>
  </si>
  <si>
    <t>金榜欢记牛乳</t>
  </si>
  <si>
    <t>炸牛奶</t>
  </si>
  <si>
    <t>担担面Enishi</t>
  </si>
  <si>
    <t>担担面</t>
  </si>
  <si>
    <t>嘉鸣扬</t>
  </si>
  <si>
    <t>顺德渔村</t>
  </si>
  <si>
    <t>宜宾招待所</t>
  </si>
  <si>
    <t>酸菜鱼</t>
  </si>
  <si>
    <t>Stone Sal 言盐西餐厅</t>
  </si>
  <si>
    <t>经典芝士蛋糕</t>
  </si>
  <si>
    <t>德云居</t>
  </si>
  <si>
    <t>源兴客家盐焗店</t>
  </si>
  <si>
    <t>熟食</t>
  </si>
  <si>
    <t>盐焗鸡</t>
  </si>
  <si>
    <t>秋の寿司</t>
  </si>
  <si>
    <t>芝士焗蟹宝</t>
  </si>
  <si>
    <t>眉山宾馆</t>
  </si>
  <si>
    <t>眉山</t>
  </si>
  <si>
    <t>东坡火米羹</t>
  </si>
  <si>
    <t>面屋大河</t>
  </si>
  <si>
    <t>日本-金泽</t>
  </si>
  <si>
    <t>能登牛丼</t>
  </si>
  <si>
    <t>茹意竹升面</t>
  </si>
  <si>
    <t>牛腩捞竹升面</t>
  </si>
  <si>
    <t>百益桑拿鸡</t>
  </si>
  <si>
    <t>陈枝记牛杂</t>
  </si>
  <si>
    <t>牛腩</t>
  </si>
  <si>
    <t>李记清真馆</t>
  </si>
  <si>
    <t>牛肉锅贴，牛肉小笼包</t>
  </si>
  <si>
    <t>华姐清汤腩</t>
  </si>
  <si>
    <t>香港</t>
  </si>
  <si>
    <t>咖喱牛腩粉</t>
  </si>
  <si>
    <t>白色恋人café</t>
  </si>
  <si>
    <t xml:space="preserve">日本-札幌 </t>
  </si>
  <si>
    <t>梯底牛乳铺</t>
  </si>
  <si>
    <t>牛処 慶</t>
  </si>
  <si>
    <t>近江和牛</t>
  </si>
  <si>
    <t>佛山-顺德公饭店</t>
  </si>
  <si>
    <t>澳门</t>
  </si>
  <si>
    <t>佛山-顺德拆鱼羹</t>
  </si>
  <si>
    <t>大中华酒楼</t>
  </si>
  <si>
    <t>湖北菜</t>
  </si>
  <si>
    <t>椒盐大凤爪</t>
  </si>
  <si>
    <t>黔山禧·非遗古法酸汤</t>
  </si>
  <si>
    <t>凯里</t>
  </si>
  <si>
    <t>贵州菜</t>
  </si>
  <si>
    <t>红糖糍粑</t>
  </si>
  <si>
    <t>鼎峰记 · 阳江第壹粉馆</t>
  </si>
  <si>
    <t>猪肠碌</t>
  </si>
  <si>
    <t>明姨仔潮汕美食</t>
  </si>
  <si>
    <t>仓头 永利饭店</t>
  </si>
  <si>
    <t>烧鹅</t>
  </si>
  <si>
    <t>汕头许记八里香牛肉火锅城</t>
  </si>
  <si>
    <t>湿炒牛河</t>
  </si>
  <si>
    <t>洪大量潮汕鲜卤</t>
  </si>
  <si>
    <t>肥肥虾庄</t>
  </si>
  <si>
    <t>金品轩茶楼</t>
  </si>
  <si>
    <t>ガスト</t>
  </si>
  <si>
    <t>日本</t>
  </si>
  <si>
    <t>严老幺酒家</t>
  </si>
  <si>
    <t>雪花甜品店</t>
  </si>
  <si>
    <t>JPG Canteen</t>
  </si>
  <si>
    <t>越南鸡肉治，咖啡</t>
  </si>
  <si>
    <t>丘大 · 恒仔酒家</t>
  </si>
  <si>
    <t>淮南老五牛肉汤</t>
  </si>
  <si>
    <t>鸡鸣汤包</t>
  </si>
  <si>
    <t>周记肠粉世家</t>
  </si>
  <si>
    <t>自立面店</t>
  </si>
  <si>
    <t>荣俊早茶</t>
  </si>
  <si>
    <t>惠州</t>
  </si>
  <si>
    <t>华记农庄</t>
  </si>
  <si>
    <t>永和豆浆</t>
  </si>
  <si>
    <t>姜汁烧鸭饭，小笼汤包</t>
  </si>
  <si>
    <t>滇草香 云南菌汤火锅</t>
  </si>
  <si>
    <t>滇味羊肉</t>
  </si>
  <si>
    <t>しゃぶ菜</t>
  </si>
  <si>
    <t>西大街豆皮大王</t>
  </si>
  <si>
    <t>小杨生煎</t>
  </si>
  <si>
    <t>生煎</t>
  </si>
  <si>
    <t>郑幸越南粉</t>
  </si>
  <si>
    <t>许记炭炉夜猪脚</t>
  </si>
  <si>
    <t>吕氏疙瘩汤</t>
  </si>
  <si>
    <t>大嫂镬仔 · 啫啫煲</t>
  </si>
  <si>
    <t>碧特博格</t>
  </si>
  <si>
    <t>奶油蘑菇汤</t>
  </si>
  <si>
    <t>小梁拉面</t>
  </si>
  <si>
    <t>坚记面食店</t>
  </si>
  <si>
    <t>牛腩伊府面</t>
  </si>
  <si>
    <t>凤城农庄</t>
  </si>
  <si>
    <t>柴火鸡</t>
  </si>
  <si>
    <t>鼎泰丰</t>
  </si>
  <si>
    <t>兴兴化州牛杂</t>
  </si>
  <si>
    <t>惠爱饭店 · 岭南第一鸡</t>
  </si>
  <si>
    <t>费大厨辣椒炒肉</t>
  </si>
  <si>
    <t>正一德庆竹篙粉</t>
  </si>
  <si>
    <t>紫燕百味鸡</t>
  </si>
  <si>
    <t>藤椒鸡</t>
  </si>
  <si>
    <t>吴系粤菜馆</t>
  </si>
  <si>
    <t>重庆麻辣抄手 芳村</t>
  </si>
  <si>
    <t>抄手</t>
  </si>
  <si>
    <t>安德鲁饼店</t>
  </si>
  <si>
    <t>葡挞</t>
  </si>
  <si>
    <t>大墩荣记食店</t>
  </si>
  <si>
    <t>中山</t>
  </si>
  <si>
    <t>西芹炒脆鲩腩花</t>
  </si>
  <si>
    <t>上扬府</t>
  </si>
  <si>
    <t>煮干丝</t>
  </si>
  <si>
    <t>快乐蜂</t>
  </si>
  <si>
    <t>乐脆鸡</t>
  </si>
  <si>
    <t>La Collina Club Harie</t>
  </si>
  <si>
    <t>阿明家·公安牛肉面</t>
  </si>
  <si>
    <t>tortas EL tommy</t>
  </si>
  <si>
    <t>挪威-奥斯陆</t>
  </si>
  <si>
    <t>墨西哥菜</t>
  </si>
  <si>
    <t>塔可</t>
  </si>
  <si>
    <t>新白鹿</t>
  </si>
  <si>
    <t>杭椒爆炒牛肉</t>
  </si>
  <si>
    <t>张家饭店</t>
  </si>
  <si>
    <t>酱爆牛肉</t>
  </si>
  <si>
    <t>张真牛爆椒牛肉面</t>
  </si>
  <si>
    <t>千寻烧肉</t>
  </si>
  <si>
    <t>茶泡饭</t>
  </si>
  <si>
    <t>刘鸿盛名小吃</t>
  </si>
  <si>
    <t>四季美汤包</t>
  </si>
  <si>
    <t>Sankt Hans Café</t>
  </si>
  <si>
    <t>醉食烩·六安土菜馆</t>
  </si>
  <si>
    <t>徽菜</t>
  </si>
  <si>
    <t>清平饭店 · 广州第一鸡</t>
  </si>
  <si>
    <t>麵屋 三重瀑</t>
  </si>
  <si>
    <t>五娭毑臭豆腐</t>
  </si>
  <si>
    <t>臭豆腐</t>
  </si>
  <si>
    <t>弦拉面</t>
  </si>
  <si>
    <t>五十铃茶屋</t>
  </si>
  <si>
    <t>赤福</t>
  </si>
  <si>
    <t xml:space="preserve">Happy Lamb </t>
  </si>
  <si>
    <t>瑞典-斯德哥尔摩</t>
  </si>
  <si>
    <t>苏苏食堂</t>
  </si>
  <si>
    <t>香蘭芷</t>
  </si>
  <si>
    <t>东南亚菜</t>
  </si>
  <si>
    <t>云南晏厨</t>
  </si>
  <si>
    <t>云南菜</t>
  </si>
  <si>
    <t>普通の食堂いわま</t>
  </si>
  <si>
    <t>肉肉大米</t>
  </si>
  <si>
    <t>一兰拉面</t>
  </si>
  <si>
    <t>興德利佛山-顺德茶餐厅</t>
  </si>
  <si>
    <t>卅二公馆</t>
  </si>
  <si>
    <t>鱼汤龙趸粒银丝面</t>
  </si>
  <si>
    <t>德兴馆</t>
  </si>
  <si>
    <t>葱油拌面</t>
  </si>
  <si>
    <t>四川饭店</t>
  </si>
  <si>
    <t>麻婆豆腐</t>
  </si>
  <si>
    <t>知味观</t>
  </si>
  <si>
    <t>蔡澜港式点心</t>
  </si>
  <si>
    <t>万松园金焱 · 牛肉粉大王</t>
  </si>
  <si>
    <t>牛肉粉</t>
  </si>
  <si>
    <t>满满私宴</t>
  </si>
  <si>
    <t>13 FACTORIES 十三行</t>
  </si>
  <si>
    <t>美国菜</t>
  </si>
  <si>
    <t>美国南方粘巴拉呀</t>
  </si>
  <si>
    <t>NOBOJIN</t>
  </si>
  <si>
    <t>日本-北海道</t>
  </si>
  <si>
    <t>特制牛五花肉汤</t>
  </si>
  <si>
    <t>Gero Pudding</t>
  </si>
  <si>
    <t>布丁</t>
  </si>
  <si>
    <t>得盛食府</t>
  </si>
  <si>
    <t>王记生烫牛杂面馆</t>
  </si>
  <si>
    <t>生烫牛肉粉</t>
  </si>
  <si>
    <t>孙氏传承甜品店</t>
  </si>
  <si>
    <t>Ralph's Bar</t>
  </si>
  <si>
    <t>蒙田汉堡</t>
  </si>
  <si>
    <t>卤小念牛肉粉</t>
  </si>
  <si>
    <t>贵阳</t>
  </si>
  <si>
    <t>华记早餐店石磨肠粉</t>
  </si>
  <si>
    <t>金陵汪家馄饨</t>
  </si>
  <si>
    <t>烧饼</t>
  </si>
  <si>
    <t>华棠 佛山-顺德正味</t>
  </si>
  <si>
    <t>万重锦</t>
  </si>
  <si>
    <t>水煮牛肉</t>
  </si>
  <si>
    <t>青年公社</t>
  </si>
  <si>
    <t>三凤桥·三凤酒家</t>
  </si>
  <si>
    <t>无锡</t>
  </si>
  <si>
    <t>香肠咸肉菜饭</t>
  </si>
  <si>
    <t>桐峰源桐坑牛肉店</t>
  </si>
  <si>
    <t>粤顺得 水牛奶皇后</t>
  </si>
  <si>
    <t>味然香</t>
  </si>
  <si>
    <t>兴会佳梅州盐焗店</t>
  </si>
  <si>
    <t>金藏和风 · 家庭料理</t>
  </si>
  <si>
    <t>香竹笼</t>
  </si>
  <si>
    <t>银丝卷</t>
  </si>
  <si>
    <t>榕意 · 自然川味</t>
  </si>
  <si>
    <t>丰和羊庄</t>
  </si>
  <si>
    <t>羊排</t>
  </si>
  <si>
    <t>檀溪付先生襄阳牛肉面</t>
  </si>
  <si>
    <t>华中师大桂香园食堂</t>
  </si>
  <si>
    <t>食堂</t>
  </si>
  <si>
    <t>曼挞格利亚</t>
  </si>
  <si>
    <t>磯揚げ まる天</t>
  </si>
  <si>
    <t>海老天</t>
  </si>
  <si>
    <t>本家 第一旭</t>
  </si>
  <si>
    <t>老字号传统西关牛杂</t>
  </si>
  <si>
    <t>锦余年 · 东莞烧鹅濑粉</t>
  </si>
  <si>
    <t>必胜客</t>
  </si>
  <si>
    <t>莳萝芦笋珍鲑意面</t>
  </si>
  <si>
    <t>半勺</t>
  </si>
  <si>
    <t>中華蕎麦とみ田</t>
  </si>
  <si>
    <t>渔面传奇</t>
  </si>
  <si>
    <t>法国-巴黎</t>
  </si>
  <si>
    <t>荆州杜婆鸡</t>
  </si>
  <si>
    <t>余艳梅拌面世家</t>
  </si>
  <si>
    <t>马旺子</t>
  </si>
  <si>
    <t>鸡豆花</t>
  </si>
  <si>
    <t>耿福兴</t>
  </si>
  <si>
    <t>惠康汤粉店</t>
  </si>
  <si>
    <t>粤 · 向群饭店</t>
  </si>
  <si>
    <t>Schreiber Wurstimbiss</t>
  </si>
  <si>
    <t>德国-法兰克福</t>
  </si>
  <si>
    <t>誉珑轩</t>
  </si>
  <si>
    <t>南京精菜馆</t>
  </si>
  <si>
    <t>盐水鸭</t>
  </si>
  <si>
    <t>せん田</t>
  </si>
  <si>
    <t>Ett Rum</t>
  </si>
  <si>
    <t>藏红花蛋糕</t>
  </si>
  <si>
    <t>银灯食府</t>
  </si>
  <si>
    <t>海棠春</t>
  </si>
  <si>
    <t>东记潮汕美食</t>
  </si>
  <si>
    <t>烤串</t>
  </si>
  <si>
    <t>551 蓬莱</t>
  </si>
  <si>
    <t>包子</t>
  </si>
  <si>
    <t>何姨锅仔粉店</t>
  </si>
  <si>
    <t>诚成煎饺</t>
  </si>
  <si>
    <t>楼外楼</t>
  </si>
  <si>
    <t>西湖莼菜汤</t>
  </si>
  <si>
    <t>小槟城新加坡餐厅</t>
  </si>
  <si>
    <t>咖喱皇大虾</t>
  </si>
  <si>
    <t>新记瓦罉饭</t>
  </si>
  <si>
    <t>芳村榕树头叹佬鸡煲</t>
  </si>
  <si>
    <t>瑞幸咖啡</t>
  </si>
  <si>
    <t>生椰拿铁</t>
  </si>
  <si>
    <t>足料！浓汤面</t>
  </si>
  <si>
    <t>牛扒先生</t>
  </si>
  <si>
    <t>米仓食堂</t>
  </si>
  <si>
    <t>月淮星光</t>
  </si>
  <si>
    <t>长堤大三元酒家</t>
  </si>
  <si>
    <t>雲香楼</t>
  </si>
  <si>
    <t>华中农大桃园食堂</t>
  </si>
  <si>
    <t>食牛人家</t>
  </si>
  <si>
    <t>Mondi</t>
  </si>
  <si>
    <t>潮前方 潮汕牛肉粿</t>
  </si>
  <si>
    <t>相当板扎</t>
  </si>
  <si>
    <t>田老师红烧肉</t>
  </si>
  <si>
    <t>李满满鲜烫牛肉汤</t>
  </si>
  <si>
    <t>农夫牛庄正宗潮汕牛肉火锅</t>
  </si>
  <si>
    <t>粤仔湾</t>
  </si>
  <si>
    <t>笨罗卜</t>
  </si>
  <si>
    <t>百丈园</t>
  </si>
  <si>
    <t>鸳央咖啡</t>
  </si>
  <si>
    <t>hs 炉桥手擀面</t>
  </si>
  <si>
    <t>黔大叔大牌档</t>
  </si>
  <si>
    <t>锦屏香糯蕨粑</t>
  </si>
  <si>
    <t>有木餐厅</t>
  </si>
  <si>
    <t>京华汤包</t>
  </si>
  <si>
    <t>Taketwo 半合</t>
  </si>
  <si>
    <t>Coco Cincin</t>
  </si>
  <si>
    <t xml:space="preserve">Nusr-Et </t>
  </si>
  <si>
    <t>土耳其-伊斯坦布尔</t>
  </si>
  <si>
    <t>外来媳妇 · 本地菜</t>
  </si>
  <si>
    <t>甜园甜品店</t>
  </si>
  <si>
    <t>乃之风度假酒店</t>
  </si>
  <si>
    <t>自助餐</t>
  </si>
  <si>
    <t xml:space="preserve"> 豆腐肥牛</t>
  </si>
  <si>
    <t>小舍私厨</t>
  </si>
  <si>
    <t>江西菜</t>
  </si>
  <si>
    <t>皮蛋肉丸汤</t>
  </si>
  <si>
    <t>老伍仔横沥汤粉</t>
  </si>
  <si>
    <t>雷家豆腐圆子</t>
  </si>
  <si>
    <t>豆腐圆子</t>
  </si>
  <si>
    <t>飨享眷村 · 台湾料理</t>
  </si>
  <si>
    <t>台湾菜</t>
  </si>
  <si>
    <t>很久以前羊肉串</t>
  </si>
  <si>
    <t>祖玛俄式西餐厅</t>
  </si>
  <si>
    <t>俄罗斯菜</t>
  </si>
  <si>
    <t>红福豆面馆</t>
  </si>
  <si>
    <t>大同</t>
  </si>
  <si>
    <t>山西菜</t>
  </si>
  <si>
    <t>开锅豆腐汤</t>
  </si>
  <si>
    <t>佳家汤包</t>
  </si>
  <si>
    <t>wrapped crepe korot</t>
  </si>
  <si>
    <t>安顺破酥包·花果园一期</t>
  </si>
  <si>
    <t>庆丰包子铺</t>
  </si>
  <si>
    <t>牛得利</t>
  </si>
  <si>
    <t>THE KUKUNA</t>
  </si>
  <si>
    <t>日本-山梨</t>
  </si>
  <si>
    <t>秀玉红茶坊</t>
  </si>
  <si>
    <t>沃夫冈牛排馆</t>
  </si>
  <si>
    <t>陆军俱乐部</t>
  </si>
  <si>
    <t>葡萄牙菜</t>
  </si>
  <si>
    <t>炖牛肋饭</t>
  </si>
  <si>
    <t>茶哈哪 · 乌兹别克美食</t>
  </si>
  <si>
    <t>中亚菜</t>
  </si>
  <si>
    <t xml:space="preserve">入鹿Tokyo </t>
  </si>
  <si>
    <t>栢景朗庭酒店·唐阁</t>
  </si>
  <si>
    <t>Al Hadheerah</t>
  </si>
  <si>
    <t>阿联酋-迪拜</t>
  </si>
  <si>
    <t>中东菜</t>
  </si>
  <si>
    <t>松记食店</t>
  </si>
  <si>
    <t>沾喜卷筒粉</t>
  </si>
  <si>
    <t>定师傅烧烤</t>
  </si>
  <si>
    <t>MILKLAND北海道</t>
  </si>
  <si>
    <t>天桥底鸡煲</t>
  </si>
  <si>
    <t>鸡煲</t>
  </si>
  <si>
    <t>霸碗盖码饭</t>
  </si>
  <si>
    <t>利苑酒家</t>
  </si>
  <si>
    <t>木屋烧烤</t>
  </si>
  <si>
    <t>福酌味越南粉</t>
  </si>
  <si>
    <t>稻香</t>
  </si>
  <si>
    <t>烧鹅肠粉</t>
  </si>
  <si>
    <t>AFURI</t>
  </si>
  <si>
    <t>何洪记</t>
  </si>
  <si>
    <t>干炒牛河</t>
  </si>
  <si>
    <t>本日面包</t>
  </si>
  <si>
    <t>周元会面馆</t>
  </si>
  <si>
    <t>Chinese Palace</t>
  </si>
  <si>
    <t>青年星厨</t>
  </si>
  <si>
    <t>麦麸 日式拉面屋</t>
  </si>
  <si>
    <t>御彩酒家</t>
  </si>
  <si>
    <t>USTC 1958 by UNILAB</t>
  </si>
  <si>
    <t>天港漫非酒店</t>
  </si>
  <si>
    <t>宁波</t>
  </si>
  <si>
    <t>顺风大酒店</t>
  </si>
  <si>
    <t>沪菜</t>
  </si>
  <si>
    <t>yanyou</t>
  </si>
  <si>
    <t>德国-慕尼黑</t>
  </si>
  <si>
    <t>棒棒鸡</t>
  </si>
  <si>
    <t>植田うどん</t>
  </si>
  <si>
    <t>日本-高松</t>
  </si>
  <si>
    <t>小名堂甜水面</t>
  </si>
  <si>
    <t>肥池食馆</t>
  </si>
  <si>
    <t>生炒鱼片</t>
  </si>
  <si>
    <t>蜑家菜</t>
  </si>
  <si>
    <t>姜汁半日鲜，椰香鸡</t>
  </si>
  <si>
    <t>Grid Coffee</t>
  </si>
  <si>
    <t>南屏雅叙</t>
  </si>
  <si>
    <t>岡北</t>
  </si>
  <si>
    <t>老乡鸡</t>
  </si>
  <si>
    <t>鸡汤馄饨</t>
  </si>
  <si>
    <t>叶新小吃</t>
  </si>
  <si>
    <t>鸭血粉丝汤</t>
  </si>
  <si>
    <t>金陵大饭店</t>
  </si>
  <si>
    <t>扬州</t>
  </si>
  <si>
    <t>大快活</t>
  </si>
  <si>
    <t>すみれ</t>
  </si>
  <si>
    <t>汤浅醤油 蔵カフェ</t>
  </si>
  <si>
    <t>海南城</t>
  </si>
  <si>
    <t>海南菜</t>
  </si>
  <si>
    <t>六棉酒家</t>
  </si>
  <si>
    <t>Pierogarnia Mandu</t>
  </si>
  <si>
    <t>波兰-格但斯克</t>
  </si>
  <si>
    <t>波兰菜</t>
  </si>
  <si>
    <t>苹果派</t>
  </si>
  <si>
    <t>卡旺卡</t>
  </si>
  <si>
    <t>66's SALDessert</t>
  </si>
  <si>
    <t>老海陵</t>
  </si>
  <si>
    <t>Desta 埃塞俄比亚餐厅</t>
  </si>
  <si>
    <t>非洲菜</t>
  </si>
  <si>
    <t>混合拼盘</t>
  </si>
  <si>
    <t>麦当劳</t>
  </si>
  <si>
    <t>麦辣鸡翅，双层吉士汉堡</t>
  </si>
  <si>
    <t>阿嬷手作</t>
  </si>
  <si>
    <t>蔡玉皎 · 传统薄皮蒸饺</t>
  </si>
  <si>
    <t>文通冰室</t>
  </si>
  <si>
    <t>葱油鸡腿扒饭</t>
  </si>
  <si>
    <t>自造竹升面</t>
  </si>
  <si>
    <t>周记淮南牛肉汤</t>
  </si>
  <si>
    <t>君达小吃</t>
  </si>
  <si>
    <t>石头咕</t>
  </si>
  <si>
    <t>cafe &amp; bar anthem</t>
  </si>
  <si>
    <t>纱布芝士</t>
  </si>
  <si>
    <t>品润饼家</t>
  </si>
  <si>
    <t>松乃家日式猪排专门店</t>
  </si>
  <si>
    <t>阿坤水煮鱼</t>
  </si>
  <si>
    <t>珠海</t>
  </si>
  <si>
    <t>洲心明记烧肉大粥</t>
  </si>
  <si>
    <t>ARABICA</t>
  </si>
  <si>
    <t>库迪咖啡</t>
  </si>
  <si>
    <t>奈作 NASAKU</t>
  </si>
  <si>
    <t>Tamkoko 泰柯茶园</t>
  </si>
  <si>
    <t>松鼠家牛肉面</t>
  </si>
  <si>
    <t>京都熟成細麺</t>
  </si>
  <si>
    <t>冷担担面</t>
  </si>
  <si>
    <t>我自己做菜（参考）</t>
  </si>
  <si>
    <t>人和馆</t>
  </si>
  <si>
    <t>味道王小食店</t>
  </si>
  <si>
    <t>金运来酒楼</t>
  </si>
  <si>
    <t>陈香贵兰州牛肉面</t>
  </si>
  <si>
    <t>中村藤吉</t>
  </si>
  <si>
    <t>Potato Corner</t>
  </si>
  <si>
    <t>博多天一 天妇罗牛排饭</t>
  </si>
  <si>
    <t>牛小淮 淮南牛肉汤</t>
  </si>
  <si>
    <t>威尼斯西餐厅</t>
  </si>
  <si>
    <t>华科韵苑学生食堂</t>
  </si>
  <si>
    <t>馄饨</t>
  </si>
  <si>
    <t>云浮石磨肠粉（沙涌）</t>
  </si>
  <si>
    <t>Limone</t>
  </si>
  <si>
    <t>振兴梅州盐焗店</t>
  </si>
  <si>
    <t>麦记牛奶公司</t>
  </si>
  <si>
    <t>蔚来 · 咖啡</t>
  </si>
  <si>
    <t>东海湾酒家</t>
  </si>
  <si>
    <t>幸福的紫菜包饭</t>
  </si>
  <si>
    <t>韩国料理</t>
  </si>
  <si>
    <t>Udon Kyutaro</t>
  </si>
  <si>
    <t>蔡圆芳 潮汕薄皮蒸饺</t>
  </si>
  <si>
    <t>紫菜饺</t>
  </si>
  <si>
    <t>太犇牛手作茶铺</t>
  </si>
  <si>
    <t>Pho Vietnam</t>
  </si>
  <si>
    <t>冰岛-雷克雅未克</t>
  </si>
  <si>
    <t>星巴克</t>
  </si>
  <si>
    <t>熙盛源</t>
  </si>
  <si>
    <t>Dairy Queen</t>
  </si>
  <si>
    <t>Du Burger 嘟堡</t>
  </si>
  <si>
    <t>全聚德</t>
  </si>
  <si>
    <t>金陵饭店·梅苑</t>
  </si>
  <si>
    <t>Lilla Elefanten</t>
  </si>
  <si>
    <t>谢家村</t>
  </si>
  <si>
    <t>箔一</t>
  </si>
  <si>
    <t>柒小酥 鲜肉椒香饼</t>
  </si>
  <si>
    <t>侨美食家</t>
  </si>
  <si>
    <t>肯德基</t>
  </si>
  <si>
    <t>吮指原味鸡</t>
  </si>
  <si>
    <t>香港庙街煲仔饭</t>
  </si>
  <si>
    <t>神户六甲牧场</t>
  </si>
  <si>
    <t>富酥包子铺</t>
  </si>
  <si>
    <t>糯米鸡</t>
  </si>
  <si>
    <t>7吃8吧</t>
  </si>
  <si>
    <t xml:space="preserve">Artchur </t>
  </si>
  <si>
    <t>西班牙-巴塞罗那</t>
  </si>
  <si>
    <t>Denizler Kasap&amp;Mangal</t>
  </si>
  <si>
    <t>左稻</t>
  </si>
  <si>
    <t>闽菜</t>
  </si>
  <si>
    <t>小尾羊</t>
  </si>
  <si>
    <t>Paris S'eveille</t>
  </si>
  <si>
    <t>三江厨神佛山-顺德干蒸</t>
  </si>
  <si>
    <t>忆先农烧饼</t>
  </si>
  <si>
    <t>赛滋味钵钵鸡</t>
  </si>
  <si>
    <t>西米露</t>
  </si>
  <si>
    <t>大壶春</t>
  </si>
  <si>
    <t>紫藏</t>
  </si>
  <si>
    <t>车豚拉面</t>
  </si>
  <si>
    <t>炭烧肉 石田屋</t>
  </si>
  <si>
    <t>kavkaz restaurant</t>
  </si>
  <si>
    <t>澳门陈光记</t>
  </si>
  <si>
    <t>赤玉</t>
  </si>
  <si>
    <t>牛肉</t>
  </si>
  <si>
    <t>丘记牛杂</t>
  </si>
  <si>
    <t>周生记太爷鸡</t>
  </si>
  <si>
    <t>湘菜馆木桶饭</t>
  </si>
  <si>
    <t>同德兴</t>
  </si>
  <si>
    <t>三虾面</t>
  </si>
  <si>
    <t>新兴饭店</t>
  </si>
  <si>
    <t>谷头面包</t>
  </si>
  <si>
    <t>翠园</t>
  </si>
  <si>
    <t>二泉园老菜馆</t>
  </si>
  <si>
    <t>虎头炸·潮汕南乳炸鸡</t>
  </si>
  <si>
    <t>电子科大学二食堂</t>
  </si>
  <si>
    <t>Joe&amp;Seph's</t>
  </si>
  <si>
    <t>冰激凌</t>
  </si>
  <si>
    <t>谭家牛肉汤</t>
  </si>
  <si>
    <t>大笑饭堂</t>
  </si>
  <si>
    <t>海底捞</t>
  </si>
  <si>
    <t>江南里</t>
  </si>
  <si>
    <t>南京大牌档</t>
  </si>
  <si>
    <t>超记煲仔饭</t>
  </si>
  <si>
    <t>石龙 肥诚烧鹅餐厅</t>
  </si>
  <si>
    <t>巴奴毛肚火锅</t>
  </si>
  <si>
    <t>金四季海鲜酒家</t>
  </si>
  <si>
    <t>陈眼镜火锅</t>
  </si>
  <si>
    <t>豪记广宁云吞</t>
  </si>
  <si>
    <t>粤好 港式茶餐厅</t>
  </si>
  <si>
    <t>金福龙葡式牛扒茶餐厅</t>
  </si>
  <si>
    <t>咖喱牛尾</t>
  </si>
  <si>
    <t>金佬馆川菜</t>
  </si>
  <si>
    <t>上山喝茶</t>
  </si>
  <si>
    <t>本町制面所</t>
  </si>
  <si>
    <t>王品牛排</t>
  </si>
  <si>
    <t>渔歌 · 武昌鱼艺术餐厅</t>
  </si>
  <si>
    <t>キッチン飛騨</t>
  </si>
  <si>
    <t>玉米汤</t>
  </si>
  <si>
    <t>翠华餐厅</t>
  </si>
  <si>
    <t>咖喱牛腩饭</t>
  </si>
  <si>
    <t>野人先生</t>
  </si>
  <si>
    <t>嘉盈炖品店</t>
  </si>
  <si>
    <t>くいしんぼー山中</t>
  </si>
  <si>
    <t>庆华小吃店</t>
  </si>
  <si>
    <t>沙巴餐厅</t>
  </si>
  <si>
    <t>西域伙伴</t>
  </si>
  <si>
    <t>新疆菜</t>
  </si>
  <si>
    <t>袁记云饺</t>
  </si>
  <si>
    <t>宝华面店</t>
  </si>
  <si>
    <t>和府捞面</t>
  </si>
  <si>
    <t>杨国福麻辣烫</t>
  </si>
  <si>
    <t>Vete-katten</t>
  </si>
  <si>
    <t>华科东园食堂</t>
  </si>
  <si>
    <t>夜食白市</t>
  </si>
  <si>
    <t>焙茶拿铁</t>
  </si>
  <si>
    <t>金早绿点</t>
  </si>
  <si>
    <t>Pizzeria Verginiello</t>
  </si>
  <si>
    <t>意大利-卡普里岛</t>
  </si>
  <si>
    <t>樱桃虾意面</t>
  </si>
  <si>
    <t>Kranku Tea &amp; Coffee</t>
  </si>
  <si>
    <t>茶</t>
  </si>
  <si>
    <t>小炳胜</t>
  </si>
  <si>
    <t>MAX</t>
  </si>
  <si>
    <t>瑞典</t>
  </si>
  <si>
    <t>鸡块</t>
  </si>
  <si>
    <t>山治寿司</t>
  </si>
  <si>
    <t>宴遇 · 福建荟馆</t>
  </si>
  <si>
    <t>LANLI澜里</t>
  </si>
  <si>
    <t>吉野家</t>
  </si>
  <si>
    <t>荣华湛江鸡食府</t>
  </si>
  <si>
    <t>清蒸鲈鱼</t>
  </si>
  <si>
    <t>梅飞酒家</t>
  </si>
  <si>
    <t>济南</t>
  </si>
  <si>
    <t>王仁和米线</t>
  </si>
  <si>
    <t>边虾王</t>
  </si>
  <si>
    <t>方中山胡辣汤</t>
  </si>
  <si>
    <t>广迎居老正兴</t>
  </si>
  <si>
    <t>大娘水饺</t>
  </si>
  <si>
    <t>棣爸油炸</t>
  </si>
  <si>
    <t>茶颜悦色</t>
  </si>
  <si>
    <t>皖宴</t>
  </si>
  <si>
    <t>雪花牛肉粉丝</t>
  </si>
  <si>
    <t>红鼎豆捞</t>
  </si>
  <si>
    <t>名盈轩</t>
  </si>
  <si>
    <t>伊藤久右衛門</t>
  </si>
  <si>
    <t>豪客来</t>
  </si>
  <si>
    <t>呷汤品肠</t>
  </si>
  <si>
    <t>桃园饭店</t>
  </si>
  <si>
    <t>HOUSE's 味之图</t>
  </si>
  <si>
    <t>惠食佳</t>
  </si>
  <si>
    <t>大明酒家</t>
  </si>
  <si>
    <t>德国-柏林</t>
  </si>
  <si>
    <t>Hoho Hojicha</t>
  </si>
  <si>
    <t>古德墨柠</t>
  </si>
  <si>
    <t>嘎莉泰泰</t>
  </si>
  <si>
    <t>泰国菜</t>
  </si>
  <si>
    <t>三镇民生甜食馆</t>
  </si>
  <si>
    <t>银芭</t>
  </si>
  <si>
    <t>银芭三味鸡</t>
  </si>
  <si>
    <t>立晓鸡店</t>
  </si>
  <si>
    <t>望羊蹄</t>
  </si>
  <si>
    <t>蛋包饭</t>
  </si>
  <si>
    <t>胖牛全牛馆</t>
  </si>
  <si>
    <t>湘颂</t>
  </si>
  <si>
    <t>007牛肉面馆</t>
  </si>
  <si>
    <t>聪餐厅</t>
  </si>
  <si>
    <t>陶香居酒家</t>
  </si>
  <si>
    <t>松苑·浓汤广府菜</t>
  </si>
  <si>
    <t>茅庐遇民间土菜</t>
  </si>
  <si>
    <t>吟醸らーめん久保田</t>
  </si>
  <si>
    <t>鸣门鲷鱼烧本铺</t>
  </si>
  <si>
    <t>方荣记饭店</t>
  </si>
  <si>
    <t>沙嗲火锅</t>
  </si>
  <si>
    <t>物只卤鹅</t>
  </si>
  <si>
    <t>红顶食府</t>
  </si>
  <si>
    <t>酸奶</t>
  </si>
  <si>
    <t>Al Khayma Heritage</t>
  </si>
  <si>
    <t>阿联酋-阿布扎比</t>
  </si>
  <si>
    <t>海鲜汤</t>
  </si>
  <si>
    <t>客如意</t>
  </si>
  <si>
    <t>唯品客</t>
  </si>
  <si>
    <t>味千拉面</t>
  </si>
  <si>
    <t>蜀王火锅</t>
  </si>
  <si>
    <t>祥凤脆皮鸡</t>
  </si>
  <si>
    <t>盛香亭转转热卤</t>
  </si>
  <si>
    <t>广东潮汕小吃</t>
  </si>
  <si>
    <t>德盛烧鹅</t>
  </si>
  <si>
    <t>KPRO 肯律轻食</t>
  </si>
  <si>
    <t>杏坛公平靓正</t>
  </si>
  <si>
    <t>Curry Room</t>
  </si>
  <si>
    <t>metro opus</t>
  </si>
  <si>
    <t>靓靓蒸虾</t>
  </si>
  <si>
    <t>不如 · 打抛饭</t>
  </si>
  <si>
    <t>穗银肠粉店</t>
  </si>
  <si>
    <t>Wendy's</t>
  </si>
  <si>
    <t>汤夫人肠粉店</t>
  </si>
  <si>
    <t>三津汤包</t>
  </si>
  <si>
    <t>船记</t>
  </si>
  <si>
    <t>虾头油樱花虾炒饭</t>
  </si>
  <si>
    <t>三柒烧</t>
  </si>
  <si>
    <t>烧烤</t>
  </si>
  <si>
    <t>苏浙汇</t>
  </si>
  <si>
    <t>茶月山</t>
  </si>
  <si>
    <t>浅草牛かつ</t>
  </si>
  <si>
    <t xml:space="preserve">80-150 </t>
  </si>
  <si>
    <t>折叠森林</t>
  </si>
  <si>
    <t>九道精品私厨</t>
  </si>
  <si>
    <t>ZAKU ZAKU</t>
  </si>
  <si>
    <t>门东水铺</t>
  </si>
  <si>
    <t>向群饭店</t>
  </si>
  <si>
    <t>新疆美味馕烤肉店</t>
  </si>
  <si>
    <t>烤羊肉串</t>
  </si>
  <si>
    <t>牛约堡</t>
  </si>
  <si>
    <t>无面包蛋魂牛肉堡</t>
  </si>
  <si>
    <t xml:space="preserve">四代目いちまる </t>
  </si>
  <si>
    <t>黑手制面 · Gentle Pasta</t>
  </si>
  <si>
    <t>Osteria Leone Alato</t>
  </si>
  <si>
    <t>意大利-威尼斯</t>
  </si>
  <si>
    <t>奶油培根意面</t>
  </si>
  <si>
    <t>17 HOTDOG</t>
  </si>
  <si>
    <t>泉州</t>
  </si>
  <si>
    <t>慢炖姜母鸭芝士汉堡</t>
  </si>
  <si>
    <t>杏花堂</t>
  </si>
  <si>
    <t>顺记冰室</t>
  </si>
  <si>
    <t>DRIP滴品西餐</t>
  </si>
  <si>
    <t>黑松露鸡肉炖饭</t>
  </si>
  <si>
    <t>京都ことこと</t>
  </si>
  <si>
    <t>潮味鲜汤粉世家</t>
  </si>
  <si>
    <t>古茗</t>
  </si>
  <si>
    <t>柒了个饼</t>
  </si>
  <si>
    <t>百江小食店</t>
  </si>
  <si>
    <t>Plachutta</t>
  </si>
  <si>
    <t>奥地利-维也纳</t>
  </si>
  <si>
    <t>奥地利菜</t>
  </si>
  <si>
    <t>La Casita 西班牙住家菜</t>
  </si>
  <si>
    <t>西班牙菜</t>
  </si>
  <si>
    <t>同庆楼</t>
  </si>
  <si>
    <t>明婷饭店</t>
  </si>
  <si>
    <t>なか卯</t>
  </si>
  <si>
    <t>东北灶</t>
  </si>
  <si>
    <t>东北菜</t>
  </si>
  <si>
    <t>蘭多琳</t>
  </si>
  <si>
    <t>华科东篱餐厅</t>
  </si>
  <si>
    <t>真茶屋</t>
  </si>
  <si>
    <t>明楼米粉</t>
  </si>
  <si>
    <t>Tai 泰晓里</t>
  </si>
  <si>
    <t>仁信老铺</t>
  </si>
  <si>
    <t>Indian Corner</t>
  </si>
  <si>
    <t>詹记桃酥</t>
  </si>
  <si>
    <t>KNOT KNOT</t>
  </si>
  <si>
    <t>珞次方</t>
  </si>
  <si>
    <t>Gui's Burger</t>
  </si>
  <si>
    <t>Tribes</t>
  </si>
  <si>
    <t>哈觅越南粉</t>
  </si>
  <si>
    <t>纯K</t>
  </si>
  <si>
    <t>Tarhan</t>
  </si>
  <si>
    <t>煲珠公</t>
  </si>
  <si>
    <t>安庆牛胸骨面馆</t>
  </si>
  <si>
    <t>PAIX fusion</t>
  </si>
  <si>
    <t>麦咖乐鲜包铺</t>
  </si>
  <si>
    <t>陶陶居</t>
  </si>
  <si>
    <t>私人定鸡</t>
  </si>
  <si>
    <t>风波庄</t>
  </si>
  <si>
    <t>纪胖子口味菜馆</t>
  </si>
  <si>
    <t>岳阳</t>
  </si>
  <si>
    <t>口味虾尾</t>
  </si>
  <si>
    <t>一叶觅山</t>
  </si>
  <si>
    <t>深记肠粉</t>
  </si>
  <si>
    <t>东泰祥生煎馆</t>
  </si>
  <si>
    <t>佛有缘</t>
  </si>
  <si>
    <t>素食</t>
  </si>
  <si>
    <t>味特美蒸饺</t>
  </si>
  <si>
    <t>犇赢天下牛肉手撕面</t>
  </si>
  <si>
    <t>山缓缓</t>
  </si>
  <si>
    <t>La Collina Castella Shop</t>
  </si>
  <si>
    <t>Zala</t>
  </si>
  <si>
    <t>木桶记臭鳜鱼</t>
  </si>
  <si>
    <t>麻六记</t>
  </si>
  <si>
    <t>Kurasu</t>
  </si>
  <si>
    <t>华科紫菘美食屋</t>
  </si>
  <si>
    <t>豆皮</t>
  </si>
  <si>
    <t>MIANLONG COFFEE</t>
  </si>
  <si>
    <t>黑牛家碳火烤肉</t>
  </si>
  <si>
    <t>荷香居</t>
  </si>
  <si>
    <t>gaga</t>
  </si>
  <si>
    <t>墨茉点心局</t>
  </si>
  <si>
    <t>桔子水晶酒店</t>
  </si>
  <si>
    <t>佳乐粥粉店</t>
  </si>
  <si>
    <t>蒋婆抄手</t>
  </si>
  <si>
    <t>蜜桃餐厅</t>
  </si>
  <si>
    <t>磯丸水産</t>
  </si>
  <si>
    <t>西贝莜面村</t>
  </si>
  <si>
    <t>Bar Da Monica</t>
  </si>
  <si>
    <t>塞伊德蒙餐</t>
  </si>
  <si>
    <t>呼和浩特</t>
  </si>
  <si>
    <t>内蒙菜</t>
  </si>
  <si>
    <t>腐竹拌苦菊</t>
  </si>
  <si>
    <t>Flipper's</t>
  </si>
  <si>
    <t>舒芙蕾</t>
  </si>
  <si>
    <t>sichuan olla caliente</t>
  </si>
  <si>
    <t>西班牙-马略卡岛</t>
  </si>
  <si>
    <t>桃花香+牛肉烧饼</t>
  </si>
  <si>
    <t>博多庄</t>
  </si>
  <si>
    <t>日本-福冈</t>
  </si>
  <si>
    <t>草堂茶居</t>
  </si>
  <si>
    <t>有记餐厅</t>
  </si>
  <si>
    <t>Mao Master</t>
  </si>
  <si>
    <t>木尔坦巴基斯坦餐厅</t>
  </si>
  <si>
    <t>伟新拉面</t>
  </si>
  <si>
    <t>Shake Shack</t>
  </si>
  <si>
    <t>Gvara</t>
  </si>
  <si>
    <t>清真弘西餐厅</t>
  </si>
  <si>
    <t>志哥葱油鸡</t>
  </si>
  <si>
    <t>绿茵阁</t>
  </si>
  <si>
    <t xml:space="preserve">HOAGASCHT </t>
  </si>
  <si>
    <t>La Bodega</t>
  </si>
  <si>
    <t>西班牙-塞维利亚</t>
  </si>
  <si>
    <t>炖牛尾</t>
  </si>
  <si>
    <t>惠宝记桥头拉面大王</t>
  </si>
  <si>
    <t>京品食尚</t>
  </si>
  <si>
    <t>希腊-雅典</t>
  </si>
  <si>
    <t>银记肠粉</t>
  </si>
  <si>
    <t>海皇阁老鸭汤</t>
  </si>
  <si>
    <t>巴音意如蒙餐</t>
  </si>
  <si>
    <t>面屋彩未</t>
  </si>
  <si>
    <t>蜗壳时光茶餐厅</t>
  </si>
  <si>
    <t>正谈炸鸡</t>
  </si>
  <si>
    <t>精粉世家</t>
  </si>
  <si>
    <t>中国料理 天福</t>
  </si>
  <si>
    <t>留芳茶社</t>
  </si>
  <si>
    <t>豪享来</t>
  </si>
  <si>
    <t>Taste</t>
  </si>
  <si>
    <t>冰岛-阿克雷里</t>
  </si>
  <si>
    <t>奶昔</t>
  </si>
  <si>
    <t>古早味味觉记忆坊</t>
  </si>
  <si>
    <t>芋泥蛋糕</t>
  </si>
  <si>
    <t xml:space="preserve">three partners </t>
  </si>
  <si>
    <t>爱上阿毛家砂锅麻辣烫</t>
  </si>
  <si>
    <t>San Pietro</t>
  </si>
  <si>
    <t>小彬乐潮汕牛肉</t>
  </si>
  <si>
    <t>鲜芋仙</t>
  </si>
  <si>
    <t>Çalakașık Kadiköy</t>
  </si>
  <si>
    <t>Manner Coffee</t>
  </si>
  <si>
    <t>中科大美食广场</t>
  </si>
  <si>
    <t>反手鲜包</t>
  </si>
  <si>
    <t>客家班</t>
  </si>
  <si>
    <t>功德林</t>
  </si>
  <si>
    <t>香油万年青</t>
  </si>
  <si>
    <t>三道锋味私房菜</t>
  </si>
  <si>
    <t>鲍汁黑豆腐</t>
  </si>
  <si>
    <t>隆龙堡</t>
  </si>
  <si>
    <t>常州</t>
  </si>
  <si>
    <t>Brödernas</t>
  </si>
  <si>
    <t>グリル一平</t>
  </si>
  <si>
    <t>粉小主</t>
  </si>
  <si>
    <t>PAIX COFFEE</t>
  </si>
  <si>
    <t>张亮麻辣烫</t>
  </si>
  <si>
    <t>Tiergartenquelle</t>
  </si>
  <si>
    <t>德国菜</t>
  </si>
  <si>
    <t>炖牛肉配意面酸菜</t>
  </si>
  <si>
    <t>Siam Ratree</t>
  </si>
  <si>
    <t>挪威-卑尔根</t>
  </si>
  <si>
    <t>栖巢咖啡</t>
  </si>
  <si>
    <t>龍鳳餐室</t>
  </si>
  <si>
    <t>蜀越肥肠馆</t>
  </si>
  <si>
    <t>中科大南区食堂</t>
  </si>
  <si>
    <t>小笼包</t>
  </si>
  <si>
    <t>伟伟冰酒酿</t>
  </si>
  <si>
    <t>一鸣真鲜奶吧</t>
  </si>
  <si>
    <t>Milos</t>
  </si>
  <si>
    <t>希腊菜</t>
  </si>
  <si>
    <t>聚茗居</t>
  </si>
  <si>
    <t>虾饺</t>
  </si>
  <si>
    <t>LiBee Coffee</t>
  </si>
  <si>
    <t>庆峰龙虾烧烤</t>
  </si>
  <si>
    <t>Pasqualino</t>
  </si>
  <si>
    <t>羊奶酪鸡蛋意面</t>
  </si>
  <si>
    <t>万花筒餐厅</t>
  </si>
  <si>
    <t>德顺源</t>
  </si>
  <si>
    <t>SAPANA</t>
  </si>
  <si>
    <t>Lukumades</t>
  </si>
  <si>
    <t>新疆赞达目特色美食</t>
  </si>
  <si>
    <t>林顺记</t>
  </si>
  <si>
    <t>云阿蛮生烫牛肉米线</t>
  </si>
  <si>
    <t>桐乐富兴茶居</t>
  </si>
  <si>
    <t>tea'stone</t>
  </si>
  <si>
    <t>La Fontana</t>
  </si>
  <si>
    <t>雪霁山庄</t>
  </si>
  <si>
    <t>Mel's Diner</t>
  </si>
  <si>
    <t>香草巧克力奶昔</t>
  </si>
  <si>
    <t>天天特色牛肉汤</t>
  </si>
  <si>
    <t>做披萨的奇葩</t>
  </si>
  <si>
    <t>云南驿 · 滇食府</t>
  </si>
  <si>
    <t>Lades Menemen</t>
  </si>
  <si>
    <t>米布丁</t>
  </si>
  <si>
    <t>喜晋道面馆</t>
  </si>
  <si>
    <t>La Tarta</t>
  </si>
  <si>
    <t>兰州牛肉拉面</t>
  </si>
  <si>
    <t>牛肉盖饭</t>
  </si>
  <si>
    <t>蒸蒸旺美食</t>
  </si>
  <si>
    <t>25BURGER</t>
  </si>
  <si>
    <t>铁棚子热干面</t>
  </si>
  <si>
    <t>西堤牛排</t>
  </si>
  <si>
    <t>壹锅</t>
  </si>
  <si>
    <t xml:space="preserve">西班牙-马德里 </t>
  </si>
  <si>
    <t>Hello Pho</t>
  </si>
  <si>
    <t>永和大王</t>
  </si>
  <si>
    <t>茶理宜世</t>
  </si>
  <si>
    <t>ikal · Tequila</t>
  </si>
  <si>
    <t>全日可颂</t>
  </si>
  <si>
    <t>米庄私房菜</t>
  </si>
  <si>
    <t>树厨地道黔菜</t>
  </si>
  <si>
    <t>凯鸽酒楼</t>
  </si>
  <si>
    <t>大埔传统手工面 客家面馆</t>
  </si>
  <si>
    <t>盛香亭热卤</t>
  </si>
  <si>
    <t xml:space="preserve">Venchi </t>
  </si>
  <si>
    <t>意大利-佛罗伦萨</t>
  </si>
  <si>
    <t>叹茶tancha</t>
  </si>
  <si>
    <t>极致味道</t>
  </si>
  <si>
    <t>emo coffee</t>
  </si>
  <si>
    <t>司乎</t>
  </si>
  <si>
    <t>Rond sucré cafe</t>
  </si>
  <si>
    <t>悦萃港式茶餐厅</t>
  </si>
  <si>
    <t>避风塘</t>
  </si>
  <si>
    <t>德华楼</t>
  </si>
  <si>
    <t>裕莲茶楼</t>
  </si>
  <si>
    <t>喜茶</t>
  </si>
  <si>
    <t>大家福啫啫煲</t>
  </si>
  <si>
    <t>Peet's Coffee</t>
  </si>
  <si>
    <t>王繁星面馆</t>
  </si>
  <si>
    <t>西关恒记面店婆婆面</t>
  </si>
  <si>
    <t>榕记陈皮烧鹅</t>
  </si>
  <si>
    <t>六鼎哥煲仔饭</t>
  </si>
  <si>
    <t>筱杏花 · 乡野土菜</t>
  </si>
  <si>
    <t>KROREN</t>
  </si>
  <si>
    <t>绿柳居</t>
  </si>
  <si>
    <t>德兴源</t>
  </si>
  <si>
    <t>中科大东苑食堂</t>
  </si>
  <si>
    <t>早餐蒸饺</t>
  </si>
  <si>
    <t>荣小馆</t>
  </si>
  <si>
    <t>东莹炸鸡</t>
  </si>
  <si>
    <t>潮粤鲜 · 隆江猪脚饭</t>
  </si>
  <si>
    <t>羊村小馆</t>
  </si>
  <si>
    <t>富士山55</t>
  </si>
  <si>
    <t>华中师大东一食堂</t>
  </si>
  <si>
    <t>杨家牛肉汤</t>
  </si>
  <si>
    <t>柏屋 千里山</t>
  </si>
  <si>
    <t>湖锦酒楼</t>
  </si>
  <si>
    <t>小高米线</t>
  </si>
  <si>
    <t>小猪查理</t>
  </si>
  <si>
    <t>Regoli Pasticceria</t>
  </si>
  <si>
    <t>永利饭店</t>
  </si>
  <si>
    <t>肥琛记</t>
  </si>
  <si>
    <t>梁氏西关楼</t>
  </si>
  <si>
    <t>东莞老饭店</t>
  </si>
  <si>
    <t>点都德</t>
  </si>
  <si>
    <t>桃三三芜湖麻辣烫</t>
  </si>
  <si>
    <t>大哥餐厅</t>
  </si>
  <si>
    <t>首创漏奶华</t>
  </si>
  <si>
    <t>新疆大厦品悦大巴扎</t>
  </si>
  <si>
    <t>羊肉串</t>
  </si>
  <si>
    <t>Gasthaus Krombach</t>
  </si>
  <si>
    <t>芦笋奶油汤</t>
  </si>
  <si>
    <t>Kasai</t>
  </si>
  <si>
    <t>康师傅私房牛肉面</t>
  </si>
  <si>
    <t>Cinese Delizie</t>
  </si>
  <si>
    <t>真功夫</t>
  </si>
  <si>
    <t>冬菇鸡腿肉饭</t>
  </si>
  <si>
    <t>山外山菜馆</t>
  </si>
  <si>
    <t>叫花鸡</t>
  </si>
  <si>
    <t>味佳宴韩国料理</t>
  </si>
  <si>
    <t>春回拉面</t>
  </si>
  <si>
    <t>刘一手火锅</t>
  </si>
  <si>
    <t>不可炸鸡</t>
  </si>
  <si>
    <t>金陵食坊</t>
  </si>
  <si>
    <t>芳村铭泰煲仔饭</t>
  </si>
  <si>
    <t>西树泡芙</t>
  </si>
  <si>
    <t>荣家小吃</t>
  </si>
  <si>
    <t>台州</t>
  </si>
  <si>
    <t>千里香馄饨王</t>
  </si>
  <si>
    <t>Selera Malaysian</t>
  </si>
  <si>
    <t>华榕宫</t>
  </si>
  <si>
    <t>来菜 · 湖北头牌藕汤</t>
  </si>
  <si>
    <t>FABIO'S披萨餐厅</t>
  </si>
  <si>
    <t xml:space="preserve">Sweets Garden Yuji Ajiki </t>
  </si>
  <si>
    <t>日本-横滨</t>
  </si>
  <si>
    <t>人類みな麺類</t>
  </si>
  <si>
    <t>太二酸菜鱼</t>
  </si>
  <si>
    <t>鸟贤 · 炭火 · 烧鸟</t>
  </si>
  <si>
    <t>田记鱼蛋牛腩专门店</t>
  </si>
  <si>
    <t>钜记饼家</t>
  </si>
  <si>
    <t>PITA PITA 西班牙餐厅</t>
  </si>
  <si>
    <t>牛カツ 京都胜牛</t>
  </si>
  <si>
    <t>阿涛锅盔牛肉粉面</t>
  </si>
  <si>
    <t>中山大学学一食堂</t>
  </si>
  <si>
    <t>达每家创意料理</t>
  </si>
  <si>
    <t>Di-solve</t>
  </si>
  <si>
    <t>ICANDERs</t>
  </si>
  <si>
    <t>北欧菜</t>
  </si>
  <si>
    <t>沙县小吃</t>
  </si>
  <si>
    <t>牛肉拌面</t>
  </si>
  <si>
    <t>近江町烧Doteya</t>
  </si>
  <si>
    <t>惠姐老安徽风炉土菜</t>
  </si>
  <si>
    <t>Tennstopet</t>
  </si>
  <si>
    <t>陈记饭店</t>
  </si>
  <si>
    <t>纸厂烧烤</t>
  </si>
  <si>
    <t>大家乐</t>
  </si>
  <si>
    <t>茶百道</t>
  </si>
  <si>
    <t xml:space="preserve">Uma </t>
  </si>
  <si>
    <t>海鲜饭</t>
  </si>
  <si>
    <t>广州酒家</t>
  </si>
  <si>
    <t>Joda bar &amp; kök</t>
  </si>
  <si>
    <t>德兴美食</t>
  </si>
  <si>
    <t>三笑口酒店</t>
  </si>
  <si>
    <t>京都大学生协中央食堂</t>
  </si>
  <si>
    <t>省城濑粉</t>
  </si>
  <si>
    <t>鬼金棒</t>
  </si>
  <si>
    <t>畔尼意面</t>
  </si>
  <si>
    <t>香港丽思卡尔顿大堂酒廊</t>
  </si>
  <si>
    <t>汉堡王</t>
  </si>
  <si>
    <t>狮头牌卤味研究所</t>
  </si>
  <si>
    <t>潮汕莲藕汤（芳村）</t>
  </si>
  <si>
    <t>CENTER4 HAMBURGERS</t>
  </si>
  <si>
    <t>香藏居心地屋かくら</t>
  </si>
  <si>
    <t>牛筋串</t>
  </si>
  <si>
    <t>Midwestern Diner</t>
  </si>
  <si>
    <t>丹麦-哥本哈根</t>
  </si>
  <si>
    <t>湘遇 CHILA</t>
  </si>
  <si>
    <t>西班牙</t>
  </si>
  <si>
    <t>庐州荟</t>
  </si>
  <si>
    <t>香江冰室</t>
  </si>
  <si>
    <t>洋城面店</t>
  </si>
  <si>
    <t>九锅一堂酸菜鱼</t>
  </si>
  <si>
    <t>金越越南牛肉粉</t>
  </si>
  <si>
    <t>超义牛肉面</t>
  </si>
  <si>
    <t>广州佛山-顺德菜馆</t>
  </si>
  <si>
    <t>Thai Thai</t>
  </si>
  <si>
    <t>正品汤粉王</t>
  </si>
  <si>
    <t>Smile Kitchen</t>
  </si>
  <si>
    <t>八咫烏 拉面</t>
  </si>
  <si>
    <t>珮姐老火锅</t>
  </si>
  <si>
    <t>Hofbrau Munchen</t>
  </si>
  <si>
    <t>德国</t>
  </si>
  <si>
    <t>台南小馆</t>
  </si>
  <si>
    <t>喜粤 · 粤见新味</t>
  </si>
  <si>
    <t>山元面藏</t>
  </si>
  <si>
    <t>拉面東大</t>
  </si>
  <si>
    <t xml:space="preserve">Restaurant 88 </t>
  </si>
  <si>
    <t>彬妈糖水</t>
  </si>
  <si>
    <t>木卡买提新疆餐厅</t>
  </si>
  <si>
    <t>安塔利亚土耳其餐厅</t>
  </si>
  <si>
    <t>混合烧烤</t>
  </si>
  <si>
    <t>山姆餐吧</t>
  </si>
  <si>
    <t>SUKANYAS THAI</t>
  </si>
  <si>
    <t>日月年小食店</t>
  </si>
  <si>
    <t>徽宴楼</t>
  </si>
  <si>
    <t>福御厨艺</t>
  </si>
  <si>
    <t>刘记拉面馆</t>
  </si>
  <si>
    <t>金色不如归</t>
  </si>
  <si>
    <t>东京</t>
  </si>
  <si>
    <t>水羊羹 一幸庵</t>
  </si>
  <si>
    <t>因幡町一庆</t>
  </si>
  <si>
    <t>蓝瓶咖啡</t>
  </si>
  <si>
    <t>霸王茶姬</t>
  </si>
  <si>
    <t>老成都川菜</t>
  </si>
  <si>
    <t>藏红花餐厅</t>
  </si>
  <si>
    <t>上海楼</t>
  </si>
  <si>
    <t>日本-奈良</t>
  </si>
  <si>
    <t>东山的山</t>
  </si>
  <si>
    <t>Ching Chong</t>
  </si>
  <si>
    <t>米纸越南料理</t>
  </si>
  <si>
    <t>三河酒家</t>
  </si>
  <si>
    <t>Casa Pepe Hillo</t>
  </si>
  <si>
    <t>博多一双</t>
  </si>
  <si>
    <t>比格比萨自助</t>
  </si>
  <si>
    <t>沪上阿姨</t>
  </si>
  <si>
    <t>老绥元烧麦</t>
  </si>
  <si>
    <t>东江海南鸡饭 立白店</t>
  </si>
  <si>
    <t>山下本気乌冬</t>
  </si>
  <si>
    <t>遇见小面</t>
  </si>
  <si>
    <t>撒椒鸭</t>
  </si>
  <si>
    <t>That's Gelato</t>
  </si>
  <si>
    <t>德国-海德堡</t>
  </si>
  <si>
    <t>吴师傅拉面馆</t>
  </si>
  <si>
    <t>COMMUNE 幻师</t>
  </si>
  <si>
    <t>大笑鱼堂·粤辉湛江鸡食府</t>
  </si>
  <si>
    <t>宝盛美食</t>
  </si>
  <si>
    <t>阿尔丹炒面羊肉串</t>
  </si>
  <si>
    <t>ORDER 柠檬茶</t>
  </si>
  <si>
    <t>Da Rosso 红猪意餐</t>
  </si>
  <si>
    <t>国强粥粉面</t>
  </si>
  <si>
    <t>竹溪名宴</t>
  </si>
  <si>
    <t>Tang</t>
  </si>
  <si>
    <t>Casa Lolea</t>
  </si>
  <si>
    <t>黑松露烩饭</t>
  </si>
  <si>
    <t>仲佐</t>
  </si>
  <si>
    <t>松鹤楼面馆</t>
  </si>
  <si>
    <t>汤咖喱 ハラハル</t>
  </si>
  <si>
    <t>mariage de farine</t>
  </si>
  <si>
    <t>东来顺</t>
  </si>
  <si>
    <t>fufu舒芙蕾</t>
  </si>
  <si>
    <t>琂记卷面皮</t>
  </si>
  <si>
    <t>天下一品</t>
  </si>
  <si>
    <t>希尔顿欢朋酒店</t>
  </si>
  <si>
    <t>大牧潮汕牛肉火锅</t>
  </si>
  <si>
    <t>修ちゃん</t>
  </si>
  <si>
    <t>日本-鸟取</t>
  </si>
  <si>
    <t>Shanghai Restaurant</t>
  </si>
  <si>
    <t>冰岛</t>
  </si>
  <si>
    <t>ZITONA · 橄榄树</t>
  </si>
  <si>
    <t>达扬 · 原味炖品</t>
  </si>
  <si>
    <t>いくら亭</t>
  </si>
  <si>
    <t>日本-函馆</t>
  </si>
  <si>
    <t>大岗仙庙烧鸡</t>
  </si>
  <si>
    <t>满记甜品</t>
  </si>
  <si>
    <t>小志轩潮汕料理</t>
  </si>
  <si>
    <t>Dosanko Larmen</t>
  </si>
  <si>
    <t>潮味轩快餐店</t>
  </si>
  <si>
    <t>Da Michele</t>
  </si>
  <si>
    <t>尊宝披萨</t>
  </si>
  <si>
    <t>小厨娘淮扬菜</t>
  </si>
  <si>
    <t>竹园农家饭店</t>
  </si>
  <si>
    <t>开记甜品</t>
  </si>
  <si>
    <t>Azenhas do Mar</t>
  </si>
  <si>
    <t>葡萄牙-辛特拉</t>
  </si>
  <si>
    <t>大龙燚火锅</t>
  </si>
  <si>
    <t>华都饭店</t>
  </si>
  <si>
    <t>盘谷餐厅</t>
  </si>
  <si>
    <t>Wyndham Grand</t>
  </si>
  <si>
    <t>一绪寿喜烧</t>
  </si>
  <si>
    <t>夷人桂林米粉</t>
  </si>
  <si>
    <t>我爸做菜（参考）</t>
  </si>
  <si>
    <t>冈州宴</t>
  </si>
  <si>
    <t>超级一龍</t>
  </si>
  <si>
    <t>八合里潮汕鲜牛肉火锅</t>
  </si>
  <si>
    <t>赵鸭子甜皮鸭</t>
  </si>
  <si>
    <t>周黑鸭</t>
  </si>
  <si>
    <t>七感意大利餐厅</t>
  </si>
  <si>
    <t>满喜汤苑</t>
  </si>
  <si>
    <t>富春茶社</t>
  </si>
  <si>
    <t>懒山碗</t>
  </si>
  <si>
    <t>响野渔市</t>
  </si>
  <si>
    <t>Kanjanas Thai</t>
  </si>
  <si>
    <t>玉华台饭庄</t>
  </si>
  <si>
    <t>牛坤记驰名港式牛杂</t>
  </si>
  <si>
    <t>Botafumeiro</t>
  </si>
  <si>
    <t>Alta Vista Suites</t>
  </si>
  <si>
    <t>希腊-圣托里尼</t>
  </si>
  <si>
    <t>百花甜品</t>
  </si>
  <si>
    <t>Wasabi Sushi&amp;Poke</t>
  </si>
  <si>
    <t>Veitingasala</t>
  </si>
  <si>
    <t>烧鹅再</t>
  </si>
  <si>
    <t>晚香亭</t>
  </si>
  <si>
    <t>Ahlan</t>
  </si>
  <si>
    <t>廖记棒棒鸡</t>
  </si>
  <si>
    <t>德庄火锅</t>
  </si>
  <si>
    <t>吴川好味来</t>
  </si>
  <si>
    <t>吴川捞粉</t>
  </si>
  <si>
    <t>Yee3 三号椰</t>
  </si>
  <si>
    <t>Amorino Gelato</t>
  </si>
  <si>
    <t>饭丰町和风精致便当</t>
  </si>
  <si>
    <t>親父の右腕</t>
  </si>
  <si>
    <t>喜粤8号</t>
  </si>
  <si>
    <t>Villa Romana</t>
  </si>
  <si>
    <t>瑞典-乌普萨拉</t>
  </si>
  <si>
    <t>莎车清真美食</t>
  </si>
  <si>
    <t>仟吉蛋糕</t>
  </si>
  <si>
    <t>采蝶轩</t>
  </si>
  <si>
    <t>一点点</t>
  </si>
  <si>
    <t>欢喜茉莉</t>
  </si>
  <si>
    <t>乌克兰利沃夫炭烤猪肋排</t>
  </si>
  <si>
    <t>夏氏砂锅</t>
  </si>
  <si>
    <t>再见壹面</t>
  </si>
  <si>
    <t>羊大爷涮肉</t>
  </si>
  <si>
    <t>Creperie &amp; Logi</t>
  </si>
  <si>
    <t>麸漉制面</t>
  </si>
  <si>
    <t>蒋有记</t>
  </si>
  <si>
    <t>玛嘉烈蛋挞</t>
  </si>
  <si>
    <t>蓝湾全日餐厅</t>
  </si>
  <si>
    <t>兰湘子</t>
  </si>
  <si>
    <t>黄均记陈村粉</t>
  </si>
  <si>
    <t>颜记海丰小吃</t>
  </si>
  <si>
    <t>温祈福酒家</t>
  </si>
  <si>
    <t>富力威斯汀酒店</t>
  </si>
  <si>
    <t xml:space="preserve">Xiangzi </t>
  </si>
  <si>
    <t>姜汁鸡</t>
  </si>
  <si>
    <t>帅府酒店</t>
  </si>
  <si>
    <t>KOI Thé</t>
  </si>
  <si>
    <t>通圆</t>
  </si>
  <si>
    <t>Bad Wolf BBQ</t>
  </si>
  <si>
    <t>Holiday</t>
  </si>
  <si>
    <t>滇牛云南火锅</t>
  </si>
  <si>
    <t>新丰小吃</t>
  </si>
  <si>
    <t>Han Table Barbecue</t>
  </si>
  <si>
    <t>杨陈张江湖川菜</t>
  </si>
  <si>
    <t>同记鸡粥粉面店</t>
  </si>
  <si>
    <t>Curry 36</t>
  </si>
  <si>
    <t>吉格里奥歌剧院酒店</t>
  </si>
  <si>
    <t xml:space="preserve">满喫烧肉 </t>
  </si>
  <si>
    <t>Botín</t>
  </si>
  <si>
    <t>烤羊排</t>
  </si>
  <si>
    <t>Gyusuke</t>
  </si>
  <si>
    <t>炳胜品味</t>
  </si>
  <si>
    <t>蒸油斑</t>
  </si>
  <si>
    <t>云上潇湘</t>
  </si>
  <si>
    <t>麻都·成都菜</t>
  </si>
  <si>
    <t>原味汤粉（下芳村）</t>
  </si>
  <si>
    <t>誉约小馆 · 无骨海南鸡</t>
  </si>
  <si>
    <t>德克士</t>
  </si>
  <si>
    <t>乌珠穆沁奶茶馆</t>
  </si>
  <si>
    <t>骄傲汉堡</t>
  </si>
  <si>
    <t>银川</t>
  </si>
  <si>
    <t>福雪东北菜饺子馆</t>
  </si>
  <si>
    <t>吉山商店</t>
  </si>
  <si>
    <t>上海柏悦酒店·悦轩</t>
  </si>
  <si>
    <t>梅の花 自然庵</t>
  </si>
  <si>
    <t>La MaMá</t>
  </si>
  <si>
    <t>伊比利亚火腿丸子</t>
  </si>
  <si>
    <t>华科喻园食堂</t>
  </si>
  <si>
    <t>Cucina Italiana</t>
  </si>
  <si>
    <t>滨寿司</t>
  </si>
  <si>
    <t>Medici</t>
  </si>
  <si>
    <t>老通城豆皮大王</t>
  </si>
  <si>
    <t>慢刀·鲜牛肉火锅</t>
  </si>
  <si>
    <t>蘇南巷</t>
  </si>
  <si>
    <t>单师傅拉面</t>
  </si>
  <si>
    <t>MIRONI</t>
  </si>
  <si>
    <t>onlymate 咫有马黛茶</t>
  </si>
  <si>
    <t>皆生松月</t>
  </si>
  <si>
    <t>铭辉石磨肠粉皇</t>
  </si>
  <si>
    <t>金越轩</t>
  </si>
  <si>
    <t>华科百景园饭店</t>
  </si>
  <si>
    <t>马鸿兴川小馆</t>
  </si>
  <si>
    <t>Senti Profumo</t>
  </si>
  <si>
    <t>意大利-那不勒斯</t>
  </si>
  <si>
    <t>量子食光</t>
  </si>
  <si>
    <t>Argentinísimo</t>
  </si>
  <si>
    <t>阿根廷菜</t>
  </si>
  <si>
    <t>恩平煲仔饭</t>
  </si>
  <si>
    <t>芳芳淮扬菜</t>
  </si>
  <si>
    <t>山茶四季</t>
  </si>
  <si>
    <t>添好运冰汤圆</t>
  </si>
  <si>
    <t>Bizim Mehelle 美和乐西餐厅</t>
  </si>
  <si>
    <t>高加索菜</t>
  </si>
  <si>
    <t>川香阁</t>
  </si>
  <si>
    <t>天天红中餐馆</t>
  </si>
  <si>
    <t>蕎麦正 なかや</t>
  </si>
  <si>
    <t>Tim Hortons</t>
  </si>
  <si>
    <t>寿司郎</t>
  </si>
  <si>
    <t>上葡京自助山</t>
  </si>
  <si>
    <t>珍栗椿 · 糯米酸奶铺</t>
  </si>
  <si>
    <t>La Principal</t>
  </si>
  <si>
    <t>戈雅法餐厅</t>
  </si>
  <si>
    <t>渔意鱼村</t>
  </si>
  <si>
    <t>临榆炸鸡腿</t>
  </si>
  <si>
    <t>茉莉奶白</t>
  </si>
  <si>
    <t>APF KAFE</t>
  </si>
  <si>
    <t>江南春酒店</t>
  </si>
  <si>
    <t>中科大沁园春餐厅</t>
  </si>
  <si>
    <t>华科西一食堂</t>
  </si>
  <si>
    <t>森野家庭料理</t>
  </si>
  <si>
    <t>伟业海鲜酒家</t>
  </si>
  <si>
    <t>博多一幸舍</t>
  </si>
  <si>
    <t>城南往事</t>
  </si>
  <si>
    <t>鲅鱼水饺</t>
  </si>
  <si>
    <t>中科大东区教工餐厅</t>
  </si>
  <si>
    <t>潮福餐馆</t>
  </si>
  <si>
    <t>熊记鸡粥</t>
  </si>
  <si>
    <t>Le Moulin de la Galette</t>
  </si>
  <si>
    <t>华为武汉研究所食堂</t>
  </si>
  <si>
    <t>Glassmagasinet</t>
  </si>
  <si>
    <t>札幌拉面大心</t>
  </si>
  <si>
    <t>Mizu</t>
  </si>
  <si>
    <t>京豆富 不二乃</t>
  </si>
  <si>
    <t>Taverna Simos</t>
  </si>
  <si>
    <t>Le Jardin de Rome</t>
  </si>
  <si>
    <t>啄春泥</t>
  </si>
  <si>
    <t>荣华鸣</t>
  </si>
  <si>
    <t>奇华饼家</t>
  </si>
  <si>
    <t>Familjen Jessens</t>
  </si>
  <si>
    <t>鱼汤</t>
  </si>
  <si>
    <t>BAKFICKAN</t>
  </si>
  <si>
    <t>IBIZA-地中海海岛餐厅</t>
  </si>
  <si>
    <t>华御结</t>
  </si>
  <si>
    <t>Pizzeria Pescatore</t>
  </si>
  <si>
    <t>王师傅窝篮拉肠</t>
  </si>
  <si>
    <t>赵记传承·中国甜品</t>
  </si>
  <si>
    <t>坤记云吞</t>
  </si>
  <si>
    <t>华哥私厨</t>
  </si>
  <si>
    <t>白玉之汤 华凤</t>
  </si>
  <si>
    <t>汉舍 中国菜馆</t>
  </si>
  <si>
    <t>西关竹园·传统竹升面</t>
  </si>
  <si>
    <t>华科学一食堂</t>
  </si>
  <si>
    <t>阿强家川菜</t>
  </si>
  <si>
    <t>O'eat</t>
  </si>
  <si>
    <t>胜记菜馆</t>
  </si>
  <si>
    <t>日本橋 玉ゐ</t>
  </si>
  <si>
    <t>Macau Dim Sum</t>
  </si>
  <si>
    <t>第一滝本馆</t>
  </si>
  <si>
    <t>草桥清真牛肉锅贴</t>
  </si>
  <si>
    <t>Ayamna</t>
  </si>
  <si>
    <t>苏州柏悦酒店·西洲轩</t>
  </si>
  <si>
    <t>巴莉甜甜</t>
  </si>
  <si>
    <t>蔡林记</t>
  </si>
  <si>
    <t>熙瓏里</t>
  </si>
  <si>
    <t>沙嗲王 白咖喱公司</t>
  </si>
  <si>
    <t>福缘居</t>
  </si>
  <si>
    <t>味先肠粉</t>
  </si>
  <si>
    <t>南翔馒头店</t>
  </si>
  <si>
    <t>Agora Kyoto Shijo</t>
  </si>
  <si>
    <t>A Casa Lamian</t>
  </si>
  <si>
    <t>四道菜·福建菜馆</t>
  </si>
  <si>
    <t>梁新记小食店</t>
  </si>
  <si>
    <t>ふく流らーめん 轍</t>
  </si>
  <si>
    <t>外婆家</t>
  </si>
  <si>
    <t>牛喳喳淮南生烫牛肉汤</t>
  </si>
  <si>
    <t>Pho VieThin</t>
  </si>
  <si>
    <t>焼肉一</t>
  </si>
  <si>
    <t>爷爷不泡茶</t>
  </si>
  <si>
    <t>立ち喰い鮨 人人</t>
  </si>
  <si>
    <t>日本-富山</t>
  </si>
  <si>
    <t>米走鸡菜馆</t>
  </si>
  <si>
    <t>SAHRA面馆</t>
  </si>
  <si>
    <t>Da May Fa</t>
  </si>
  <si>
    <t>Ca Na Marcè</t>
  </si>
  <si>
    <t>蒜油虾</t>
  </si>
  <si>
    <t>因幡うどん</t>
  </si>
  <si>
    <t>蜜雪冰城</t>
  </si>
  <si>
    <t>Vietsoup</t>
  </si>
  <si>
    <t>全季酒店</t>
  </si>
  <si>
    <t>奥森蒂克意大利餐厅</t>
  </si>
  <si>
    <t>Casa Julio</t>
  </si>
  <si>
    <t>Smak av</t>
  </si>
  <si>
    <t>Champions 格鲁吉亚餐厅</t>
  </si>
  <si>
    <t>山石榴</t>
  </si>
  <si>
    <t>茶救星球</t>
  </si>
  <si>
    <t>斑斓泰国大排档</t>
  </si>
  <si>
    <t>松屋</t>
  </si>
  <si>
    <t>KYPA NIKH</t>
  </si>
  <si>
    <t>安徽省人民政府食堂</t>
  </si>
  <si>
    <t>张师傅拉面馆</t>
  </si>
  <si>
    <t>Ca'n Ribes</t>
  </si>
  <si>
    <t>Brisa</t>
  </si>
  <si>
    <t>泰沾面 Asura</t>
  </si>
  <si>
    <t>胡桃里</t>
  </si>
  <si>
    <t>最香饼家</t>
  </si>
  <si>
    <t>赤耳三石</t>
  </si>
  <si>
    <t>临安宴·归来时</t>
  </si>
  <si>
    <t>时来食坊</t>
  </si>
  <si>
    <t>毛记石灰市烧鸡公</t>
  </si>
  <si>
    <t>PASTIFICIO MOMENTI</t>
  </si>
  <si>
    <t>Ameigo 梅果</t>
  </si>
  <si>
    <t>三芳庵</t>
  </si>
  <si>
    <t>Caffarel Torino</t>
  </si>
  <si>
    <t>惠如楼</t>
  </si>
  <si>
    <t>庐遇膳味堂</t>
  </si>
  <si>
    <t>Medicine Man</t>
  </si>
  <si>
    <t>诚铭记老成都名小吃</t>
  </si>
  <si>
    <t>小鹏美食</t>
  </si>
  <si>
    <t>面屋武藏</t>
  </si>
  <si>
    <t>华科百景园食堂</t>
  </si>
  <si>
    <t>穆贞兰手工牛肉面</t>
  </si>
  <si>
    <t>陈记乌饭麻糍</t>
  </si>
  <si>
    <t>Café de Flore</t>
  </si>
  <si>
    <t>拿破仑蛋糕</t>
  </si>
  <si>
    <t>彼得西餐</t>
  </si>
  <si>
    <t>道 拉面</t>
  </si>
  <si>
    <t>淮上豆府</t>
  </si>
  <si>
    <t>御牛苑黑毛和牛</t>
  </si>
  <si>
    <t>莞府家宴 · 东莞菜</t>
  </si>
  <si>
    <t>东城南记酒楼</t>
  </si>
  <si>
    <t>森记小食店</t>
  </si>
  <si>
    <t>0048香辣虾</t>
  </si>
  <si>
    <t>永华食店</t>
  </si>
  <si>
    <t>好利来</t>
  </si>
  <si>
    <t>盈晖海鲜酒家</t>
  </si>
  <si>
    <t>Curry 61</t>
  </si>
  <si>
    <t>均安才记烧猪</t>
  </si>
  <si>
    <t>银天大酒店</t>
  </si>
  <si>
    <t>超港</t>
  </si>
  <si>
    <t>文章捞面</t>
  </si>
  <si>
    <t>雅高铂尔曼酒店</t>
  </si>
  <si>
    <t xml:space="preserve">Old Iceland </t>
  </si>
  <si>
    <t>三条坊</t>
  </si>
  <si>
    <t>老门东马头牌冰棒</t>
  </si>
  <si>
    <t>宝龙烧鹅濑粉</t>
  </si>
  <si>
    <t>粤域茶餐厅</t>
  </si>
  <si>
    <t>鹿港小镇</t>
  </si>
  <si>
    <t>curry草枕</t>
  </si>
  <si>
    <t>Trattoria Zà Zà</t>
  </si>
  <si>
    <t>幸运6柠檬茶</t>
  </si>
  <si>
    <t>幸福茶餐厅</t>
  </si>
  <si>
    <t>巴师傅 Tin House</t>
  </si>
  <si>
    <t>富丽华</t>
  </si>
  <si>
    <t>龍門牛肉麺大王</t>
  </si>
  <si>
    <t>庐州小笼</t>
  </si>
  <si>
    <t>阿旗涮肉</t>
  </si>
  <si>
    <t>しゃぶしゃぶ Niimura</t>
  </si>
  <si>
    <t>红旗大饭店</t>
  </si>
  <si>
    <t>牛心食堂</t>
  </si>
  <si>
    <t>屋有鲜</t>
  </si>
  <si>
    <t>なにわ新風</t>
  </si>
  <si>
    <t>饗 くろ喜</t>
  </si>
  <si>
    <t xml:space="preserve"> 60-90</t>
  </si>
  <si>
    <t>Cevicheria Pez</t>
  </si>
  <si>
    <t>秘鲁菜</t>
  </si>
  <si>
    <t>刘文祥麻辣烫</t>
  </si>
  <si>
    <t>倉敷うどん ぶっかけ</t>
  </si>
  <si>
    <t>美菜莉</t>
  </si>
  <si>
    <t>福至食堂</t>
  </si>
  <si>
    <t>巴黎贝甜</t>
  </si>
  <si>
    <t>草鹿亭</t>
  </si>
  <si>
    <t>Wild Whale · 野鲸厨房</t>
  </si>
  <si>
    <t>周爱礼南京灌汤包</t>
  </si>
  <si>
    <t>We Hotel Toya</t>
  </si>
  <si>
    <t>绿风庄</t>
  </si>
  <si>
    <t>美佳茶档</t>
  </si>
  <si>
    <t>贾不假包子</t>
  </si>
  <si>
    <t>Brod &amp; Bakverk</t>
  </si>
  <si>
    <t>gateau</t>
  </si>
  <si>
    <t>芬芳甜品</t>
  </si>
  <si>
    <t>はなまるう乌冬</t>
  </si>
  <si>
    <t>Ramen Otaku</t>
  </si>
  <si>
    <t>北大学一食堂</t>
  </si>
  <si>
    <t>中科大星座餐厅</t>
  </si>
  <si>
    <t>Aiden Hotel</t>
  </si>
  <si>
    <t>7FOOD 小食堂</t>
  </si>
  <si>
    <t>ひまわり寿司</t>
  </si>
  <si>
    <t>楼兰</t>
  </si>
  <si>
    <t>忆秦时</t>
  </si>
  <si>
    <t>元贝美食</t>
  </si>
  <si>
    <t>茶蕎麦 吉そば</t>
  </si>
  <si>
    <t xml:space="preserve">Fiskeriet </t>
  </si>
  <si>
    <t>清真老刘蒸饺</t>
  </si>
  <si>
    <t>太原</t>
  </si>
  <si>
    <t>嘉福小食店</t>
  </si>
  <si>
    <t>八达牛餐馆</t>
  </si>
  <si>
    <t>亚朵酒店</t>
  </si>
  <si>
    <t>九十葉</t>
  </si>
  <si>
    <t>20 Eiffel</t>
  </si>
  <si>
    <t>广泰门</t>
  </si>
  <si>
    <t>Tim Wendelboe</t>
  </si>
  <si>
    <t>蜀江春</t>
  </si>
  <si>
    <t>自贡</t>
  </si>
  <si>
    <t>萧牧羊</t>
  </si>
  <si>
    <t>神戸灘八</t>
  </si>
  <si>
    <t>忆暹罗</t>
  </si>
  <si>
    <t>蒸浏记·浏阳蒸菜</t>
  </si>
  <si>
    <t>お食事処 山水縁</t>
  </si>
  <si>
    <t xml:space="preserve">Soban </t>
  </si>
  <si>
    <t>熊大爷现包饺子</t>
  </si>
  <si>
    <t>宜家餐厅</t>
  </si>
  <si>
    <t>东大方</t>
  </si>
  <si>
    <t>唐鮨·本味</t>
  </si>
  <si>
    <t>人形町 今半</t>
  </si>
  <si>
    <t>华科东一食堂</t>
  </si>
  <si>
    <t>宇治洋食屋カレー</t>
  </si>
  <si>
    <t>Maltfabriken</t>
  </si>
  <si>
    <t>张记麻陂肉丸粉</t>
  </si>
  <si>
    <t>清华紫荆园餐厅</t>
  </si>
  <si>
    <t>连州金全大排档</t>
  </si>
  <si>
    <t>张记正宗化州牛腩粉</t>
  </si>
  <si>
    <t>乐多利美食</t>
  </si>
  <si>
    <t>Moon Moon</t>
  </si>
  <si>
    <t>新加坡菜</t>
  </si>
  <si>
    <t>Hafiz Mustafa</t>
  </si>
  <si>
    <t>丸太町 十二段家</t>
  </si>
  <si>
    <t>水城囿家羊肉粉</t>
  </si>
  <si>
    <t>顺粤食家</t>
  </si>
  <si>
    <t>山西饭店</t>
  </si>
  <si>
    <t>Café Foaje</t>
  </si>
  <si>
    <t>莱莱小笼·乔艾</t>
  </si>
  <si>
    <t>Mia Bocca</t>
  </si>
  <si>
    <t>Coffee Berry</t>
  </si>
  <si>
    <t>城一锅羊蝎子</t>
  </si>
  <si>
    <t>心缘棋牌餐饮</t>
  </si>
  <si>
    <t>蒸小皖</t>
  </si>
  <si>
    <t>华科紫荆园食堂</t>
  </si>
  <si>
    <t>西关明记肠粉</t>
  </si>
  <si>
    <t>老北京柴氏牛肉面</t>
  </si>
  <si>
    <t>龙姨粉角铺</t>
  </si>
  <si>
    <t>くつろぎ家</t>
  </si>
  <si>
    <t>OSTERIA FARUSO</t>
  </si>
  <si>
    <t>允升甜品</t>
  </si>
  <si>
    <t>鸡柳大人</t>
  </si>
  <si>
    <t>华科百惠园食堂</t>
  </si>
  <si>
    <t>艺厨私房菜</t>
  </si>
  <si>
    <t>井出商店</t>
  </si>
  <si>
    <t>华科东教工食堂</t>
  </si>
  <si>
    <t>古城面屋</t>
  </si>
  <si>
    <t>陈赞记 · 潮汕牛肉海鲜火锅</t>
  </si>
  <si>
    <t>Pastéis de Belém</t>
  </si>
  <si>
    <t>中科大中区食堂</t>
  </si>
  <si>
    <t>芯霏州餐饮有限公司</t>
  </si>
  <si>
    <t>茉酸奶</t>
  </si>
  <si>
    <t>科大糕点</t>
  </si>
  <si>
    <t>仟佰味家居本味馆</t>
  </si>
  <si>
    <t>旧ヤム鐵道</t>
  </si>
  <si>
    <t>浙园·曲院荷风</t>
  </si>
  <si>
    <t>大野屋</t>
  </si>
  <si>
    <t>苗师傅板面馆</t>
  </si>
  <si>
    <t>心意美食</t>
  </si>
  <si>
    <t>贵城烙锅</t>
  </si>
  <si>
    <t>Ai Japansk</t>
  </si>
  <si>
    <t>大梦丸 关东煮专门店</t>
  </si>
  <si>
    <t>蒸武门</t>
  </si>
  <si>
    <t>尚酥坊</t>
  </si>
  <si>
    <t>山城老冰粉</t>
  </si>
  <si>
    <t>sweet orchestra</t>
  </si>
  <si>
    <t>六叔公客家菜</t>
  </si>
  <si>
    <t>南园酒家</t>
  </si>
  <si>
    <t>郇厨</t>
  </si>
  <si>
    <t>亚朵轻居酒店</t>
  </si>
  <si>
    <t>望椿</t>
  </si>
  <si>
    <t>鸿运茶油鸡</t>
  </si>
  <si>
    <t>gulugulu 椰子水</t>
  </si>
  <si>
    <t>Sai Kung Cafe &amp; Bakery</t>
  </si>
  <si>
    <t>汤浅米酱</t>
  </si>
  <si>
    <t>朗派汉堡</t>
  </si>
  <si>
    <t>中科大专家楼食堂</t>
  </si>
  <si>
    <t>Take Ramen</t>
  </si>
  <si>
    <t>元古云境</t>
  </si>
  <si>
    <t>满巍明生炸鸡架</t>
  </si>
  <si>
    <t>东京大学中央食堂</t>
  </si>
  <si>
    <t>一风堂</t>
  </si>
  <si>
    <t>超意兴</t>
  </si>
  <si>
    <t>一豚轩</t>
  </si>
  <si>
    <t>Pasta &amp; Pasta</t>
  </si>
  <si>
    <t>上海老饭店</t>
  </si>
  <si>
    <t>大头卤菜</t>
  </si>
  <si>
    <t>辉记甜品店</t>
  </si>
  <si>
    <t>一心烧鸟屋</t>
  </si>
  <si>
    <t>MAMMOTH猛犸象</t>
  </si>
  <si>
    <t>章云板鸭</t>
  </si>
  <si>
    <t>Snake Time</t>
  </si>
  <si>
    <t>双胜圆牛肉板面</t>
  </si>
  <si>
    <t>食其家</t>
  </si>
  <si>
    <t>甬上名灶</t>
  </si>
  <si>
    <t>东北水饺（接龙里小区）</t>
  </si>
  <si>
    <t>俄士厨房</t>
  </si>
  <si>
    <t>Ça Marche</t>
  </si>
  <si>
    <t>深湖记潮汕集市</t>
  </si>
  <si>
    <t>W · BURGER 烤房</t>
  </si>
  <si>
    <t>温州</t>
  </si>
  <si>
    <t>Zaatar w Zeit</t>
  </si>
  <si>
    <t>原一日式拉面</t>
  </si>
  <si>
    <t xml:space="preserve">Espacio Eslava </t>
  </si>
  <si>
    <t>来来轩</t>
  </si>
  <si>
    <t>骨付鸟 一鹤</t>
  </si>
  <si>
    <t>龙珠饼店</t>
  </si>
  <si>
    <t>元气寿司</t>
  </si>
  <si>
    <t>金智茵部队火锅拌饭</t>
  </si>
  <si>
    <t>混果汁</t>
  </si>
  <si>
    <t>萨莉亚</t>
  </si>
  <si>
    <t>きしから</t>
  </si>
  <si>
    <t>复旦大学旦苑食堂</t>
  </si>
  <si>
    <t>暖暮拉面</t>
  </si>
  <si>
    <t>云海肴汽锅鸡</t>
  </si>
  <si>
    <t>金斗云</t>
  </si>
  <si>
    <t>阵屋团子</t>
  </si>
  <si>
    <t xml:space="preserve">Istanbul Kebab </t>
  </si>
  <si>
    <t>柠季</t>
  </si>
  <si>
    <t>聚园食堂</t>
  </si>
  <si>
    <t>ラーメンこがね家</t>
  </si>
  <si>
    <t>香港大学庄月明文娱中心餐厅</t>
  </si>
  <si>
    <t>美豪丽致酒店</t>
  </si>
  <si>
    <t>谭仔米线</t>
  </si>
  <si>
    <t>Café Amalia</t>
  </si>
  <si>
    <t>Sa Gelateria</t>
  </si>
  <si>
    <t>Headlight Burger</t>
  </si>
  <si>
    <t xml:space="preserve">Comfort Hotel </t>
  </si>
  <si>
    <t>安和食堂</t>
  </si>
  <si>
    <t>炙玉豚骨拉面</t>
  </si>
  <si>
    <t>龍聚祥</t>
  </si>
  <si>
    <t>韩韩海鲜</t>
  </si>
  <si>
    <t>C'S DINER</t>
  </si>
  <si>
    <t>La Buvette du Dauphin</t>
  </si>
  <si>
    <t>陈多多豆腐奶茶</t>
  </si>
  <si>
    <t>Asian Delight</t>
  </si>
  <si>
    <t>菲律宾菜</t>
  </si>
  <si>
    <t>Marry Brown</t>
  </si>
  <si>
    <t>潮牛壹号</t>
  </si>
  <si>
    <t>法桐</t>
  </si>
  <si>
    <t>东横inn</t>
  </si>
  <si>
    <t>森呼吸简餐咖啡</t>
  </si>
  <si>
    <t>田地蟹黄汤包</t>
  </si>
  <si>
    <t>华科东三食堂</t>
  </si>
  <si>
    <t xml:space="preserve">Guesthouse Gerði </t>
  </si>
  <si>
    <t>wagas</t>
  </si>
  <si>
    <t>水西门鸭子店</t>
  </si>
  <si>
    <t>红跑车</t>
  </si>
  <si>
    <t>Moment Joie</t>
  </si>
  <si>
    <t>刀板香</t>
  </si>
  <si>
    <t>陈添记</t>
  </si>
  <si>
    <t>胡兴堂</t>
  </si>
  <si>
    <t>火宫殿</t>
  </si>
  <si>
    <t>香油鸡腌面</t>
  </si>
  <si>
    <t>Anker Hotel</t>
  </si>
  <si>
    <t>吴山贡鹅</t>
  </si>
  <si>
    <t>大丸家 串物局</t>
  </si>
  <si>
    <t>甘春堂</t>
  </si>
  <si>
    <t>瀚鸿阜阳羊肉汤</t>
  </si>
  <si>
    <t>元禄寿司</t>
  </si>
  <si>
    <t>松下制面所</t>
  </si>
  <si>
    <t>串かつだるま</t>
  </si>
  <si>
    <t>Bonjour 本就</t>
  </si>
  <si>
    <t>HATENA BURGER</t>
  </si>
  <si>
    <t>Ca'n Molinas</t>
  </si>
  <si>
    <t>饺子王将</t>
  </si>
  <si>
    <t>Shawarma Bar</t>
  </si>
  <si>
    <t>一坐一忘</t>
  </si>
  <si>
    <t>光輪</t>
  </si>
  <si>
    <t>日本-静冈</t>
  </si>
  <si>
    <t>Hrimnir Ramen</t>
  </si>
  <si>
    <t>棒约翰</t>
  </si>
  <si>
    <t>Pastasciutta</t>
  </si>
  <si>
    <t>Le Pan</t>
  </si>
  <si>
    <t>相约樾楠</t>
  </si>
  <si>
    <t>夢菓房たから</t>
  </si>
  <si>
    <t>芽笼芽笼</t>
  </si>
  <si>
    <t>马来哥沙茶面馆</t>
  </si>
  <si>
    <t>华莱士</t>
  </si>
  <si>
    <t>蓝象泰国餐厅</t>
  </si>
  <si>
    <t>绝味鸭脖</t>
  </si>
  <si>
    <t>Ali's Kiosk&amp;Grill</t>
  </si>
  <si>
    <t>电白渔港 · 湛江鸡饭店</t>
  </si>
  <si>
    <t>小鱼卜卜主题韩餐</t>
  </si>
  <si>
    <t>Far East</t>
  </si>
  <si>
    <t>小龙坎</t>
  </si>
  <si>
    <t>Park Inn</t>
  </si>
  <si>
    <t>李百蟹</t>
  </si>
  <si>
    <t>SUBWAY</t>
  </si>
  <si>
    <t>Noon o kabab</t>
  </si>
  <si>
    <t>Alexander the Great</t>
  </si>
  <si>
    <t>久久丫</t>
  </si>
  <si>
    <t>南大第二食堂</t>
  </si>
  <si>
    <t>中科大高新区食堂</t>
  </si>
  <si>
    <t>桃太郎茶屋</t>
  </si>
  <si>
    <t>顶特勒</t>
  </si>
  <si>
    <t>摩打食堂</t>
  </si>
  <si>
    <t xml:space="preserve">Popeyes </t>
  </si>
  <si>
    <t>达美乐披萨</t>
  </si>
  <si>
    <t>四眼仔面档</t>
  </si>
  <si>
    <t>平宗</t>
  </si>
  <si>
    <t>Arabian Taste</t>
  </si>
  <si>
    <t>王梅串串香</t>
  </si>
  <si>
    <t>文目堂荞麦面</t>
  </si>
  <si>
    <t>马德诺墨西哥料理</t>
  </si>
  <si>
    <t>Jaipur</t>
  </si>
  <si>
    <t>五谷渔粉</t>
  </si>
  <si>
    <t>Santagloria</t>
  </si>
  <si>
    <t>しゃぶしゃぶ温野菜</t>
  </si>
  <si>
    <t>MoreYogurt 牧场奶仓</t>
  </si>
  <si>
    <t>祐禾</t>
  </si>
  <si>
    <t>九号行馆</t>
  </si>
  <si>
    <t>Destination Gotland</t>
  </si>
  <si>
    <t>西华美食</t>
  </si>
  <si>
    <t>顺溜削面</t>
  </si>
  <si>
    <t>张记鱼蛋粉面</t>
  </si>
  <si>
    <t>阿香米线</t>
  </si>
  <si>
    <t>澳门味道</t>
  </si>
  <si>
    <t>大米先生</t>
  </si>
  <si>
    <t>矢量咖啡</t>
  </si>
  <si>
    <t>Wienerwald</t>
  </si>
  <si>
    <t>HEY PHO 喜越</t>
  </si>
  <si>
    <t>李先生</t>
  </si>
  <si>
    <t>かやく御飯 大黒</t>
  </si>
  <si>
    <t>一味清欢</t>
  </si>
  <si>
    <t>Gute Pizzeria</t>
  </si>
  <si>
    <t>原西四包子铺</t>
  </si>
  <si>
    <t>小白桦上海餐厅</t>
  </si>
  <si>
    <t>老大骨头汤馆</t>
  </si>
  <si>
    <t>Arroz Blanco</t>
  </si>
  <si>
    <t>Sibylla</t>
  </si>
  <si>
    <t xml:space="preserve">熊猫饺子 </t>
  </si>
  <si>
    <t>Kuraya</t>
  </si>
  <si>
    <t>CHEWPHO越南粉</t>
  </si>
  <si>
    <t>Chen's 面</t>
  </si>
  <si>
    <t>大榕树下佛山-顺德菜</t>
  </si>
  <si>
    <t>呷脯呷脯</t>
  </si>
  <si>
    <t>Mos burger</t>
  </si>
  <si>
    <t>华科西二食堂</t>
  </si>
  <si>
    <t>美国加州牛肉面大王</t>
  </si>
  <si>
    <t>Lilla kina</t>
  </si>
  <si>
    <t>Coco's Airport Dining</t>
  </si>
  <si>
    <t>溢香居</t>
  </si>
  <si>
    <t>东京大学森川食堂</t>
  </si>
  <si>
    <t>好味道点心店</t>
  </si>
  <si>
    <t>麺屋 ひしお</t>
  </si>
  <si>
    <t>回乡麦客</t>
  </si>
  <si>
    <t>奇香菜馆</t>
  </si>
  <si>
    <t>Umami</t>
  </si>
  <si>
    <t>Caffe LAT.25°</t>
  </si>
  <si>
    <t>新照记小食</t>
  </si>
  <si>
    <t>strawberry mania</t>
  </si>
  <si>
    <t xml:space="preserve">30-60 </t>
  </si>
  <si>
    <t>三孝口面馆</t>
  </si>
  <si>
    <t>Goonies</t>
  </si>
  <si>
    <t>王氏现捞</t>
  </si>
  <si>
    <t>云上四季</t>
  </si>
  <si>
    <t>Chez Savy</t>
  </si>
  <si>
    <t>泽成冰煮羊</t>
  </si>
  <si>
    <t>Mandarin City</t>
  </si>
  <si>
    <t>华科学二食堂</t>
  </si>
  <si>
    <t>PASTARÉ</t>
  </si>
  <si>
    <t>布卡拉印度餐厅</t>
  </si>
  <si>
    <t>禾呈太糊汤粉</t>
  </si>
  <si>
    <t>连州伟达酒家</t>
  </si>
  <si>
    <t>竹林·外滩小宴</t>
  </si>
  <si>
    <t>安馨轻食</t>
  </si>
  <si>
    <t>Dream Ocean</t>
  </si>
  <si>
    <t>新世界西洋餐</t>
  </si>
  <si>
    <t>かに・海鮮問屋 魚どん亭</t>
  </si>
  <si>
    <t>金二少冰室</t>
  </si>
  <si>
    <t>众轩自选快餐</t>
  </si>
  <si>
    <t>茉莉</t>
  </si>
  <si>
    <t>Ayasofya Doner</t>
  </si>
  <si>
    <t>塔斯汀中国汉堡</t>
  </si>
  <si>
    <t>广味烧腊王</t>
  </si>
  <si>
    <t>成吉思汗达摩</t>
  </si>
  <si>
    <t>猪肉婆</t>
  </si>
  <si>
    <t>Shawarma Bar Foodtruck</t>
  </si>
  <si>
    <t>Maru</t>
  </si>
  <si>
    <t>East Coast</t>
  </si>
  <si>
    <t>冯校长老火锅</t>
  </si>
  <si>
    <t>Ditsch</t>
  </si>
  <si>
    <t>焼貝 いろは</t>
  </si>
  <si>
    <t>和やまむら</t>
  </si>
  <si>
    <t>ヤキニクギャング</t>
  </si>
  <si>
    <t>真鲷拉面</t>
  </si>
  <si>
    <t>Miffy's Oyatsu</t>
  </si>
  <si>
    <t>羲和小馆</t>
  </si>
  <si>
    <t>国科大玉泉路食堂</t>
  </si>
  <si>
    <t>清和元</t>
  </si>
  <si>
    <t>苗家黔鲜味红酸</t>
  </si>
  <si>
    <t>叠记咖喱面食</t>
  </si>
  <si>
    <t>菊乃井 无碍山房</t>
  </si>
  <si>
    <t>Mesón del Champiñón</t>
  </si>
  <si>
    <t>俺の焼肉</t>
  </si>
  <si>
    <t>Mahou</t>
  </si>
  <si>
    <t>幸福小丑</t>
  </si>
  <si>
    <t>Daiwa Roynet Hotel</t>
  </si>
  <si>
    <t>曲水兰亭</t>
  </si>
  <si>
    <t xml:space="preserve">NORDSEE </t>
  </si>
  <si>
    <t>奥地利</t>
  </si>
  <si>
    <t>摩亨佐大罗</t>
  </si>
  <si>
    <t>まつや ふれあい名産館</t>
  </si>
  <si>
    <t>Jureskogs</t>
  </si>
  <si>
    <t>中洲屋台 伸龍</t>
  </si>
  <si>
    <t>Surfers</t>
  </si>
  <si>
    <t>Les Canailles</t>
  </si>
  <si>
    <t>タコとハイボール</t>
  </si>
  <si>
    <t xml:space="preserve">Osteria Barberini </t>
  </si>
  <si>
    <t>Restaurant AG</t>
  </si>
  <si>
    <t>华强鸡蛋饼</t>
  </si>
  <si>
    <t>あずまし亭</t>
  </si>
  <si>
    <t>屋台もり</t>
  </si>
  <si>
    <t>某一巷砂锅</t>
  </si>
  <si>
    <t>徐二孃蛋烘糕</t>
  </si>
  <si>
    <t>SÉZANNE</t>
  </si>
  <si>
    <t>Little Foodie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</si>
</sst>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等线"/>
      <charset val="134"/>
      <scheme val="minor"/>
    </font>
    <font>
      <b/>
      <sz val="18"/>
      <color theme="0"/>
      <name val="微软雅黑"/>
      <charset val="134"/>
    </font>
    <font>
      <b/>
      <sz val="16"/>
      <color theme="1"/>
      <name val="微软雅黑"/>
      <charset val="134"/>
    </font>
    <font>
      <b/>
      <sz val="1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9737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9900"/>
      <color rgb="00F97373"/>
      <color rgb="00CC99FF"/>
      <color rgb="00FFCC00"/>
      <color rgb="00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4"/>
  <sheetViews>
    <sheetView tabSelected="1" zoomScale="80" zoomScaleNormal="80" workbookViewId="0">
      <pane ySplit="1" topLeftCell="A301" activePane="bottomLeft" state="frozen"/>
      <selection/>
      <selection pane="bottomLeft" activeCell="H328" sqref="H328"/>
    </sheetView>
  </sheetViews>
  <sheetFormatPr defaultColWidth="23.25" defaultRowHeight="34.5" customHeight="1"/>
  <cols>
    <col min="1" max="1" width="8.33333333333333" style="2" customWidth="1"/>
    <col min="2" max="2" width="8.83333333333333" style="2" customWidth="1"/>
    <col min="3" max="3" width="9.33333333333333" style="3" customWidth="1"/>
    <col min="4" max="4" width="38.0833333333333" style="2" customWidth="1"/>
    <col min="5" max="7" width="8.75" style="2" customWidth="1"/>
    <col min="8" max="8" width="23.75" style="2" customWidth="1"/>
    <col min="9" max="9" width="14.3333333333333" style="2" customWidth="1"/>
    <col min="10" max="10" width="18" style="4" customWidth="1"/>
    <col min="11" max="11" width="50.8333333333333" style="2" customWidth="1"/>
    <col min="12" max="16384" width="23.25" style="2"/>
  </cols>
  <sheetData>
    <row r="1" s="1" customFormat="1" ht="48" customHeight="1" spans="1:17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Height="1" spans="1:17">
      <c r="B2" s="2">
        <v>1</v>
      </c>
      <c r="C2" s="7">
        <f t="shared" ref="C2:C65" si="0">ROUND(MAX(MIN(N2+Q2,100),0),2)</f>
        <v>92.4</v>
      </c>
      <c r="D2" s="2" t="s">
        <v>16</v>
      </c>
      <c r="E2" s="8">
        <v>91</v>
      </c>
      <c r="F2" s="8">
        <v>91</v>
      </c>
      <c r="G2" s="9">
        <v>75</v>
      </c>
      <c r="H2" s="2" t="s">
        <v>17</v>
      </c>
      <c r="I2" s="2" t="s">
        <v>18</v>
      </c>
      <c r="J2" s="4" t="s">
        <v>19</v>
      </c>
      <c r="K2" s="2" t="s">
        <v>20</v>
      </c>
      <c r="M2" s="2">
        <f t="shared" ref="M2:M65" si="1">IF(J2="1000+",1000,(LEFT(J2,FIND("-",J2)-1)+RIGHT(J2,LEN(J2)-FIND("-",J2)))/2)</f>
        <v>225</v>
      </c>
      <c r="N2" s="2">
        <f t="shared" ref="N2:N65" si="2">ROUND(E2*0.7+F2*0.2+G2*0.1,2)</f>
        <v>89.4</v>
      </c>
      <c r="O2" s="2">
        <f>IF(M2="","",IF(M2&gt;=1000,95,IF(M2&lt;=12.5,50,LOOKUP(M2,{12.5,15,20,30,45,60,75,105,115,150,200,225,250,600,1000},{50,55,60,62,65,68,70,72,75,80,82,85,87,90,95})+(M2-LOOKUP(M2,{12.5,15,20,30,45,60,75,105,115,150,200,225,250,600},{12.5,15,20,30,45,60,75,105,115,150,200,225,250,600}))/(LOOKUP(M2,{12.5,15,20,30,45,60,75,105,115,150,200,225,250,600,1000},{15,20,30,45,60,75,105,115,150,200,225,250,600,1000,1000})-LOOKUP(M2,{12.5,15,20,30,45,60,75,105,115,150,200,225,250,600},{12.5,15,20,30,45,60,75,105,115,150,200,225,250,600}))*(LOOKUP(M2,{12.5,15,20,30,45,60,75,105,115,150,200,225,250,600,1000},{55,60,62,65,68,70,72,75,80,82,85,87,90,95,95})-LOOKUP(M2,{12.5,15,20,30,45,60,75,105,115,150,200,225,250,600,1000},{50,55,60,62,65,68,70,72,75,80,82,85,87,90,95})))))</f>
        <v>85</v>
      </c>
      <c r="P2" s="2">
        <f t="shared" ref="P2:P65" si="3">E2-O2</f>
        <v>6</v>
      </c>
      <c r="Q2" s="2">
        <f t="shared" ref="Q2:Q65" si="4">ROUND(SIGN(P2)*IF(ABS(P2)&lt;=10,ABS(P2)*0.5,IF(ABS(P2)&lt;=15,5+(ABS(P2)-10)*(1.67/5),6.67+(ABS(P2)-15)*0.333)),2)</f>
        <v>3</v>
      </c>
    </row>
    <row r="3" customHeight="1" spans="1:17">
      <c r="B3" s="2">
        <v>2</v>
      </c>
      <c r="C3" s="7">
        <f t="shared" si="0"/>
        <v>92.3</v>
      </c>
      <c r="D3" s="2" t="s">
        <v>21</v>
      </c>
      <c r="E3" s="10">
        <v>89</v>
      </c>
      <c r="F3" s="9">
        <v>74</v>
      </c>
      <c r="G3" s="9">
        <v>72</v>
      </c>
      <c r="H3" s="2" t="s">
        <v>22</v>
      </c>
      <c r="I3" s="2" t="s">
        <v>23</v>
      </c>
      <c r="J3" s="4" t="s">
        <v>24</v>
      </c>
      <c r="K3" s="2" t="s">
        <v>25</v>
      </c>
      <c r="M3" s="2">
        <f t="shared" si="1"/>
        <v>75</v>
      </c>
      <c r="N3" s="2">
        <f t="shared" si="2"/>
        <v>84.3</v>
      </c>
      <c r="O3" s="2">
        <f>IF(M3="","",IF(M3&gt;=1000,95,IF(M3&lt;=12.5,50,LOOKUP(M3,{12.5,15,20,30,45,60,75,105,115,150,200,225,250,600,1000},{50,55,60,62,65,68,70,72,75,80,82,85,87,90,95})+(M3-LOOKUP(M3,{12.5,15,20,30,45,60,75,105,115,150,200,225,250,600},{12.5,15,20,30,45,60,75,105,115,150,200,225,250,600}))/(LOOKUP(M3,{12.5,15,20,30,45,60,75,105,115,150,200,225,250,600,1000},{15,20,30,45,60,75,105,115,150,200,225,250,600,1000,1000})-LOOKUP(M3,{12.5,15,20,30,45,60,75,105,115,150,200,225,250,600},{12.5,15,20,30,45,60,75,105,115,150,200,225,250,600}))*(LOOKUP(M3,{12.5,15,20,30,45,60,75,105,115,150,200,225,250,600,1000},{55,60,62,65,68,70,72,75,80,82,85,87,90,95,95})-LOOKUP(M3,{12.5,15,20,30,45,60,75,105,115,150,200,225,250,600,1000},{50,55,60,62,65,68,70,72,75,80,82,85,87,90,95})))))</f>
        <v>70</v>
      </c>
      <c r="P3" s="2">
        <f t="shared" si="3"/>
        <v>19</v>
      </c>
      <c r="Q3" s="2">
        <f t="shared" si="4"/>
        <v>8</v>
      </c>
    </row>
    <row r="4" customHeight="1" spans="1:17">
      <c r="B4" s="2">
        <v>3</v>
      </c>
      <c r="C4" s="11">
        <f t="shared" si="0"/>
        <v>89.6</v>
      </c>
      <c r="D4" s="2" t="s">
        <v>26</v>
      </c>
      <c r="E4" s="10">
        <v>86</v>
      </c>
      <c r="F4" s="12">
        <v>63</v>
      </c>
      <c r="G4" s="2">
        <v>48</v>
      </c>
      <c r="H4" s="2" t="s">
        <v>27</v>
      </c>
      <c r="I4" s="2" t="s">
        <v>28</v>
      </c>
      <c r="J4" s="4" t="s">
        <v>29</v>
      </c>
      <c r="K4" s="2" t="s">
        <v>30</v>
      </c>
      <c r="M4" s="2">
        <f t="shared" si="1"/>
        <v>15</v>
      </c>
      <c r="N4" s="2">
        <f t="shared" si="2"/>
        <v>77.6</v>
      </c>
      <c r="O4" s="2">
        <f>IF(M4="","",IF(M4&gt;=1000,95,IF(M4&lt;=12.5,50,LOOKUP(M4,{12.5,15,20,30,45,60,75,105,115,150,200,225,250,600,1000},{50,55,60,62,65,68,70,72,75,80,82,85,87,90,95})+(M4-LOOKUP(M4,{12.5,15,20,30,45,60,75,105,115,150,200,225,250,600},{12.5,15,20,30,45,60,75,105,115,150,200,225,250,600}))/(LOOKUP(M4,{12.5,15,20,30,45,60,75,105,115,150,200,225,250,600,1000},{15,20,30,45,60,75,105,115,150,200,225,250,600,1000,1000})-LOOKUP(M4,{12.5,15,20,30,45,60,75,105,115,150,200,225,250,600},{12.5,15,20,30,45,60,75,105,115,150,200,225,250,600}))*(LOOKUP(M4,{12.5,15,20,30,45,60,75,105,115,150,200,225,250,600,1000},{55,60,62,65,68,70,72,75,80,82,85,87,90,95,95})-LOOKUP(M4,{12.5,15,20,30,45,60,75,105,115,150,200,225,250,600,1000},{50,55,60,62,65,68,70,72,75,80,82,85,87,90,95})))))</f>
        <v>55</v>
      </c>
      <c r="P4" s="2">
        <f t="shared" si="3"/>
        <v>31</v>
      </c>
      <c r="Q4" s="2">
        <f t="shared" si="4"/>
        <v>12</v>
      </c>
    </row>
    <row r="5" customHeight="1" spans="1:17">
      <c r="B5" s="2">
        <v>4</v>
      </c>
      <c r="C5" s="11">
        <f t="shared" si="0"/>
        <v>89.27</v>
      </c>
      <c r="D5" s="2" t="s">
        <v>31</v>
      </c>
      <c r="E5" s="10">
        <v>89</v>
      </c>
      <c r="F5" s="12">
        <v>66</v>
      </c>
      <c r="G5" s="2">
        <v>51</v>
      </c>
      <c r="H5" s="2" t="s">
        <v>32</v>
      </c>
      <c r="I5" s="2" t="s">
        <v>33</v>
      </c>
      <c r="J5" s="4" t="s">
        <v>34</v>
      </c>
      <c r="K5" s="2" t="s">
        <v>35</v>
      </c>
      <c r="M5" s="2">
        <f t="shared" si="1"/>
        <v>60</v>
      </c>
      <c r="N5" s="2">
        <f t="shared" si="2"/>
        <v>80.6</v>
      </c>
      <c r="O5" s="2">
        <f>IF(M5="","",IF(M5&gt;=1000,95,IF(M5&lt;=12.5,50,LOOKUP(M5,{12.5,15,20,30,45,60,75,105,115,150,200,225,250,600,1000},{50,55,60,62,65,68,70,72,75,80,82,85,87,90,95})+(M5-LOOKUP(M5,{12.5,15,20,30,45,60,75,105,115,150,200,225,250,600},{12.5,15,20,30,45,60,75,105,115,150,200,225,250,600}))/(LOOKUP(M5,{12.5,15,20,30,45,60,75,105,115,150,200,225,250,600,1000},{15,20,30,45,60,75,105,115,150,200,225,250,600,1000,1000})-LOOKUP(M5,{12.5,15,20,30,45,60,75,105,115,150,200,225,250,600},{12.5,15,20,30,45,60,75,105,115,150,200,225,250,600}))*(LOOKUP(M5,{12.5,15,20,30,45,60,75,105,115,150,200,225,250,600,1000},{55,60,62,65,68,70,72,75,80,82,85,87,90,95,95})-LOOKUP(M5,{12.5,15,20,30,45,60,75,105,115,150,200,225,250,600,1000},{50,55,60,62,65,68,70,72,75,80,82,85,87,90,95})))))</f>
        <v>68</v>
      </c>
      <c r="P5" s="2">
        <f t="shared" si="3"/>
        <v>21</v>
      </c>
      <c r="Q5" s="2">
        <f t="shared" si="4"/>
        <v>8.67</v>
      </c>
    </row>
    <row r="6" customHeight="1" spans="1:17">
      <c r="B6" s="2">
        <v>5</v>
      </c>
      <c r="C6" s="11">
        <f t="shared" si="0"/>
        <v>88.67</v>
      </c>
      <c r="D6" s="2" t="s">
        <v>36</v>
      </c>
      <c r="E6" s="10">
        <v>86</v>
      </c>
      <c r="F6" s="9">
        <v>70</v>
      </c>
      <c r="G6" s="2">
        <v>58</v>
      </c>
      <c r="H6" s="2" t="s">
        <v>37</v>
      </c>
      <c r="I6" s="2" t="s">
        <v>33</v>
      </c>
      <c r="J6" s="4" t="s">
        <v>38</v>
      </c>
      <c r="K6" s="2" t="s">
        <v>39</v>
      </c>
      <c r="M6" s="2">
        <f t="shared" si="1"/>
        <v>45</v>
      </c>
      <c r="N6" s="2">
        <f t="shared" si="2"/>
        <v>80</v>
      </c>
      <c r="O6" s="2">
        <f>IF(M6="","",IF(M6&gt;=1000,95,IF(M6&lt;=12.5,50,LOOKUP(M6,{12.5,15,20,30,45,60,75,105,115,150,200,225,250,600,1000},{50,55,60,62,65,68,70,72,75,80,82,85,87,90,95})+(M6-LOOKUP(M6,{12.5,15,20,30,45,60,75,105,115,150,200,225,250,600},{12.5,15,20,30,45,60,75,105,115,150,200,225,250,600}))/(LOOKUP(M6,{12.5,15,20,30,45,60,75,105,115,150,200,225,250,600,1000},{15,20,30,45,60,75,105,115,150,200,225,250,600,1000,1000})-LOOKUP(M6,{12.5,15,20,30,45,60,75,105,115,150,200,225,250,600},{12.5,15,20,30,45,60,75,105,115,150,200,225,250,600}))*(LOOKUP(M6,{12.5,15,20,30,45,60,75,105,115,150,200,225,250,600,1000},{55,60,62,65,68,70,72,75,80,82,85,87,90,95,95})-LOOKUP(M6,{12.5,15,20,30,45,60,75,105,115,150,200,225,250,600,1000},{50,55,60,62,65,68,70,72,75,80,82,85,87,90,95})))))</f>
        <v>65</v>
      </c>
      <c r="P6" s="2">
        <f t="shared" si="3"/>
        <v>21</v>
      </c>
      <c r="Q6" s="2">
        <f t="shared" si="4"/>
        <v>8.67</v>
      </c>
    </row>
    <row r="7" customHeight="1" spans="1:17">
      <c r="B7" s="2">
        <v>6</v>
      </c>
      <c r="C7" s="11">
        <f t="shared" si="0"/>
        <v>88.1</v>
      </c>
      <c r="D7" s="2" t="s">
        <v>40</v>
      </c>
      <c r="E7" s="8">
        <v>90</v>
      </c>
      <c r="F7" s="8">
        <v>95</v>
      </c>
      <c r="G7" s="10">
        <v>86</v>
      </c>
      <c r="H7" s="2" t="s">
        <v>41</v>
      </c>
      <c r="I7" s="2" t="s">
        <v>42</v>
      </c>
      <c r="J7" s="4" t="s">
        <v>43</v>
      </c>
      <c r="K7" s="2" t="s">
        <v>44</v>
      </c>
      <c r="M7" s="2">
        <f t="shared" si="1"/>
        <v>1000</v>
      </c>
      <c r="N7" s="2">
        <f t="shared" si="2"/>
        <v>90.6</v>
      </c>
      <c r="O7" s="2">
        <f>IF(M7="","",IF(M7&gt;=1000,95,IF(M7&lt;=12.5,50,LOOKUP(M7,{12.5,15,20,30,45,60,75,105,115,150,200,225,250,600,1000},{50,55,60,62,65,68,70,72,75,80,82,85,87,90,95})+(M7-LOOKUP(M7,{12.5,15,20,30,45,60,75,105,115,150,200,225,250,600},{12.5,15,20,30,45,60,75,105,115,150,200,225,250,600}))/(LOOKUP(M7,{12.5,15,20,30,45,60,75,105,115,150,200,225,250,600,1000},{15,20,30,45,60,75,105,115,150,200,225,250,600,1000,1000})-LOOKUP(M7,{12.5,15,20,30,45,60,75,105,115,150,200,225,250,600},{12.5,15,20,30,45,60,75,105,115,150,200,225,250,600}))*(LOOKUP(M7,{12.5,15,20,30,45,60,75,105,115,150,200,225,250,600,1000},{55,60,62,65,68,70,72,75,80,82,85,87,90,95,95})-LOOKUP(M7,{12.5,15,20,30,45,60,75,105,115,150,200,225,250,600,1000},{50,55,60,62,65,68,70,72,75,80,82,85,87,90,95})))))</f>
        <v>95</v>
      </c>
      <c r="P7" s="2">
        <f t="shared" si="3"/>
        <v>-5</v>
      </c>
      <c r="Q7" s="2">
        <f t="shared" si="4"/>
        <v>-2.5</v>
      </c>
    </row>
    <row r="8" customHeight="1" spans="1:17">
      <c r="B8" s="2">
        <v>7</v>
      </c>
      <c r="C8" s="11">
        <f t="shared" si="0"/>
        <v>87.87</v>
      </c>
      <c r="D8" s="2" t="s">
        <v>45</v>
      </c>
      <c r="E8" s="10">
        <v>83</v>
      </c>
      <c r="F8" s="8">
        <v>90</v>
      </c>
      <c r="G8" s="2">
        <v>51</v>
      </c>
      <c r="H8" s="2" t="s">
        <v>46</v>
      </c>
      <c r="I8" s="2" t="s">
        <v>33</v>
      </c>
      <c r="J8" s="4" t="s">
        <v>34</v>
      </c>
      <c r="K8" s="2" t="s">
        <v>47</v>
      </c>
      <c r="M8" s="2">
        <f t="shared" si="1"/>
        <v>60</v>
      </c>
      <c r="N8" s="2">
        <f t="shared" si="2"/>
        <v>81.2</v>
      </c>
      <c r="O8" s="2">
        <f>IF(M8="","",IF(M8&gt;=1000,95,IF(M8&lt;=12.5,50,LOOKUP(M8,{12.5,15,20,30,45,60,75,105,115,150,200,225,250,600,1000},{50,55,60,62,65,68,70,72,75,80,82,85,87,90,95})+(M8-LOOKUP(M8,{12.5,15,20,30,45,60,75,105,115,150,200,225,250,600},{12.5,15,20,30,45,60,75,105,115,150,200,225,250,600}))/(LOOKUP(M8,{12.5,15,20,30,45,60,75,105,115,150,200,225,250,600,1000},{15,20,30,45,60,75,105,115,150,200,225,250,600,1000,1000})-LOOKUP(M8,{12.5,15,20,30,45,60,75,105,115,150,200,225,250,600},{12.5,15,20,30,45,60,75,105,115,150,200,225,250,600}))*(LOOKUP(M8,{12.5,15,20,30,45,60,75,105,115,150,200,225,250,600,1000},{55,60,62,65,68,70,72,75,80,82,85,87,90,95,95})-LOOKUP(M8,{12.5,15,20,30,45,60,75,105,115,150,200,225,250,600,1000},{50,55,60,62,65,68,70,72,75,80,82,85,87,90,95})))))</f>
        <v>68</v>
      </c>
      <c r="P8" s="2">
        <f t="shared" si="3"/>
        <v>15</v>
      </c>
      <c r="Q8" s="2">
        <f t="shared" si="4"/>
        <v>6.67</v>
      </c>
    </row>
    <row r="9" customHeight="1" spans="1:17">
      <c r="B9" s="2">
        <v>8</v>
      </c>
      <c r="C9" s="11">
        <f t="shared" si="0"/>
        <v>87.3</v>
      </c>
      <c r="D9" s="2" t="s">
        <v>48</v>
      </c>
      <c r="E9" s="10">
        <v>87</v>
      </c>
      <c r="F9" s="10">
        <v>89</v>
      </c>
      <c r="G9" s="12">
        <v>61</v>
      </c>
      <c r="H9" s="2" t="s">
        <v>49</v>
      </c>
      <c r="I9" s="2" t="s">
        <v>50</v>
      </c>
      <c r="J9" s="4" t="s">
        <v>51</v>
      </c>
      <c r="K9" s="2" t="s">
        <v>52</v>
      </c>
      <c r="M9" s="2">
        <f t="shared" si="1"/>
        <v>200</v>
      </c>
      <c r="N9" s="2">
        <f t="shared" si="2"/>
        <v>84.8</v>
      </c>
      <c r="O9" s="2">
        <f>IF(M9="","",IF(M9&gt;=1000,95,IF(M9&lt;=12.5,50,LOOKUP(M9,{12.5,15,20,30,45,60,75,105,115,150,200,225,250,600,1000},{50,55,60,62,65,68,70,72,75,80,82,85,87,90,95})+(M9-LOOKUP(M9,{12.5,15,20,30,45,60,75,105,115,150,200,225,250,600},{12.5,15,20,30,45,60,75,105,115,150,200,225,250,600}))/(LOOKUP(M9,{12.5,15,20,30,45,60,75,105,115,150,200,225,250,600,1000},{15,20,30,45,60,75,105,115,150,200,225,250,600,1000,1000})-LOOKUP(M9,{12.5,15,20,30,45,60,75,105,115,150,200,225,250,600},{12.5,15,20,30,45,60,75,105,115,150,200,225,250,600}))*(LOOKUP(M9,{12.5,15,20,30,45,60,75,105,115,150,200,225,250,600,1000},{55,60,62,65,68,70,72,75,80,82,85,87,90,95,95})-LOOKUP(M9,{12.5,15,20,30,45,60,75,105,115,150,200,225,250,600,1000},{50,55,60,62,65,68,70,72,75,80,82,85,87,90,95})))))</f>
        <v>82</v>
      </c>
      <c r="P9" s="2">
        <f t="shared" si="3"/>
        <v>5</v>
      </c>
      <c r="Q9" s="2">
        <f t="shared" si="4"/>
        <v>2.5</v>
      </c>
    </row>
    <row r="10" customHeight="1" spans="1:17">
      <c r="A10" s="2">
        <v>2026</v>
      </c>
      <c r="B10" s="2">
        <v>9</v>
      </c>
      <c r="C10" s="11">
        <f t="shared" si="0"/>
        <v>85.87</v>
      </c>
      <c r="D10" s="2" t="s">
        <v>53</v>
      </c>
      <c r="E10" s="10">
        <v>85</v>
      </c>
      <c r="F10" s="9">
        <v>71</v>
      </c>
      <c r="G10" s="2">
        <v>55</v>
      </c>
      <c r="H10" s="2" t="s">
        <v>54</v>
      </c>
      <c r="I10" s="2" t="s">
        <v>55</v>
      </c>
      <c r="J10" s="4" t="s">
        <v>24</v>
      </c>
      <c r="K10" s="2" t="s">
        <v>56</v>
      </c>
      <c r="M10" s="2">
        <f t="shared" si="1"/>
        <v>75</v>
      </c>
      <c r="N10" s="2">
        <f t="shared" si="2"/>
        <v>79.2</v>
      </c>
      <c r="O10" s="2">
        <f>IF(M10="","",IF(M10&gt;=1000,95,IF(M10&lt;=12.5,50,LOOKUP(M10,{12.5,15,20,30,45,60,75,105,115,150,200,225,250,600,1000},{50,55,60,62,65,68,70,72,75,80,82,85,87,90,95})+(M10-LOOKUP(M10,{12.5,15,20,30,45,60,75,105,115,150,200,225,250,600},{12.5,15,20,30,45,60,75,105,115,150,200,225,250,600}))/(LOOKUP(M10,{12.5,15,20,30,45,60,75,105,115,150,200,225,250,600,1000},{15,20,30,45,60,75,105,115,150,200,225,250,600,1000,1000})-LOOKUP(M10,{12.5,15,20,30,45,60,75,105,115,150,200,225,250,600},{12.5,15,20,30,45,60,75,105,115,150,200,225,250,600}))*(LOOKUP(M10,{12.5,15,20,30,45,60,75,105,115,150,200,225,250,600,1000},{55,60,62,65,68,70,72,75,80,82,85,87,90,95,95})-LOOKUP(M10,{12.5,15,20,30,45,60,75,105,115,150,200,225,250,600,1000},{50,55,60,62,65,68,70,72,75,80,82,85,87,90,95})))))</f>
        <v>70</v>
      </c>
      <c r="P10" s="2">
        <f t="shared" si="3"/>
        <v>15</v>
      </c>
      <c r="Q10" s="2">
        <f t="shared" si="4"/>
        <v>6.67</v>
      </c>
    </row>
    <row r="11" customHeight="1" spans="1:17">
      <c r="A11" s="2">
        <v>2026</v>
      </c>
      <c r="B11" s="2">
        <v>10</v>
      </c>
      <c r="C11" s="11">
        <f t="shared" si="0"/>
        <v>85.8</v>
      </c>
      <c r="D11" s="2" t="s">
        <v>57</v>
      </c>
      <c r="E11" s="10">
        <v>86</v>
      </c>
      <c r="F11" s="10">
        <v>81</v>
      </c>
      <c r="G11" s="12">
        <v>64</v>
      </c>
      <c r="H11" s="2" t="s">
        <v>37</v>
      </c>
      <c r="I11" s="2" t="s">
        <v>58</v>
      </c>
      <c r="J11" s="4" t="s">
        <v>59</v>
      </c>
      <c r="K11" s="2" t="s">
        <v>60</v>
      </c>
      <c r="M11" s="2">
        <f t="shared" si="1"/>
        <v>150</v>
      </c>
      <c r="N11" s="2">
        <f t="shared" si="2"/>
        <v>82.8</v>
      </c>
      <c r="O11" s="2">
        <f>IF(M11="","",IF(M11&gt;=1000,95,IF(M11&lt;=12.5,50,LOOKUP(M11,{12.5,15,20,30,45,60,75,105,115,150,200,225,250,600,1000},{50,55,60,62,65,68,70,72,75,80,82,85,87,90,95})+(M11-LOOKUP(M11,{12.5,15,20,30,45,60,75,105,115,150,200,225,250,600},{12.5,15,20,30,45,60,75,105,115,150,200,225,250,600}))/(LOOKUP(M11,{12.5,15,20,30,45,60,75,105,115,150,200,225,250,600,1000},{15,20,30,45,60,75,105,115,150,200,225,250,600,1000,1000})-LOOKUP(M11,{12.5,15,20,30,45,60,75,105,115,150,200,225,250,600},{12.5,15,20,30,45,60,75,105,115,150,200,225,250,600}))*(LOOKUP(M11,{12.5,15,20,30,45,60,75,105,115,150,200,225,250,600,1000},{55,60,62,65,68,70,72,75,80,82,85,87,90,95,95})-LOOKUP(M11,{12.5,15,20,30,45,60,75,105,115,150,200,225,250,600,1000},{50,55,60,62,65,68,70,72,75,80,82,85,87,90,95})))))</f>
        <v>80</v>
      </c>
      <c r="P11" s="2">
        <f t="shared" si="3"/>
        <v>6</v>
      </c>
      <c r="Q11" s="2">
        <f t="shared" si="4"/>
        <v>3</v>
      </c>
    </row>
    <row r="12" customHeight="1" spans="1:17">
      <c r="A12" s="2">
        <v>2026</v>
      </c>
      <c r="B12" s="2">
        <v>11</v>
      </c>
      <c r="C12" s="11">
        <f t="shared" si="0"/>
        <v>85.67</v>
      </c>
      <c r="D12" s="2" t="s">
        <v>61</v>
      </c>
      <c r="E12" s="10">
        <v>83</v>
      </c>
      <c r="F12" s="12">
        <v>68</v>
      </c>
      <c r="G12" s="12">
        <v>63</v>
      </c>
      <c r="H12" s="2" t="s">
        <v>62</v>
      </c>
      <c r="I12" s="2" t="s">
        <v>63</v>
      </c>
      <c r="J12" s="4" t="s">
        <v>38</v>
      </c>
      <c r="K12" s="2" t="s">
        <v>64</v>
      </c>
      <c r="M12" s="2">
        <f t="shared" si="1"/>
        <v>45</v>
      </c>
      <c r="N12" s="2">
        <f t="shared" si="2"/>
        <v>78</v>
      </c>
      <c r="O12" s="2">
        <f>IF(M12="","",IF(M12&gt;=1000,95,IF(M12&lt;=12.5,50,LOOKUP(M12,{12.5,15,20,30,45,60,75,105,115,150,200,225,250,600,1000},{50,55,60,62,65,68,70,72,75,80,82,85,87,90,95})+(M12-LOOKUP(M12,{12.5,15,20,30,45,60,75,105,115,150,200,225,250,600},{12.5,15,20,30,45,60,75,105,115,150,200,225,250,600}))/(LOOKUP(M12,{12.5,15,20,30,45,60,75,105,115,150,200,225,250,600,1000},{15,20,30,45,60,75,105,115,150,200,225,250,600,1000,1000})-LOOKUP(M12,{12.5,15,20,30,45,60,75,105,115,150,200,225,250,600},{12.5,15,20,30,45,60,75,105,115,150,200,225,250,600}))*(LOOKUP(M12,{12.5,15,20,30,45,60,75,105,115,150,200,225,250,600,1000},{55,60,62,65,68,70,72,75,80,82,85,87,90,95,95})-LOOKUP(M12,{12.5,15,20,30,45,60,75,105,115,150,200,225,250,600,1000},{50,55,60,62,65,68,70,72,75,80,82,85,87,90,95})))))</f>
        <v>65</v>
      </c>
      <c r="P12" s="2">
        <f t="shared" si="3"/>
        <v>18</v>
      </c>
      <c r="Q12" s="2">
        <f t="shared" si="4"/>
        <v>7.67</v>
      </c>
    </row>
    <row r="13" customHeight="1" spans="1:17">
      <c r="B13" s="2">
        <v>12</v>
      </c>
      <c r="C13" s="11">
        <f t="shared" si="0"/>
        <v>85.54</v>
      </c>
      <c r="D13" s="2" t="s">
        <v>65</v>
      </c>
      <c r="E13" s="10">
        <v>85</v>
      </c>
      <c r="F13" s="12">
        <v>65</v>
      </c>
      <c r="G13" s="2">
        <v>47</v>
      </c>
      <c r="H13" s="2" t="s">
        <v>66</v>
      </c>
      <c r="I13" s="2" t="s">
        <v>33</v>
      </c>
      <c r="J13" s="4" t="s">
        <v>38</v>
      </c>
      <c r="K13" s="2" t="s">
        <v>52</v>
      </c>
      <c r="M13" s="2">
        <f t="shared" si="1"/>
        <v>45</v>
      </c>
      <c r="N13" s="2">
        <f t="shared" si="2"/>
        <v>77.2</v>
      </c>
      <c r="O13" s="2">
        <f>IF(M13="","",IF(M13&gt;=1000,95,IF(M13&lt;=12.5,50,LOOKUP(M13,{12.5,15,20,30,45,60,75,105,115,150,200,225,250,600,1000},{50,55,60,62,65,68,70,72,75,80,82,85,87,90,95})+(M13-LOOKUP(M13,{12.5,15,20,30,45,60,75,105,115,150,200,225,250,600},{12.5,15,20,30,45,60,75,105,115,150,200,225,250,600}))/(LOOKUP(M13,{12.5,15,20,30,45,60,75,105,115,150,200,225,250,600,1000},{15,20,30,45,60,75,105,115,150,200,225,250,600,1000,1000})-LOOKUP(M13,{12.5,15,20,30,45,60,75,105,115,150,200,225,250,600},{12.5,15,20,30,45,60,75,105,115,150,200,225,250,600}))*(LOOKUP(M13,{12.5,15,20,30,45,60,75,105,115,150,200,225,250,600,1000},{55,60,62,65,68,70,72,75,80,82,85,87,90,95,95})-LOOKUP(M13,{12.5,15,20,30,45,60,75,105,115,150,200,225,250,600,1000},{50,55,60,62,65,68,70,72,75,80,82,85,87,90,95})))))</f>
        <v>65</v>
      </c>
      <c r="P13" s="2">
        <f t="shared" si="3"/>
        <v>20</v>
      </c>
      <c r="Q13" s="2">
        <f t="shared" si="4"/>
        <v>8.34</v>
      </c>
    </row>
    <row r="14" customHeight="1" spans="1:17">
      <c r="B14" s="2">
        <v>13</v>
      </c>
      <c r="C14" s="11">
        <f t="shared" si="0"/>
        <v>85.5</v>
      </c>
      <c r="D14" s="2" t="s">
        <v>67</v>
      </c>
      <c r="E14" s="10">
        <v>86</v>
      </c>
      <c r="F14" s="12">
        <v>65</v>
      </c>
      <c r="G14" s="2">
        <v>53</v>
      </c>
      <c r="H14" s="2" t="s">
        <v>66</v>
      </c>
      <c r="I14" s="2" t="s">
        <v>33</v>
      </c>
      <c r="J14" s="4" t="s">
        <v>24</v>
      </c>
      <c r="K14" s="2" t="s">
        <v>68</v>
      </c>
      <c r="M14" s="2">
        <f t="shared" si="1"/>
        <v>75</v>
      </c>
      <c r="N14" s="2">
        <f t="shared" si="2"/>
        <v>78.5</v>
      </c>
      <c r="O14" s="2">
        <f>IF(M14="","",IF(M14&gt;=1000,95,IF(M14&lt;=12.5,50,LOOKUP(M14,{12.5,15,20,30,45,60,75,105,115,150,200,225,250,600,1000},{50,55,60,62,65,68,70,72,75,80,82,85,87,90,95})+(M14-LOOKUP(M14,{12.5,15,20,30,45,60,75,105,115,150,200,225,250,600},{12.5,15,20,30,45,60,75,105,115,150,200,225,250,600}))/(LOOKUP(M14,{12.5,15,20,30,45,60,75,105,115,150,200,225,250,600,1000},{15,20,30,45,60,75,105,115,150,200,225,250,600,1000,1000})-LOOKUP(M14,{12.5,15,20,30,45,60,75,105,115,150,200,225,250,600},{12.5,15,20,30,45,60,75,105,115,150,200,225,250,600}))*(LOOKUP(M14,{12.5,15,20,30,45,60,75,105,115,150,200,225,250,600,1000},{55,60,62,65,68,70,72,75,80,82,85,87,90,95,95})-LOOKUP(M14,{12.5,15,20,30,45,60,75,105,115,150,200,225,250,600,1000},{50,55,60,62,65,68,70,72,75,80,82,85,87,90,95})))))</f>
        <v>70</v>
      </c>
      <c r="P14" s="2">
        <f t="shared" si="3"/>
        <v>16</v>
      </c>
      <c r="Q14" s="2">
        <f t="shared" si="4"/>
        <v>7</v>
      </c>
    </row>
    <row r="15" customHeight="1" spans="1:17">
      <c r="B15" s="2">
        <v>14</v>
      </c>
      <c r="C15" s="11">
        <f t="shared" si="0"/>
        <v>85.2</v>
      </c>
      <c r="D15" s="2" t="s">
        <v>69</v>
      </c>
      <c r="E15" s="10">
        <v>86</v>
      </c>
      <c r="F15" s="12">
        <v>65</v>
      </c>
      <c r="G15" s="2">
        <v>50</v>
      </c>
      <c r="H15" s="2" t="s">
        <v>22</v>
      </c>
      <c r="I15" s="2" t="s">
        <v>23</v>
      </c>
      <c r="J15" s="4" t="s">
        <v>24</v>
      </c>
      <c r="K15" s="2" t="s">
        <v>70</v>
      </c>
      <c r="M15" s="2">
        <f t="shared" si="1"/>
        <v>75</v>
      </c>
      <c r="N15" s="2">
        <f t="shared" si="2"/>
        <v>78.2</v>
      </c>
      <c r="O15" s="2">
        <f>IF(M15="","",IF(M15&gt;=1000,95,IF(M15&lt;=12.5,50,LOOKUP(M15,{12.5,15,20,30,45,60,75,105,115,150,200,225,250,600,1000},{50,55,60,62,65,68,70,72,75,80,82,85,87,90,95})+(M15-LOOKUP(M15,{12.5,15,20,30,45,60,75,105,115,150,200,225,250,600},{12.5,15,20,30,45,60,75,105,115,150,200,225,250,600}))/(LOOKUP(M15,{12.5,15,20,30,45,60,75,105,115,150,200,225,250,600,1000},{15,20,30,45,60,75,105,115,150,200,225,250,600,1000,1000})-LOOKUP(M15,{12.5,15,20,30,45,60,75,105,115,150,200,225,250,600},{12.5,15,20,30,45,60,75,105,115,150,200,225,250,600}))*(LOOKUP(M15,{12.5,15,20,30,45,60,75,105,115,150,200,225,250,600,1000},{55,60,62,65,68,70,72,75,80,82,85,87,90,95,95})-LOOKUP(M15,{12.5,15,20,30,45,60,75,105,115,150,200,225,250,600,1000},{50,55,60,62,65,68,70,72,75,80,82,85,87,90,95})))))</f>
        <v>70</v>
      </c>
      <c r="P15" s="2">
        <f t="shared" si="3"/>
        <v>16</v>
      </c>
      <c r="Q15" s="2">
        <f t="shared" si="4"/>
        <v>7</v>
      </c>
    </row>
    <row r="16" customHeight="1" spans="1:17">
      <c r="B16" s="2">
        <v>15</v>
      </c>
      <c r="C16" s="11">
        <f t="shared" si="0"/>
        <v>85.1</v>
      </c>
      <c r="D16" s="2" t="s">
        <v>71</v>
      </c>
      <c r="E16" s="10">
        <v>87</v>
      </c>
      <c r="F16" s="8">
        <v>90</v>
      </c>
      <c r="G16" s="9">
        <v>77</v>
      </c>
      <c r="H16" s="2" t="s">
        <v>41</v>
      </c>
      <c r="I16" s="2" t="s">
        <v>72</v>
      </c>
      <c r="J16" s="4" t="s">
        <v>73</v>
      </c>
      <c r="K16" s="2" t="s">
        <v>74</v>
      </c>
      <c r="M16" s="2">
        <f t="shared" si="1"/>
        <v>600</v>
      </c>
      <c r="N16" s="2">
        <f t="shared" si="2"/>
        <v>86.6</v>
      </c>
      <c r="O16" s="2">
        <f>IF(M16="","",IF(M16&gt;=1000,95,IF(M16&lt;=12.5,50,LOOKUP(M16,{12.5,15,20,30,45,60,75,105,115,150,200,225,250,600,1000},{50,55,60,62,65,68,70,72,75,80,82,85,87,90,95})+(M16-LOOKUP(M16,{12.5,15,20,30,45,60,75,105,115,150,200,225,250,600},{12.5,15,20,30,45,60,75,105,115,150,200,225,250,600}))/(LOOKUP(M16,{12.5,15,20,30,45,60,75,105,115,150,200,225,250,600,1000},{15,20,30,45,60,75,105,115,150,200,225,250,600,1000,1000})-LOOKUP(M16,{12.5,15,20,30,45,60,75,105,115,150,200,225,250,600},{12.5,15,20,30,45,60,75,105,115,150,200,225,250,600}))*(LOOKUP(M16,{12.5,15,20,30,45,60,75,105,115,150,200,225,250,600,1000},{55,60,62,65,68,70,72,75,80,82,85,87,90,95,95})-LOOKUP(M16,{12.5,15,20,30,45,60,75,105,115,150,200,225,250,600,1000},{50,55,60,62,65,68,70,72,75,80,82,85,87,90,95})))))</f>
        <v>90</v>
      </c>
      <c r="P16" s="2">
        <f t="shared" si="3"/>
        <v>-3</v>
      </c>
      <c r="Q16" s="2">
        <f t="shared" si="4"/>
        <v>-1.5</v>
      </c>
    </row>
    <row r="17" customHeight="1" spans="1:17">
      <c r="A17" s="2">
        <v>2026</v>
      </c>
      <c r="B17" s="2">
        <v>16</v>
      </c>
      <c r="C17" s="11">
        <f t="shared" si="0"/>
        <v>84.97</v>
      </c>
      <c r="D17" s="2" t="s">
        <v>75</v>
      </c>
      <c r="E17" s="10">
        <v>80</v>
      </c>
      <c r="F17" s="12">
        <v>61</v>
      </c>
      <c r="G17" s="2">
        <v>51</v>
      </c>
      <c r="H17" s="2" t="s">
        <v>76</v>
      </c>
      <c r="I17" s="2" t="s">
        <v>28</v>
      </c>
      <c r="J17" s="4" t="s">
        <v>77</v>
      </c>
      <c r="K17" s="2" t="s">
        <v>78</v>
      </c>
      <c r="M17" s="2">
        <f t="shared" si="1"/>
        <v>12.5</v>
      </c>
      <c r="N17" s="2">
        <f t="shared" si="2"/>
        <v>73.3</v>
      </c>
      <c r="O17" s="2">
        <f>IF(M17="","",IF(M17&gt;=1000,95,IF(M17&lt;=12.5,50,LOOKUP(M17,{12.5,15,20,30,45,60,75,105,115,150,200,225,250,600,1000},{50,55,60,62,65,68,70,72,75,80,82,85,87,90,95})+(M17-LOOKUP(M17,{12.5,15,20,30,45,60,75,105,115,150,200,225,250,600},{12.5,15,20,30,45,60,75,105,115,150,200,225,250,600}))/(LOOKUP(M17,{12.5,15,20,30,45,60,75,105,115,150,200,225,250,600,1000},{15,20,30,45,60,75,105,115,150,200,225,250,600,1000,1000})-LOOKUP(M17,{12.5,15,20,30,45,60,75,105,115,150,200,225,250,600},{12.5,15,20,30,45,60,75,105,115,150,200,225,250,600}))*(LOOKUP(M17,{12.5,15,20,30,45,60,75,105,115,150,200,225,250,600,1000},{55,60,62,65,68,70,72,75,80,82,85,87,90,95,95})-LOOKUP(M17,{12.5,15,20,30,45,60,75,105,115,150,200,225,250,600,1000},{50,55,60,62,65,68,70,72,75,80,82,85,87,90,95})))))</f>
        <v>50</v>
      </c>
      <c r="P17" s="2">
        <f t="shared" si="3"/>
        <v>30</v>
      </c>
      <c r="Q17" s="2">
        <f t="shared" si="4"/>
        <v>11.67</v>
      </c>
    </row>
    <row r="18" customHeight="1" spans="1:17">
      <c r="B18" s="2">
        <v>17</v>
      </c>
      <c r="C18" s="11">
        <f t="shared" si="0"/>
        <v>84.34</v>
      </c>
      <c r="D18" s="2" t="s">
        <v>79</v>
      </c>
      <c r="E18" s="10">
        <v>87</v>
      </c>
      <c r="F18" s="2">
        <v>55</v>
      </c>
      <c r="G18" s="2">
        <v>51</v>
      </c>
      <c r="H18" s="2" t="s">
        <v>32</v>
      </c>
      <c r="I18" s="2" t="s">
        <v>33</v>
      </c>
      <c r="J18" s="4" t="s">
        <v>24</v>
      </c>
      <c r="K18" s="2" t="s">
        <v>80</v>
      </c>
      <c r="M18" s="2">
        <f t="shared" si="1"/>
        <v>75</v>
      </c>
      <c r="N18" s="2">
        <f t="shared" si="2"/>
        <v>77</v>
      </c>
      <c r="O18" s="2">
        <f>IF(M18="","",IF(M18&gt;=1000,95,IF(M18&lt;=12.5,50,LOOKUP(M18,{12.5,15,20,30,45,60,75,105,115,150,200,225,250,600,1000},{50,55,60,62,65,68,70,72,75,80,82,85,87,90,95})+(M18-LOOKUP(M18,{12.5,15,20,30,45,60,75,105,115,150,200,225,250,600},{12.5,15,20,30,45,60,75,105,115,150,200,225,250,600}))/(LOOKUP(M18,{12.5,15,20,30,45,60,75,105,115,150,200,225,250,600,1000},{15,20,30,45,60,75,105,115,150,200,225,250,600,1000,1000})-LOOKUP(M18,{12.5,15,20,30,45,60,75,105,115,150,200,225,250,600},{12.5,15,20,30,45,60,75,105,115,150,200,225,250,600}))*(LOOKUP(M18,{12.5,15,20,30,45,60,75,105,115,150,200,225,250,600,1000},{55,60,62,65,68,70,72,75,80,82,85,87,90,95,95})-LOOKUP(M18,{12.5,15,20,30,45,60,75,105,115,150,200,225,250,600,1000},{50,55,60,62,65,68,70,72,75,80,82,85,87,90,95})))))</f>
        <v>70</v>
      </c>
      <c r="P18" s="2">
        <f t="shared" si="3"/>
        <v>17</v>
      </c>
      <c r="Q18" s="2">
        <f t="shared" si="4"/>
        <v>7.34</v>
      </c>
    </row>
    <row r="19" customHeight="1" spans="1:17">
      <c r="A19" s="2">
        <v>2026</v>
      </c>
      <c r="B19" s="2">
        <v>18</v>
      </c>
      <c r="C19" s="11">
        <f t="shared" si="0"/>
        <v>84.27</v>
      </c>
      <c r="D19" s="2" t="s">
        <v>81</v>
      </c>
      <c r="E19" s="10">
        <v>80</v>
      </c>
      <c r="F19" s="2">
        <v>57</v>
      </c>
      <c r="G19" s="2">
        <v>52</v>
      </c>
      <c r="H19" s="2" t="s">
        <v>54</v>
      </c>
      <c r="I19" s="2" t="s">
        <v>28</v>
      </c>
      <c r="J19" s="4" t="s">
        <v>77</v>
      </c>
      <c r="K19" s="2" t="s">
        <v>82</v>
      </c>
      <c r="M19" s="2">
        <f t="shared" si="1"/>
        <v>12.5</v>
      </c>
      <c r="N19" s="2">
        <f t="shared" si="2"/>
        <v>72.6</v>
      </c>
      <c r="O19" s="2">
        <f>IF(M19="","",IF(M19&gt;=1000,95,IF(M19&lt;=12.5,50,LOOKUP(M19,{12.5,15,20,30,45,60,75,105,115,150,200,225,250,600,1000},{50,55,60,62,65,68,70,72,75,80,82,85,87,90,95})+(M19-LOOKUP(M19,{12.5,15,20,30,45,60,75,105,115,150,200,225,250,600},{12.5,15,20,30,45,60,75,105,115,150,200,225,250,600}))/(LOOKUP(M19,{12.5,15,20,30,45,60,75,105,115,150,200,225,250,600,1000},{15,20,30,45,60,75,105,115,150,200,225,250,600,1000,1000})-LOOKUP(M19,{12.5,15,20,30,45,60,75,105,115,150,200,225,250,600},{12.5,15,20,30,45,60,75,105,115,150,200,225,250,600}))*(LOOKUP(M19,{12.5,15,20,30,45,60,75,105,115,150,200,225,250,600,1000},{55,60,62,65,68,70,72,75,80,82,85,87,90,95,95})-LOOKUP(M19,{12.5,15,20,30,45,60,75,105,115,150,200,225,250,600,1000},{50,55,60,62,65,68,70,72,75,80,82,85,87,90,95})))))</f>
        <v>50</v>
      </c>
      <c r="P19" s="2">
        <f t="shared" si="3"/>
        <v>30</v>
      </c>
      <c r="Q19" s="2">
        <f t="shared" si="4"/>
        <v>11.67</v>
      </c>
    </row>
    <row r="20" customHeight="1" spans="1:17">
      <c r="B20" s="2">
        <v>19</v>
      </c>
      <c r="C20" s="11">
        <f t="shared" si="0"/>
        <v>84.24</v>
      </c>
      <c r="D20" s="2" t="s">
        <v>83</v>
      </c>
      <c r="E20" s="10">
        <v>85</v>
      </c>
      <c r="F20" s="12">
        <v>62</v>
      </c>
      <c r="G20" s="2">
        <v>50</v>
      </c>
      <c r="H20" s="2" t="s">
        <v>84</v>
      </c>
      <c r="I20" s="2" t="s">
        <v>33</v>
      </c>
      <c r="J20" s="4" t="s">
        <v>34</v>
      </c>
      <c r="K20" s="2" t="s">
        <v>85</v>
      </c>
      <c r="M20" s="2">
        <f t="shared" si="1"/>
        <v>60</v>
      </c>
      <c r="N20" s="2">
        <f t="shared" si="2"/>
        <v>76.9</v>
      </c>
      <c r="O20" s="2">
        <f>IF(M20="","",IF(M20&gt;=1000,95,IF(M20&lt;=12.5,50,LOOKUP(M20,{12.5,15,20,30,45,60,75,105,115,150,200,225,250,600,1000},{50,55,60,62,65,68,70,72,75,80,82,85,87,90,95})+(M20-LOOKUP(M20,{12.5,15,20,30,45,60,75,105,115,150,200,225,250,600},{12.5,15,20,30,45,60,75,105,115,150,200,225,250,600}))/(LOOKUP(M20,{12.5,15,20,30,45,60,75,105,115,150,200,225,250,600,1000},{15,20,30,45,60,75,105,115,150,200,225,250,600,1000,1000})-LOOKUP(M20,{12.5,15,20,30,45,60,75,105,115,150,200,225,250,600},{12.5,15,20,30,45,60,75,105,115,150,200,225,250,600}))*(LOOKUP(M20,{12.5,15,20,30,45,60,75,105,115,150,200,225,250,600,1000},{55,60,62,65,68,70,72,75,80,82,85,87,90,95,95})-LOOKUP(M20,{12.5,15,20,30,45,60,75,105,115,150,200,225,250,600,1000},{50,55,60,62,65,68,70,72,75,80,82,85,87,90,95})))))</f>
        <v>68</v>
      </c>
      <c r="P20" s="2">
        <f t="shared" si="3"/>
        <v>17</v>
      </c>
      <c r="Q20" s="2">
        <f t="shared" si="4"/>
        <v>7.34</v>
      </c>
    </row>
    <row r="21" customHeight="1" spans="1:17">
      <c r="A21" s="2">
        <v>2026</v>
      </c>
      <c r="B21" s="2">
        <v>20</v>
      </c>
      <c r="C21" s="11">
        <f t="shared" si="0"/>
        <v>84.23</v>
      </c>
      <c r="D21" s="2" t="s">
        <v>86</v>
      </c>
      <c r="E21" s="10">
        <v>85</v>
      </c>
      <c r="F21" s="2">
        <v>58</v>
      </c>
      <c r="G21" s="2">
        <v>38</v>
      </c>
      <c r="H21" s="2" t="s">
        <v>87</v>
      </c>
      <c r="I21" s="2" t="s">
        <v>28</v>
      </c>
      <c r="J21" s="4" t="s">
        <v>88</v>
      </c>
      <c r="K21" s="2" t="s">
        <v>89</v>
      </c>
      <c r="M21" s="2">
        <f t="shared" si="1"/>
        <v>30</v>
      </c>
      <c r="N21" s="2">
        <f t="shared" si="2"/>
        <v>74.9</v>
      </c>
      <c r="O21" s="2">
        <f>IF(M21="","",IF(M21&gt;=1000,95,IF(M21&lt;=12.5,50,LOOKUP(M21,{12.5,15,20,30,45,60,75,105,115,150,200,225,250,600,1000},{50,55,60,62,65,68,70,72,75,80,82,85,87,90,95})+(M21-LOOKUP(M21,{12.5,15,20,30,45,60,75,105,115,150,200,225,250,600},{12.5,15,20,30,45,60,75,105,115,150,200,225,250,600}))/(LOOKUP(M21,{12.5,15,20,30,45,60,75,105,115,150,200,225,250,600,1000},{15,20,30,45,60,75,105,115,150,200,225,250,600,1000,1000})-LOOKUP(M21,{12.5,15,20,30,45,60,75,105,115,150,200,225,250,600},{12.5,15,20,30,45,60,75,105,115,150,200,225,250,600}))*(LOOKUP(M21,{12.5,15,20,30,45,60,75,105,115,150,200,225,250,600,1000},{55,60,62,65,68,70,72,75,80,82,85,87,90,95,95})-LOOKUP(M21,{12.5,15,20,30,45,60,75,105,115,150,200,225,250,600,1000},{50,55,60,62,65,68,70,72,75,80,82,85,87,90,95})))))</f>
        <v>62</v>
      </c>
      <c r="P21" s="2">
        <f t="shared" si="3"/>
        <v>23</v>
      </c>
      <c r="Q21" s="2">
        <f t="shared" si="4"/>
        <v>9.33</v>
      </c>
    </row>
    <row r="22" customHeight="1" spans="1:17">
      <c r="B22" s="2">
        <v>21</v>
      </c>
      <c r="C22" s="11">
        <f t="shared" si="0"/>
        <v>83.97</v>
      </c>
      <c r="D22" s="2" t="s">
        <v>90</v>
      </c>
      <c r="E22" s="10">
        <v>80</v>
      </c>
      <c r="F22" s="2">
        <v>59</v>
      </c>
      <c r="G22" s="2">
        <v>45</v>
      </c>
      <c r="H22" s="2" t="s">
        <v>91</v>
      </c>
      <c r="I22" s="2" t="s">
        <v>28</v>
      </c>
      <c r="J22" s="4" t="s">
        <v>77</v>
      </c>
      <c r="K22" s="2" t="s">
        <v>92</v>
      </c>
      <c r="M22" s="2">
        <f t="shared" si="1"/>
        <v>12.5</v>
      </c>
      <c r="N22" s="2">
        <f t="shared" si="2"/>
        <v>72.3</v>
      </c>
      <c r="O22" s="2">
        <f>IF(M22="","",IF(M22&gt;=1000,95,IF(M22&lt;=12.5,50,LOOKUP(M22,{12.5,15,20,30,45,60,75,105,115,150,200,225,250,600,1000},{50,55,60,62,65,68,70,72,75,80,82,85,87,90,95})+(M22-LOOKUP(M22,{12.5,15,20,30,45,60,75,105,115,150,200,225,250,600},{12.5,15,20,30,45,60,75,105,115,150,200,225,250,600}))/(LOOKUP(M22,{12.5,15,20,30,45,60,75,105,115,150,200,225,250,600,1000},{15,20,30,45,60,75,105,115,150,200,225,250,600,1000,1000})-LOOKUP(M22,{12.5,15,20,30,45,60,75,105,115,150,200,225,250,600},{12.5,15,20,30,45,60,75,105,115,150,200,225,250,600}))*(LOOKUP(M22,{12.5,15,20,30,45,60,75,105,115,150,200,225,250,600,1000},{55,60,62,65,68,70,72,75,80,82,85,87,90,95,95})-LOOKUP(M22,{12.5,15,20,30,45,60,75,105,115,150,200,225,250,600,1000},{50,55,60,62,65,68,70,72,75,80,82,85,87,90,95})))))</f>
        <v>50</v>
      </c>
      <c r="P22" s="2">
        <f t="shared" si="3"/>
        <v>30</v>
      </c>
      <c r="Q22" s="2">
        <f t="shared" si="4"/>
        <v>11.67</v>
      </c>
    </row>
    <row r="23" customHeight="1" spans="1:17">
      <c r="B23" s="2">
        <v>22</v>
      </c>
      <c r="C23" s="11">
        <f t="shared" si="0"/>
        <v>83.97</v>
      </c>
      <c r="D23" s="2" t="s">
        <v>93</v>
      </c>
      <c r="E23" s="8">
        <v>92</v>
      </c>
      <c r="F23" s="2">
        <v>47</v>
      </c>
      <c r="G23" s="2">
        <v>45</v>
      </c>
      <c r="H23" s="2" t="s">
        <v>94</v>
      </c>
      <c r="I23" s="2" t="s">
        <v>33</v>
      </c>
      <c r="J23" s="4" t="s">
        <v>59</v>
      </c>
      <c r="K23" s="2" t="s">
        <v>95</v>
      </c>
      <c r="M23" s="2">
        <f t="shared" si="1"/>
        <v>150</v>
      </c>
      <c r="N23" s="2">
        <f t="shared" si="2"/>
        <v>78.3</v>
      </c>
      <c r="O23" s="2">
        <f>IF(M23="","",IF(M23&gt;=1000,95,IF(M23&lt;=12.5,50,LOOKUP(M23,{12.5,15,20,30,45,60,75,105,115,150,200,225,250,600,1000},{50,55,60,62,65,68,70,72,75,80,82,85,87,90,95})+(M23-LOOKUP(M23,{12.5,15,20,30,45,60,75,105,115,150,200,225,250,600},{12.5,15,20,30,45,60,75,105,115,150,200,225,250,600}))/(LOOKUP(M23,{12.5,15,20,30,45,60,75,105,115,150,200,225,250,600,1000},{15,20,30,45,60,75,105,115,150,200,225,250,600,1000,1000})-LOOKUP(M23,{12.5,15,20,30,45,60,75,105,115,150,200,225,250,600},{12.5,15,20,30,45,60,75,105,115,150,200,225,250,600}))*(LOOKUP(M23,{12.5,15,20,30,45,60,75,105,115,150,200,225,250,600,1000},{55,60,62,65,68,70,72,75,80,82,85,87,90,95,95})-LOOKUP(M23,{12.5,15,20,30,45,60,75,105,115,150,200,225,250,600,1000},{50,55,60,62,65,68,70,72,75,80,82,85,87,90,95})))))</f>
        <v>80</v>
      </c>
      <c r="P23" s="2">
        <f t="shared" si="3"/>
        <v>12</v>
      </c>
      <c r="Q23" s="2">
        <f t="shared" si="4"/>
        <v>5.67</v>
      </c>
    </row>
    <row r="24" customHeight="1" spans="1:17">
      <c r="A24" s="2">
        <v>2026</v>
      </c>
      <c r="B24" s="2">
        <v>23</v>
      </c>
      <c r="C24" s="11">
        <f t="shared" si="0"/>
        <v>83.93</v>
      </c>
      <c r="D24" s="2" t="s">
        <v>96</v>
      </c>
      <c r="E24" s="9">
        <v>79</v>
      </c>
      <c r="F24" s="12">
        <v>63</v>
      </c>
      <c r="G24" s="2">
        <v>47</v>
      </c>
      <c r="H24" s="2" t="s">
        <v>54</v>
      </c>
      <c r="I24" s="2" t="s">
        <v>28</v>
      </c>
      <c r="J24" s="4" t="s">
        <v>77</v>
      </c>
      <c r="K24" s="2" t="s">
        <v>97</v>
      </c>
      <c r="M24" s="2">
        <f t="shared" si="1"/>
        <v>12.5</v>
      </c>
      <c r="N24" s="2">
        <f t="shared" si="2"/>
        <v>72.6</v>
      </c>
      <c r="O24" s="2">
        <f>IF(M24="","",IF(M24&gt;=1000,95,IF(M24&lt;=12.5,50,LOOKUP(M24,{12.5,15,20,30,45,60,75,105,115,150,200,225,250,600,1000},{50,55,60,62,65,68,70,72,75,80,82,85,87,90,95})+(M24-LOOKUP(M24,{12.5,15,20,30,45,60,75,105,115,150,200,225,250,600},{12.5,15,20,30,45,60,75,105,115,150,200,225,250,600}))/(LOOKUP(M24,{12.5,15,20,30,45,60,75,105,115,150,200,225,250,600,1000},{15,20,30,45,60,75,105,115,150,200,225,250,600,1000,1000})-LOOKUP(M24,{12.5,15,20,30,45,60,75,105,115,150,200,225,250,600},{12.5,15,20,30,45,60,75,105,115,150,200,225,250,600}))*(LOOKUP(M24,{12.5,15,20,30,45,60,75,105,115,150,200,225,250,600,1000},{55,60,62,65,68,70,72,75,80,82,85,87,90,95,95})-LOOKUP(M24,{12.5,15,20,30,45,60,75,105,115,150,200,225,250,600,1000},{50,55,60,62,65,68,70,72,75,80,82,85,87,90,95})))))</f>
        <v>50</v>
      </c>
      <c r="P24" s="2">
        <f t="shared" si="3"/>
        <v>29</v>
      </c>
      <c r="Q24" s="2">
        <f t="shared" si="4"/>
        <v>11.33</v>
      </c>
    </row>
    <row r="25" customHeight="1" spans="1:17">
      <c r="A25" s="2">
        <v>2026</v>
      </c>
      <c r="B25" s="2">
        <v>24</v>
      </c>
      <c r="C25" s="11">
        <f t="shared" si="0"/>
        <v>83.7</v>
      </c>
      <c r="D25" s="2" t="s">
        <v>98</v>
      </c>
      <c r="E25" s="10">
        <v>84</v>
      </c>
      <c r="F25" s="8">
        <v>94</v>
      </c>
      <c r="G25" s="8">
        <v>91</v>
      </c>
      <c r="H25" s="2" t="s">
        <v>99</v>
      </c>
      <c r="I25" s="2" t="s">
        <v>18</v>
      </c>
      <c r="J25" s="4" t="s">
        <v>73</v>
      </c>
      <c r="K25" s="2" t="s">
        <v>100</v>
      </c>
      <c r="M25" s="2">
        <f t="shared" si="1"/>
        <v>600</v>
      </c>
      <c r="N25" s="2">
        <f t="shared" si="2"/>
        <v>86.7</v>
      </c>
      <c r="O25" s="2">
        <f>IF(M25="","",IF(M25&gt;=1000,95,IF(M25&lt;=12.5,50,LOOKUP(M25,{12.5,15,20,30,45,60,75,105,115,150,200,225,250,600,1000},{50,55,60,62,65,68,70,72,75,80,82,85,87,90,95})+(M25-LOOKUP(M25,{12.5,15,20,30,45,60,75,105,115,150,200,225,250,600},{12.5,15,20,30,45,60,75,105,115,150,200,225,250,600}))/(LOOKUP(M25,{12.5,15,20,30,45,60,75,105,115,150,200,225,250,600,1000},{15,20,30,45,60,75,105,115,150,200,225,250,600,1000,1000})-LOOKUP(M25,{12.5,15,20,30,45,60,75,105,115,150,200,225,250,600},{12.5,15,20,30,45,60,75,105,115,150,200,225,250,600}))*(LOOKUP(M25,{12.5,15,20,30,45,60,75,105,115,150,200,225,250,600,1000},{55,60,62,65,68,70,72,75,80,82,85,87,90,95,95})-LOOKUP(M25,{12.5,15,20,30,45,60,75,105,115,150,200,225,250,600,1000},{50,55,60,62,65,68,70,72,75,80,82,85,87,90,95})))))</f>
        <v>90</v>
      </c>
      <c r="P25" s="2">
        <f t="shared" si="3"/>
        <v>-6</v>
      </c>
      <c r="Q25" s="2">
        <f t="shared" si="4"/>
        <v>-3</v>
      </c>
    </row>
    <row r="26" customHeight="1" spans="1:17">
      <c r="A26" s="2">
        <v>2026</v>
      </c>
      <c r="B26" s="2">
        <v>25</v>
      </c>
      <c r="C26" s="11">
        <f t="shared" si="0"/>
        <v>83.23</v>
      </c>
      <c r="D26" s="2" t="s">
        <v>101</v>
      </c>
      <c r="E26" s="10">
        <v>82</v>
      </c>
      <c r="F26" s="2">
        <v>55</v>
      </c>
      <c r="G26" s="2">
        <v>25</v>
      </c>
      <c r="H26" s="2" t="s">
        <v>102</v>
      </c>
      <c r="I26" s="2" t="s">
        <v>28</v>
      </c>
      <c r="J26" s="4" t="s">
        <v>77</v>
      </c>
      <c r="K26" s="2" t="s">
        <v>82</v>
      </c>
      <c r="M26" s="2">
        <f t="shared" si="1"/>
        <v>12.5</v>
      </c>
      <c r="N26" s="2">
        <f t="shared" si="2"/>
        <v>70.9</v>
      </c>
      <c r="O26" s="2">
        <f>IF(M26="","",IF(M26&gt;=1000,95,IF(M26&lt;=12.5,50,LOOKUP(M26,{12.5,15,20,30,45,60,75,105,115,150,200,225,250,600,1000},{50,55,60,62,65,68,70,72,75,80,82,85,87,90,95})+(M26-LOOKUP(M26,{12.5,15,20,30,45,60,75,105,115,150,200,225,250,600},{12.5,15,20,30,45,60,75,105,115,150,200,225,250,600}))/(LOOKUP(M26,{12.5,15,20,30,45,60,75,105,115,150,200,225,250,600,1000},{15,20,30,45,60,75,105,115,150,200,225,250,600,1000,1000})-LOOKUP(M26,{12.5,15,20,30,45,60,75,105,115,150,200,225,250,600},{12.5,15,20,30,45,60,75,105,115,150,200,225,250,600}))*(LOOKUP(M26,{12.5,15,20,30,45,60,75,105,115,150,200,225,250,600,1000},{55,60,62,65,68,70,72,75,80,82,85,87,90,95,95})-LOOKUP(M26,{12.5,15,20,30,45,60,75,105,115,150,200,225,250,600,1000},{50,55,60,62,65,68,70,72,75,80,82,85,87,90,95})))))</f>
        <v>50</v>
      </c>
      <c r="P26" s="2">
        <f t="shared" si="3"/>
        <v>32</v>
      </c>
      <c r="Q26" s="2">
        <f t="shared" si="4"/>
        <v>12.33</v>
      </c>
    </row>
    <row r="27" customHeight="1" spans="1:17">
      <c r="A27" s="2">
        <v>2026</v>
      </c>
      <c r="B27" s="2">
        <v>26</v>
      </c>
      <c r="C27" s="11">
        <f t="shared" si="0"/>
        <v>82.8</v>
      </c>
      <c r="D27" s="2" t="s">
        <v>103</v>
      </c>
      <c r="E27" s="10">
        <v>82</v>
      </c>
      <c r="F27" s="12">
        <v>63</v>
      </c>
      <c r="G27" s="9">
        <v>78</v>
      </c>
      <c r="H27" s="2" t="s">
        <v>54</v>
      </c>
      <c r="I27" s="2" t="s">
        <v>104</v>
      </c>
      <c r="J27" s="4" t="s">
        <v>105</v>
      </c>
      <c r="K27" s="2" t="s">
        <v>106</v>
      </c>
      <c r="M27" s="2">
        <f t="shared" si="1"/>
        <v>105</v>
      </c>
      <c r="N27" s="2">
        <f t="shared" si="2"/>
        <v>77.8</v>
      </c>
      <c r="O27" s="2">
        <f>IF(M27="","",IF(M27&gt;=1000,95,IF(M27&lt;=12.5,50,LOOKUP(M27,{12.5,15,20,30,45,60,75,105,115,150,200,225,250,600,1000},{50,55,60,62,65,68,70,72,75,80,82,85,87,90,95})+(M27-LOOKUP(M27,{12.5,15,20,30,45,60,75,105,115,150,200,225,250,600},{12.5,15,20,30,45,60,75,105,115,150,200,225,250,600}))/(LOOKUP(M27,{12.5,15,20,30,45,60,75,105,115,150,200,225,250,600,1000},{15,20,30,45,60,75,105,115,150,200,225,250,600,1000,1000})-LOOKUP(M27,{12.5,15,20,30,45,60,75,105,115,150,200,225,250,600},{12.5,15,20,30,45,60,75,105,115,150,200,225,250,600}))*(LOOKUP(M27,{12.5,15,20,30,45,60,75,105,115,150,200,225,250,600,1000},{55,60,62,65,68,70,72,75,80,82,85,87,90,95,95})-LOOKUP(M27,{12.5,15,20,30,45,60,75,105,115,150,200,225,250,600,1000},{50,55,60,62,65,68,70,72,75,80,82,85,87,90,95})))))</f>
        <v>72</v>
      </c>
      <c r="P27" s="2">
        <f t="shared" si="3"/>
        <v>10</v>
      </c>
      <c r="Q27" s="2">
        <f t="shared" si="4"/>
        <v>5</v>
      </c>
    </row>
    <row r="28" customHeight="1" spans="1:17">
      <c r="A28" s="2">
        <v>2026</v>
      </c>
      <c r="B28" s="2">
        <v>27</v>
      </c>
      <c r="C28" s="11">
        <f t="shared" si="0"/>
        <v>82.74</v>
      </c>
      <c r="D28" s="2" t="s">
        <v>107</v>
      </c>
      <c r="E28" s="10">
        <v>85</v>
      </c>
      <c r="F28" s="2">
        <v>53</v>
      </c>
      <c r="G28" s="2">
        <v>53</v>
      </c>
      <c r="H28" s="2" t="s">
        <v>108</v>
      </c>
      <c r="I28" s="2" t="s">
        <v>33</v>
      </c>
      <c r="J28" s="4" t="s">
        <v>34</v>
      </c>
      <c r="K28" s="2" t="s">
        <v>109</v>
      </c>
      <c r="M28" s="2">
        <f t="shared" si="1"/>
        <v>60</v>
      </c>
      <c r="N28" s="2">
        <f t="shared" si="2"/>
        <v>75.4</v>
      </c>
      <c r="O28" s="2">
        <f>IF(M28="","",IF(M28&gt;=1000,95,IF(M28&lt;=12.5,50,LOOKUP(M28,{12.5,15,20,30,45,60,75,105,115,150,200,225,250,600,1000},{50,55,60,62,65,68,70,72,75,80,82,85,87,90,95})+(M28-LOOKUP(M28,{12.5,15,20,30,45,60,75,105,115,150,200,225,250,600},{12.5,15,20,30,45,60,75,105,115,150,200,225,250,600}))/(LOOKUP(M28,{12.5,15,20,30,45,60,75,105,115,150,200,225,250,600,1000},{15,20,30,45,60,75,105,115,150,200,225,250,600,1000,1000})-LOOKUP(M28,{12.5,15,20,30,45,60,75,105,115,150,200,225,250,600},{12.5,15,20,30,45,60,75,105,115,150,200,225,250,600}))*(LOOKUP(M28,{12.5,15,20,30,45,60,75,105,115,150,200,225,250,600,1000},{55,60,62,65,68,70,72,75,80,82,85,87,90,95,95})-LOOKUP(M28,{12.5,15,20,30,45,60,75,105,115,150,200,225,250,600,1000},{50,55,60,62,65,68,70,72,75,80,82,85,87,90,95})))))</f>
        <v>68</v>
      </c>
      <c r="P28" s="2">
        <f t="shared" si="3"/>
        <v>17</v>
      </c>
      <c r="Q28" s="2">
        <f t="shared" si="4"/>
        <v>7.34</v>
      </c>
    </row>
    <row r="29" customHeight="1" spans="1:17">
      <c r="A29" s="2">
        <v>2026</v>
      </c>
      <c r="B29" s="2">
        <v>28</v>
      </c>
      <c r="C29" s="11">
        <f t="shared" si="0"/>
        <v>82.67</v>
      </c>
      <c r="D29" s="2" t="s">
        <v>110</v>
      </c>
      <c r="E29" s="10">
        <v>80</v>
      </c>
      <c r="F29" s="12">
        <v>65</v>
      </c>
      <c r="G29" s="12">
        <v>60</v>
      </c>
      <c r="H29" s="2" t="s">
        <v>54</v>
      </c>
      <c r="I29" s="2" t="s">
        <v>63</v>
      </c>
      <c r="J29" s="4" t="s">
        <v>88</v>
      </c>
      <c r="K29" s="2" t="s">
        <v>111</v>
      </c>
      <c r="M29" s="2">
        <f t="shared" si="1"/>
        <v>30</v>
      </c>
      <c r="N29" s="2">
        <f t="shared" si="2"/>
        <v>75</v>
      </c>
      <c r="O29" s="2">
        <f>IF(M29="","",IF(M29&gt;=1000,95,IF(M29&lt;=12.5,50,LOOKUP(M29,{12.5,15,20,30,45,60,75,105,115,150,200,225,250,600,1000},{50,55,60,62,65,68,70,72,75,80,82,85,87,90,95})+(M29-LOOKUP(M29,{12.5,15,20,30,45,60,75,105,115,150,200,225,250,600},{12.5,15,20,30,45,60,75,105,115,150,200,225,250,600}))/(LOOKUP(M29,{12.5,15,20,30,45,60,75,105,115,150,200,225,250,600,1000},{15,20,30,45,60,75,105,115,150,200,225,250,600,1000,1000})-LOOKUP(M29,{12.5,15,20,30,45,60,75,105,115,150,200,225,250,600},{12.5,15,20,30,45,60,75,105,115,150,200,225,250,600}))*(LOOKUP(M29,{12.5,15,20,30,45,60,75,105,115,150,200,225,250,600,1000},{55,60,62,65,68,70,72,75,80,82,85,87,90,95,95})-LOOKUP(M29,{12.5,15,20,30,45,60,75,105,115,150,200,225,250,600,1000},{50,55,60,62,65,68,70,72,75,80,82,85,87,90,95})))))</f>
        <v>62</v>
      </c>
      <c r="P29" s="2">
        <f t="shared" si="3"/>
        <v>18</v>
      </c>
      <c r="Q29" s="2">
        <f t="shared" si="4"/>
        <v>7.67</v>
      </c>
    </row>
    <row r="30" customHeight="1" spans="1:17">
      <c r="B30" s="2">
        <v>29</v>
      </c>
      <c r="C30" s="11">
        <f t="shared" si="0"/>
        <v>82.47</v>
      </c>
      <c r="D30" s="2" t="s">
        <v>112</v>
      </c>
      <c r="E30" s="10">
        <v>86</v>
      </c>
      <c r="F30" s="2">
        <v>50</v>
      </c>
      <c r="G30" s="2">
        <v>46</v>
      </c>
      <c r="H30" s="2" t="s">
        <v>113</v>
      </c>
      <c r="I30" s="2" t="s">
        <v>33</v>
      </c>
      <c r="J30" s="4" t="s">
        <v>34</v>
      </c>
      <c r="K30" s="2" t="s">
        <v>114</v>
      </c>
      <c r="M30" s="2">
        <f t="shared" si="1"/>
        <v>60</v>
      </c>
      <c r="N30" s="2">
        <f t="shared" si="2"/>
        <v>74.8</v>
      </c>
      <c r="O30" s="2">
        <f>IF(M30="","",IF(M30&gt;=1000,95,IF(M30&lt;=12.5,50,LOOKUP(M30,{12.5,15,20,30,45,60,75,105,115,150,200,225,250,600,1000},{50,55,60,62,65,68,70,72,75,80,82,85,87,90,95})+(M30-LOOKUP(M30,{12.5,15,20,30,45,60,75,105,115,150,200,225,250,600},{12.5,15,20,30,45,60,75,105,115,150,200,225,250,600}))/(LOOKUP(M30,{12.5,15,20,30,45,60,75,105,115,150,200,225,250,600,1000},{15,20,30,45,60,75,105,115,150,200,225,250,600,1000,1000})-LOOKUP(M30,{12.5,15,20,30,45,60,75,105,115,150,200,225,250,600},{12.5,15,20,30,45,60,75,105,115,150,200,225,250,600}))*(LOOKUP(M30,{12.5,15,20,30,45,60,75,105,115,150,200,225,250,600,1000},{55,60,62,65,68,70,72,75,80,82,85,87,90,95,95})-LOOKUP(M30,{12.5,15,20,30,45,60,75,105,115,150,200,225,250,600,1000},{50,55,60,62,65,68,70,72,75,80,82,85,87,90,95})))))</f>
        <v>68</v>
      </c>
      <c r="P30" s="2">
        <f t="shared" si="3"/>
        <v>18</v>
      </c>
      <c r="Q30" s="2">
        <f t="shared" si="4"/>
        <v>7.67</v>
      </c>
    </row>
    <row r="31" customHeight="1" spans="1:17">
      <c r="A31" s="2">
        <v>2026</v>
      </c>
      <c r="B31" s="2">
        <v>30</v>
      </c>
      <c r="C31" s="11">
        <f t="shared" si="0"/>
        <v>82.44</v>
      </c>
      <c r="D31" s="2" t="s">
        <v>115</v>
      </c>
      <c r="E31" s="10">
        <v>82</v>
      </c>
      <c r="F31" s="12">
        <v>67</v>
      </c>
      <c r="G31" s="2">
        <v>53</v>
      </c>
      <c r="H31" s="2" t="s">
        <v>116</v>
      </c>
      <c r="I31" s="2" t="s">
        <v>33</v>
      </c>
      <c r="J31" s="4" t="s">
        <v>34</v>
      </c>
      <c r="K31" s="2" t="s">
        <v>117</v>
      </c>
      <c r="M31" s="2">
        <f t="shared" si="1"/>
        <v>60</v>
      </c>
      <c r="N31" s="2">
        <f t="shared" si="2"/>
        <v>76.1</v>
      </c>
      <c r="O31" s="2">
        <f>IF(M31="","",IF(M31&gt;=1000,95,IF(M31&lt;=12.5,50,LOOKUP(M31,{12.5,15,20,30,45,60,75,105,115,150,200,225,250,600,1000},{50,55,60,62,65,68,70,72,75,80,82,85,87,90,95})+(M31-LOOKUP(M31,{12.5,15,20,30,45,60,75,105,115,150,200,225,250,600},{12.5,15,20,30,45,60,75,105,115,150,200,225,250,600}))/(LOOKUP(M31,{12.5,15,20,30,45,60,75,105,115,150,200,225,250,600,1000},{15,20,30,45,60,75,105,115,150,200,225,250,600,1000,1000})-LOOKUP(M31,{12.5,15,20,30,45,60,75,105,115,150,200,225,250,600},{12.5,15,20,30,45,60,75,105,115,150,200,225,250,600}))*(LOOKUP(M31,{12.5,15,20,30,45,60,75,105,115,150,200,225,250,600,1000},{55,60,62,65,68,70,72,75,80,82,85,87,90,95,95})-LOOKUP(M31,{12.5,15,20,30,45,60,75,105,115,150,200,225,250,600,1000},{50,55,60,62,65,68,70,72,75,80,82,85,87,90,95})))))</f>
        <v>68</v>
      </c>
      <c r="P31" s="2">
        <f t="shared" si="3"/>
        <v>14</v>
      </c>
      <c r="Q31" s="2">
        <f t="shared" si="4"/>
        <v>6.34</v>
      </c>
    </row>
    <row r="32" customHeight="1" spans="1:17">
      <c r="B32" s="2">
        <v>31</v>
      </c>
      <c r="C32" s="11">
        <f t="shared" si="0"/>
        <v>82.4</v>
      </c>
      <c r="D32" s="2" t="s">
        <v>118</v>
      </c>
      <c r="E32" s="10">
        <v>83</v>
      </c>
      <c r="F32" s="8">
        <v>94</v>
      </c>
      <c r="G32" s="8">
        <v>90</v>
      </c>
      <c r="H32" s="2" t="s">
        <v>119</v>
      </c>
      <c r="I32" s="2" t="s">
        <v>104</v>
      </c>
      <c r="J32" s="4" t="s">
        <v>73</v>
      </c>
      <c r="K32" s="2" t="s">
        <v>120</v>
      </c>
      <c r="M32" s="2">
        <f t="shared" si="1"/>
        <v>600</v>
      </c>
      <c r="N32" s="2">
        <f t="shared" si="2"/>
        <v>85.9</v>
      </c>
      <c r="O32" s="2">
        <f>IF(M32="","",IF(M32&gt;=1000,95,IF(M32&lt;=12.5,50,LOOKUP(M32,{12.5,15,20,30,45,60,75,105,115,150,200,225,250,600,1000},{50,55,60,62,65,68,70,72,75,80,82,85,87,90,95})+(M32-LOOKUP(M32,{12.5,15,20,30,45,60,75,105,115,150,200,225,250,600},{12.5,15,20,30,45,60,75,105,115,150,200,225,250,600}))/(LOOKUP(M32,{12.5,15,20,30,45,60,75,105,115,150,200,225,250,600,1000},{15,20,30,45,60,75,105,115,150,200,225,250,600,1000,1000})-LOOKUP(M32,{12.5,15,20,30,45,60,75,105,115,150,200,225,250,600},{12.5,15,20,30,45,60,75,105,115,150,200,225,250,600}))*(LOOKUP(M32,{12.5,15,20,30,45,60,75,105,115,150,200,225,250,600,1000},{55,60,62,65,68,70,72,75,80,82,85,87,90,95,95})-LOOKUP(M32,{12.5,15,20,30,45,60,75,105,115,150,200,225,250,600,1000},{50,55,60,62,65,68,70,72,75,80,82,85,87,90,95})))))</f>
        <v>90</v>
      </c>
      <c r="P32" s="2">
        <f t="shared" si="3"/>
        <v>-7</v>
      </c>
      <c r="Q32" s="2">
        <f t="shared" si="4"/>
        <v>-3.5</v>
      </c>
    </row>
    <row r="33" customHeight="1" spans="1:17">
      <c r="B33" s="2">
        <v>32</v>
      </c>
      <c r="C33" s="11">
        <f t="shared" si="0"/>
        <v>82.4</v>
      </c>
      <c r="D33" s="2" t="s">
        <v>121</v>
      </c>
      <c r="E33" s="10">
        <v>84</v>
      </c>
      <c r="F33" s="10">
        <v>83</v>
      </c>
      <c r="G33" s="10">
        <v>85</v>
      </c>
      <c r="H33" s="2" t="s">
        <v>122</v>
      </c>
      <c r="I33" s="2" t="s">
        <v>18</v>
      </c>
      <c r="J33" s="4" t="s">
        <v>123</v>
      </c>
      <c r="K33" s="2" t="s">
        <v>124</v>
      </c>
      <c r="M33" s="2">
        <f t="shared" si="1"/>
        <v>250</v>
      </c>
      <c r="N33" s="2">
        <f t="shared" si="2"/>
        <v>83.9</v>
      </c>
      <c r="O33" s="2">
        <f>IF(M33="","",IF(M33&gt;=1000,95,IF(M33&lt;=12.5,50,LOOKUP(M33,{12.5,15,20,30,45,60,75,105,115,150,200,225,250,600,1000},{50,55,60,62,65,68,70,72,75,80,82,85,87,90,95})+(M33-LOOKUP(M33,{12.5,15,20,30,45,60,75,105,115,150,200,225,250,600},{12.5,15,20,30,45,60,75,105,115,150,200,225,250,600}))/(LOOKUP(M33,{12.5,15,20,30,45,60,75,105,115,150,200,225,250,600,1000},{15,20,30,45,60,75,105,115,150,200,225,250,600,1000,1000})-LOOKUP(M33,{12.5,15,20,30,45,60,75,105,115,150,200,225,250,600},{12.5,15,20,30,45,60,75,105,115,150,200,225,250,600}))*(LOOKUP(M33,{12.5,15,20,30,45,60,75,105,115,150,200,225,250,600,1000},{55,60,62,65,68,70,72,75,80,82,85,87,90,95,95})-LOOKUP(M33,{12.5,15,20,30,45,60,75,105,115,150,200,225,250,600,1000},{50,55,60,62,65,68,70,72,75,80,82,85,87,90,95})))))</f>
        <v>87</v>
      </c>
      <c r="P33" s="2">
        <f t="shared" si="3"/>
        <v>-3</v>
      </c>
      <c r="Q33" s="2">
        <f t="shared" si="4"/>
        <v>-1.5</v>
      </c>
    </row>
    <row r="34" customHeight="1" spans="1:17">
      <c r="A34" s="2">
        <v>2026</v>
      </c>
      <c r="B34" s="2">
        <v>33</v>
      </c>
      <c r="C34" s="11">
        <f t="shared" si="0"/>
        <v>82.27</v>
      </c>
      <c r="D34" s="2" t="s">
        <v>125</v>
      </c>
      <c r="E34" s="10">
        <v>80</v>
      </c>
      <c r="F34" s="2">
        <v>55</v>
      </c>
      <c r="G34" s="2">
        <v>36</v>
      </c>
      <c r="H34" s="2" t="s">
        <v>54</v>
      </c>
      <c r="I34" s="2" t="s">
        <v>28</v>
      </c>
      <c r="J34" s="4" t="s">
        <v>77</v>
      </c>
      <c r="K34" s="2" t="s">
        <v>126</v>
      </c>
      <c r="M34" s="2">
        <f t="shared" si="1"/>
        <v>12.5</v>
      </c>
      <c r="N34" s="2">
        <f t="shared" si="2"/>
        <v>70.6</v>
      </c>
      <c r="O34" s="2">
        <f>IF(M34="","",IF(M34&gt;=1000,95,IF(M34&lt;=12.5,50,LOOKUP(M34,{12.5,15,20,30,45,60,75,105,115,150,200,225,250,600,1000},{50,55,60,62,65,68,70,72,75,80,82,85,87,90,95})+(M34-LOOKUP(M34,{12.5,15,20,30,45,60,75,105,115,150,200,225,250,600},{12.5,15,20,30,45,60,75,105,115,150,200,225,250,600}))/(LOOKUP(M34,{12.5,15,20,30,45,60,75,105,115,150,200,225,250,600,1000},{15,20,30,45,60,75,105,115,150,200,225,250,600,1000,1000})-LOOKUP(M34,{12.5,15,20,30,45,60,75,105,115,150,200,225,250,600},{12.5,15,20,30,45,60,75,105,115,150,200,225,250,600}))*(LOOKUP(M34,{12.5,15,20,30,45,60,75,105,115,150,200,225,250,600,1000},{55,60,62,65,68,70,72,75,80,82,85,87,90,95,95})-LOOKUP(M34,{12.5,15,20,30,45,60,75,105,115,150,200,225,250,600,1000},{50,55,60,62,65,68,70,72,75,80,82,85,87,90,95})))))</f>
        <v>50</v>
      </c>
      <c r="P34" s="2">
        <f t="shared" si="3"/>
        <v>30</v>
      </c>
      <c r="Q34" s="2">
        <f t="shared" si="4"/>
        <v>11.67</v>
      </c>
    </row>
    <row r="35" customHeight="1" spans="1:17">
      <c r="A35" s="2">
        <v>2026</v>
      </c>
      <c r="B35" s="2">
        <v>34</v>
      </c>
      <c r="C35" s="11">
        <f t="shared" si="0"/>
        <v>82.24</v>
      </c>
      <c r="D35" s="2" t="s">
        <v>127</v>
      </c>
      <c r="E35" s="10">
        <v>82</v>
      </c>
      <c r="F35" s="12">
        <v>63</v>
      </c>
      <c r="G35" s="2">
        <v>59</v>
      </c>
      <c r="H35" s="2" t="s">
        <v>37</v>
      </c>
      <c r="I35" s="2" t="s">
        <v>128</v>
      </c>
      <c r="J35" s="4" t="s">
        <v>34</v>
      </c>
      <c r="K35" s="2" t="s">
        <v>129</v>
      </c>
      <c r="M35" s="2">
        <f t="shared" si="1"/>
        <v>60</v>
      </c>
      <c r="N35" s="2">
        <f t="shared" si="2"/>
        <v>75.9</v>
      </c>
      <c r="O35" s="2">
        <f>IF(M35="","",IF(M35&gt;=1000,95,IF(M35&lt;=12.5,50,LOOKUP(M35,{12.5,15,20,30,45,60,75,105,115,150,200,225,250,600,1000},{50,55,60,62,65,68,70,72,75,80,82,85,87,90,95})+(M35-LOOKUP(M35,{12.5,15,20,30,45,60,75,105,115,150,200,225,250,600},{12.5,15,20,30,45,60,75,105,115,150,200,225,250,600}))/(LOOKUP(M35,{12.5,15,20,30,45,60,75,105,115,150,200,225,250,600,1000},{15,20,30,45,60,75,105,115,150,200,225,250,600,1000,1000})-LOOKUP(M35,{12.5,15,20,30,45,60,75,105,115,150,200,225,250,600},{12.5,15,20,30,45,60,75,105,115,150,200,225,250,600}))*(LOOKUP(M35,{12.5,15,20,30,45,60,75,105,115,150,200,225,250,600,1000},{55,60,62,65,68,70,72,75,80,82,85,87,90,95,95})-LOOKUP(M35,{12.5,15,20,30,45,60,75,105,115,150,200,225,250,600,1000},{50,55,60,62,65,68,70,72,75,80,82,85,87,90,95})))))</f>
        <v>68</v>
      </c>
      <c r="P35" s="2">
        <f t="shared" si="3"/>
        <v>14</v>
      </c>
      <c r="Q35" s="2">
        <f t="shared" si="4"/>
        <v>6.34</v>
      </c>
    </row>
    <row r="36" customHeight="1" spans="1:17">
      <c r="A36" s="2">
        <v>2026</v>
      </c>
      <c r="B36" s="2">
        <v>35</v>
      </c>
      <c r="C36" s="11">
        <f t="shared" si="0"/>
        <v>82.07</v>
      </c>
      <c r="D36" s="2" t="s">
        <v>130</v>
      </c>
      <c r="E36" s="10">
        <v>83</v>
      </c>
      <c r="F36" s="12">
        <v>61</v>
      </c>
      <c r="G36" s="2">
        <v>51</v>
      </c>
      <c r="H36" s="2" t="s">
        <v>113</v>
      </c>
      <c r="I36" s="2" t="s">
        <v>33</v>
      </c>
      <c r="J36" s="4" t="s">
        <v>34</v>
      </c>
      <c r="K36" s="2" t="s">
        <v>131</v>
      </c>
      <c r="M36" s="2">
        <f t="shared" si="1"/>
        <v>60</v>
      </c>
      <c r="N36" s="2">
        <f t="shared" si="2"/>
        <v>75.4</v>
      </c>
      <c r="O36" s="2">
        <f>IF(M36="","",IF(M36&gt;=1000,95,IF(M36&lt;=12.5,50,LOOKUP(M36,{12.5,15,20,30,45,60,75,105,115,150,200,225,250,600,1000},{50,55,60,62,65,68,70,72,75,80,82,85,87,90,95})+(M36-LOOKUP(M36,{12.5,15,20,30,45,60,75,105,115,150,200,225,250,600},{12.5,15,20,30,45,60,75,105,115,150,200,225,250,600}))/(LOOKUP(M36,{12.5,15,20,30,45,60,75,105,115,150,200,225,250,600,1000},{15,20,30,45,60,75,105,115,150,200,225,250,600,1000,1000})-LOOKUP(M36,{12.5,15,20,30,45,60,75,105,115,150,200,225,250,600},{12.5,15,20,30,45,60,75,105,115,150,200,225,250,600}))*(LOOKUP(M36,{12.5,15,20,30,45,60,75,105,115,150,200,225,250,600,1000},{55,60,62,65,68,70,72,75,80,82,85,87,90,95,95})-LOOKUP(M36,{12.5,15,20,30,45,60,75,105,115,150,200,225,250,600,1000},{50,55,60,62,65,68,70,72,75,80,82,85,87,90,95})))))</f>
        <v>68</v>
      </c>
      <c r="P36" s="2">
        <f t="shared" si="3"/>
        <v>15</v>
      </c>
      <c r="Q36" s="2">
        <f t="shared" si="4"/>
        <v>6.67</v>
      </c>
    </row>
    <row r="37" customHeight="1" spans="1:17">
      <c r="A37" s="2">
        <v>2026</v>
      </c>
      <c r="B37" s="2">
        <v>36</v>
      </c>
      <c r="C37" s="11">
        <f t="shared" si="0"/>
        <v>82</v>
      </c>
      <c r="D37" s="2" t="s">
        <v>132</v>
      </c>
      <c r="E37" s="10">
        <v>83</v>
      </c>
      <c r="F37" s="12">
        <v>64</v>
      </c>
      <c r="G37" s="2">
        <v>51</v>
      </c>
      <c r="H37" s="2" t="s">
        <v>54</v>
      </c>
      <c r="I37" s="2" t="s">
        <v>33</v>
      </c>
      <c r="J37" s="4" t="s">
        <v>24</v>
      </c>
      <c r="K37" s="2" t="s">
        <v>133</v>
      </c>
      <c r="M37" s="2">
        <f t="shared" si="1"/>
        <v>75</v>
      </c>
      <c r="N37" s="2">
        <f t="shared" si="2"/>
        <v>76</v>
      </c>
      <c r="O37" s="2">
        <f>IF(M37="","",IF(M37&gt;=1000,95,IF(M37&lt;=12.5,50,LOOKUP(M37,{12.5,15,20,30,45,60,75,105,115,150,200,225,250,600,1000},{50,55,60,62,65,68,70,72,75,80,82,85,87,90,95})+(M37-LOOKUP(M37,{12.5,15,20,30,45,60,75,105,115,150,200,225,250,600},{12.5,15,20,30,45,60,75,105,115,150,200,225,250,600}))/(LOOKUP(M37,{12.5,15,20,30,45,60,75,105,115,150,200,225,250,600,1000},{15,20,30,45,60,75,105,115,150,200,225,250,600,1000,1000})-LOOKUP(M37,{12.5,15,20,30,45,60,75,105,115,150,200,225,250,600},{12.5,15,20,30,45,60,75,105,115,150,200,225,250,600}))*(LOOKUP(M37,{12.5,15,20,30,45,60,75,105,115,150,200,225,250,600,1000},{55,60,62,65,68,70,72,75,80,82,85,87,90,95,95})-LOOKUP(M37,{12.5,15,20,30,45,60,75,105,115,150,200,225,250,600,1000},{50,55,60,62,65,68,70,72,75,80,82,85,87,90,95})))))</f>
        <v>70</v>
      </c>
      <c r="P37" s="2">
        <f t="shared" si="3"/>
        <v>13</v>
      </c>
      <c r="Q37" s="2">
        <f t="shared" si="4"/>
        <v>6</v>
      </c>
    </row>
    <row r="38" customHeight="1" spans="1:17">
      <c r="A38" s="2">
        <v>2026</v>
      </c>
      <c r="B38" s="2">
        <v>37</v>
      </c>
      <c r="C38" s="11">
        <f t="shared" si="0"/>
        <v>81.93</v>
      </c>
      <c r="D38" s="2" t="s">
        <v>134</v>
      </c>
      <c r="E38" s="10">
        <v>83</v>
      </c>
      <c r="F38" s="12">
        <v>66</v>
      </c>
      <c r="G38" s="2">
        <v>53</v>
      </c>
      <c r="H38" s="2" t="s">
        <v>135</v>
      </c>
      <c r="I38" s="2" t="s">
        <v>104</v>
      </c>
      <c r="J38" s="4" t="s">
        <v>105</v>
      </c>
      <c r="M38" s="2">
        <f t="shared" si="1"/>
        <v>105</v>
      </c>
      <c r="N38" s="2">
        <f t="shared" si="2"/>
        <v>76.6</v>
      </c>
      <c r="O38" s="2">
        <f>IF(M38="","",IF(M38&gt;=1000,95,IF(M38&lt;=12.5,50,LOOKUP(M38,{12.5,15,20,30,45,60,75,105,115,150,200,225,250,600,1000},{50,55,60,62,65,68,70,72,75,80,82,85,87,90,95})+(M38-LOOKUP(M38,{12.5,15,20,30,45,60,75,105,115,150,200,225,250,600},{12.5,15,20,30,45,60,75,105,115,150,200,225,250,600}))/(LOOKUP(M38,{12.5,15,20,30,45,60,75,105,115,150,200,225,250,600,1000},{15,20,30,45,60,75,105,115,150,200,225,250,600,1000,1000})-LOOKUP(M38,{12.5,15,20,30,45,60,75,105,115,150,200,225,250,600},{12.5,15,20,30,45,60,75,105,115,150,200,225,250,600}))*(LOOKUP(M38,{12.5,15,20,30,45,60,75,105,115,150,200,225,250,600,1000},{55,60,62,65,68,70,72,75,80,82,85,87,90,95,95})-LOOKUP(M38,{12.5,15,20,30,45,60,75,105,115,150,200,225,250,600,1000},{50,55,60,62,65,68,70,72,75,80,82,85,87,90,95})))))</f>
        <v>72</v>
      </c>
      <c r="P38" s="2">
        <f t="shared" si="3"/>
        <v>11</v>
      </c>
      <c r="Q38" s="2">
        <f t="shared" si="4"/>
        <v>5.33</v>
      </c>
    </row>
    <row r="39" customHeight="1" spans="1:17">
      <c r="B39" s="2">
        <v>38</v>
      </c>
      <c r="C39" s="11">
        <f t="shared" si="0"/>
        <v>81.9</v>
      </c>
      <c r="D39" s="2" t="s">
        <v>136</v>
      </c>
      <c r="E39" s="10">
        <v>85</v>
      </c>
      <c r="F39" s="9">
        <v>70</v>
      </c>
      <c r="G39" s="12">
        <v>69</v>
      </c>
      <c r="H39" s="2" t="s">
        <v>137</v>
      </c>
      <c r="I39" s="2" t="s">
        <v>23</v>
      </c>
      <c r="J39" s="4" t="s">
        <v>51</v>
      </c>
      <c r="K39" s="2" t="s">
        <v>138</v>
      </c>
      <c r="M39" s="2">
        <f t="shared" si="1"/>
        <v>200</v>
      </c>
      <c r="N39" s="2">
        <f t="shared" si="2"/>
        <v>80.4</v>
      </c>
      <c r="O39" s="2">
        <f>IF(M39="","",IF(M39&gt;=1000,95,IF(M39&lt;=12.5,50,LOOKUP(M39,{12.5,15,20,30,45,60,75,105,115,150,200,225,250,600,1000},{50,55,60,62,65,68,70,72,75,80,82,85,87,90,95})+(M39-LOOKUP(M39,{12.5,15,20,30,45,60,75,105,115,150,200,225,250,600},{12.5,15,20,30,45,60,75,105,115,150,200,225,250,600}))/(LOOKUP(M39,{12.5,15,20,30,45,60,75,105,115,150,200,225,250,600,1000},{15,20,30,45,60,75,105,115,150,200,225,250,600,1000,1000})-LOOKUP(M39,{12.5,15,20,30,45,60,75,105,115,150,200,225,250,600},{12.5,15,20,30,45,60,75,105,115,150,200,225,250,600}))*(LOOKUP(M39,{12.5,15,20,30,45,60,75,105,115,150,200,225,250,600,1000},{55,60,62,65,68,70,72,75,80,82,85,87,90,95,95})-LOOKUP(M39,{12.5,15,20,30,45,60,75,105,115,150,200,225,250,600,1000},{50,55,60,62,65,68,70,72,75,80,82,85,87,90,95})))))</f>
        <v>82</v>
      </c>
      <c r="P39" s="2">
        <f t="shared" si="3"/>
        <v>3</v>
      </c>
      <c r="Q39" s="2">
        <f t="shared" si="4"/>
        <v>1.5</v>
      </c>
    </row>
    <row r="40" customHeight="1" spans="1:17">
      <c r="A40" s="2">
        <v>2026</v>
      </c>
      <c r="B40" s="2">
        <v>39</v>
      </c>
      <c r="C40" s="11">
        <f t="shared" si="0"/>
        <v>81.84</v>
      </c>
      <c r="D40" s="2" t="s">
        <v>139</v>
      </c>
      <c r="E40" s="9">
        <v>77</v>
      </c>
      <c r="F40" s="9">
        <v>77</v>
      </c>
      <c r="G40" s="2">
        <v>52</v>
      </c>
      <c r="H40" s="2" t="s">
        <v>54</v>
      </c>
      <c r="I40" s="2" t="s">
        <v>28</v>
      </c>
      <c r="J40" s="4" t="s">
        <v>140</v>
      </c>
      <c r="K40" s="2" t="s">
        <v>141</v>
      </c>
      <c r="M40" s="2">
        <f t="shared" si="1"/>
        <v>20</v>
      </c>
      <c r="N40" s="2">
        <f t="shared" si="2"/>
        <v>74.5</v>
      </c>
      <c r="O40" s="2">
        <f>IF(M40="","",IF(M40&gt;=1000,95,IF(M40&lt;=12.5,50,LOOKUP(M40,{12.5,15,20,30,45,60,75,105,115,150,200,225,250,600,1000},{50,55,60,62,65,68,70,72,75,80,82,85,87,90,95})+(M40-LOOKUP(M40,{12.5,15,20,30,45,60,75,105,115,150,200,225,250,600},{12.5,15,20,30,45,60,75,105,115,150,200,225,250,600}))/(LOOKUP(M40,{12.5,15,20,30,45,60,75,105,115,150,200,225,250,600,1000},{15,20,30,45,60,75,105,115,150,200,225,250,600,1000,1000})-LOOKUP(M40,{12.5,15,20,30,45,60,75,105,115,150,200,225,250,600},{12.5,15,20,30,45,60,75,105,115,150,200,225,250,600}))*(LOOKUP(M40,{12.5,15,20,30,45,60,75,105,115,150,200,225,250,600,1000},{55,60,62,65,68,70,72,75,80,82,85,87,90,95,95})-LOOKUP(M40,{12.5,15,20,30,45,60,75,105,115,150,200,225,250,600,1000},{50,55,60,62,65,68,70,72,75,80,82,85,87,90,95})))))</f>
        <v>60</v>
      </c>
      <c r="P40" s="2">
        <f t="shared" si="3"/>
        <v>17</v>
      </c>
      <c r="Q40" s="2">
        <f t="shared" si="4"/>
        <v>7.34</v>
      </c>
    </row>
    <row r="41" customHeight="1" spans="1:17">
      <c r="B41" s="2">
        <v>40</v>
      </c>
      <c r="C41" s="11">
        <f t="shared" si="0"/>
        <v>81.77</v>
      </c>
      <c r="D41" s="2" t="s">
        <v>142</v>
      </c>
      <c r="E41" s="9">
        <v>79</v>
      </c>
      <c r="F41" s="12">
        <v>60</v>
      </c>
      <c r="G41" s="2">
        <v>48</v>
      </c>
      <c r="H41" s="2" t="s">
        <v>143</v>
      </c>
      <c r="I41" s="2" t="s">
        <v>28</v>
      </c>
      <c r="J41" s="4" t="s">
        <v>29</v>
      </c>
      <c r="K41" s="2" t="s">
        <v>144</v>
      </c>
      <c r="M41" s="2">
        <f t="shared" si="1"/>
        <v>15</v>
      </c>
      <c r="N41" s="2">
        <f t="shared" si="2"/>
        <v>72.1</v>
      </c>
      <c r="O41" s="2">
        <f>IF(M41="","",IF(M41&gt;=1000,95,IF(M41&lt;=12.5,50,LOOKUP(M41,{12.5,15,20,30,45,60,75,105,115,150,200,225,250,600,1000},{50,55,60,62,65,68,70,72,75,80,82,85,87,90,95})+(M41-LOOKUP(M41,{12.5,15,20,30,45,60,75,105,115,150,200,225,250,600},{12.5,15,20,30,45,60,75,105,115,150,200,225,250,600}))/(LOOKUP(M41,{12.5,15,20,30,45,60,75,105,115,150,200,225,250,600,1000},{15,20,30,45,60,75,105,115,150,200,225,250,600,1000,1000})-LOOKUP(M41,{12.5,15,20,30,45,60,75,105,115,150,200,225,250,600},{12.5,15,20,30,45,60,75,105,115,150,200,225,250,600}))*(LOOKUP(M41,{12.5,15,20,30,45,60,75,105,115,150,200,225,250,600,1000},{55,60,62,65,68,70,72,75,80,82,85,87,90,95,95})-LOOKUP(M41,{12.5,15,20,30,45,60,75,105,115,150,200,225,250,600,1000},{50,55,60,62,65,68,70,72,75,80,82,85,87,90,95})))))</f>
        <v>55</v>
      </c>
      <c r="P41" s="2">
        <f t="shared" si="3"/>
        <v>24</v>
      </c>
      <c r="Q41" s="2">
        <f t="shared" si="4"/>
        <v>9.67</v>
      </c>
    </row>
    <row r="42" customHeight="1" spans="1:17">
      <c r="A42" s="2">
        <v>2026</v>
      </c>
      <c r="B42" s="2">
        <v>41</v>
      </c>
      <c r="C42" s="11">
        <f t="shared" si="0"/>
        <v>81.73</v>
      </c>
      <c r="D42" s="2" t="s">
        <v>145</v>
      </c>
      <c r="E42" s="9">
        <v>79</v>
      </c>
      <c r="F42" s="2">
        <v>59</v>
      </c>
      <c r="G42" s="2">
        <v>33</v>
      </c>
      <c r="H42" s="2" t="s">
        <v>102</v>
      </c>
      <c r="I42" s="2" t="s">
        <v>28</v>
      </c>
      <c r="J42" s="4" t="s">
        <v>77</v>
      </c>
      <c r="K42" s="2" t="s">
        <v>82</v>
      </c>
      <c r="M42" s="2">
        <f t="shared" si="1"/>
        <v>12.5</v>
      </c>
      <c r="N42" s="2">
        <f t="shared" si="2"/>
        <v>70.4</v>
      </c>
      <c r="O42" s="2">
        <f>IF(M42="","",IF(M42&gt;=1000,95,IF(M42&lt;=12.5,50,LOOKUP(M42,{12.5,15,20,30,45,60,75,105,115,150,200,225,250,600,1000},{50,55,60,62,65,68,70,72,75,80,82,85,87,90,95})+(M42-LOOKUP(M42,{12.5,15,20,30,45,60,75,105,115,150,200,225,250,600},{12.5,15,20,30,45,60,75,105,115,150,200,225,250,600}))/(LOOKUP(M42,{12.5,15,20,30,45,60,75,105,115,150,200,225,250,600,1000},{15,20,30,45,60,75,105,115,150,200,225,250,600,1000,1000})-LOOKUP(M42,{12.5,15,20,30,45,60,75,105,115,150,200,225,250,600},{12.5,15,20,30,45,60,75,105,115,150,200,225,250,600}))*(LOOKUP(M42,{12.5,15,20,30,45,60,75,105,115,150,200,225,250,600,1000},{55,60,62,65,68,70,72,75,80,82,85,87,90,95,95})-LOOKUP(M42,{12.5,15,20,30,45,60,75,105,115,150,200,225,250,600,1000},{50,55,60,62,65,68,70,72,75,80,82,85,87,90,95})))))</f>
        <v>50</v>
      </c>
      <c r="P42" s="2">
        <f t="shared" si="3"/>
        <v>29</v>
      </c>
      <c r="Q42" s="2">
        <f t="shared" si="4"/>
        <v>11.33</v>
      </c>
    </row>
    <row r="43" customHeight="1" spans="1:17">
      <c r="B43" s="2">
        <v>42</v>
      </c>
      <c r="C43" s="11">
        <f t="shared" si="0"/>
        <v>81.64</v>
      </c>
      <c r="D43" s="2" t="s">
        <v>146</v>
      </c>
      <c r="E43" s="10">
        <v>82</v>
      </c>
      <c r="F43" s="12">
        <v>64</v>
      </c>
      <c r="G43" s="2">
        <v>51</v>
      </c>
      <c r="H43" s="2" t="s">
        <v>66</v>
      </c>
      <c r="I43" s="2" t="s">
        <v>33</v>
      </c>
      <c r="J43" s="4" t="s">
        <v>34</v>
      </c>
      <c r="M43" s="2">
        <f t="shared" si="1"/>
        <v>60</v>
      </c>
      <c r="N43" s="2">
        <f t="shared" si="2"/>
        <v>75.3</v>
      </c>
      <c r="O43" s="2">
        <f>IF(M43="","",IF(M43&gt;=1000,95,IF(M43&lt;=12.5,50,LOOKUP(M43,{12.5,15,20,30,45,60,75,105,115,150,200,225,250,600,1000},{50,55,60,62,65,68,70,72,75,80,82,85,87,90,95})+(M43-LOOKUP(M43,{12.5,15,20,30,45,60,75,105,115,150,200,225,250,600},{12.5,15,20,30,45,60,75,105,115,150,200,225,250,600}))/(LOOKUP(M43,{12.5,15,20,30,45,60,75,105,115,150,200,225,250,600,1000},{15,20,30,45,60,75,105,115,150,200,225,250,600,1000,1000})-LOOKUP(M43,{12.5,15,20,30,45,60,75,105,115,150,200,225,250,600},{12.5,15,20,30,45,60,75,105,115,150,200,225,250,600}))*(LOOKUP(M43,{12.5,15,20,30,45,60,75,105,115,150,200,225,250,600,1000},{55,60,62,65,68,70,72,75,80,82,85,87,90,95,95})-LOOKUP(M43,{12.5,15,20,30,45,60,75,105,115,150,200,225,250,600,1000},{50,55,60,62,65,68,70,72,75,80,82,85,87,90,95})))))</f>
        <v>68</v>
      </c>
      <c r="P43" s="2">
        <f t="shared" si="3"/>
        <v>14</v>
      </c>
      <c r="Q43" s="2">
        <f t="shared" si="4"/>
        <v>6.34</v>
      </c>
    </row>
    <row r="44" customHeight="1" spans="1:17">
      <c r="A44" s="2">
        <v>2026</v>
      </c>
      <c r="B44" s="2">
        <v>43</v>
      </c>
      <c r="C44" s="11">
        <f t="shared" si="0"/>
        <v>81.5</v>
      </c>
      <c r="D44" s="2" t="s">
        <v>147</v>
      </c>
      <c r="E44" s="10">
        <v>81</v>
      </c>
      <c r="F44" s="9">
        <v>70</v>
      </c>
      <c r="G44" s="9">
        <v>78</v>
      </c>
      <c r="H44" s="2" t="s">
        <v>54</v>
      </c>
      <c r="I44" s="2" t="s">
        <v>104</v>
      </c>
      <c r="J44" s="4" t="s">
        <v>148</v>
      </c>
      <c r="K44" s="2" t="s">
        <v>106</v>
      </c>
      <c r="M44" s="2">
        <f t="shared" si="1"/>
        <v>115</v>
      </c>
      <c r="N44" s="2">
        <f t="shared" si="2"/>
        <v>78.5</v>
      </c>
      <c r="O44" s="2">
        <f>IF(M44="","",IF(M44&gt;=1000,95,IF(M44&lt;=12.5,50,LOOKUP(M44,{12.5,15,20,30,45,60,75,105,115,150,200,225,250,600,1000},{50,55,60,62,65,68,70,72,75,80,82,85,87,90,95})+(M44-LOOKUP(M44,{12.5,15,20,30,45,60,75,105,115,150,200,225,250,600},{12.5,15,20,30,45,60,75,105,115,150,200,225,250,600}))/(LOOKUP(M44,{12.5,15,20,30,45,60,75,105,115,150,200,225,250,600,1000},{15,20,30,45,60,75,105,115,150,200,225,250,600,1000,1000})-LOOKUP(M44,{12.5,15,20,30,45,60,75,105,115,150,200,225,250,600},{12.5,15,20,30,45,60,75,105,115,150,200,225,250,600}))*(LOOKUP(M44,{12.5,15,20,30,45,60,75,105,115,150,200,225,250,600,1000},{55,60,62,65,68,70,72,75,80,82,85,87,90,95,95})-LOOKUP(M44,{12.5,15,20,30,45,60,75,105,115,150,200,225,250,600,1000},{50,55,60,62,65,68,70,72,75,80,82,85,87,90,95})))))</f>
        <v>75</v>
      </c>
      <c r="P44" s="2">
        <f t="shared" si="3"/>
        <v>6</v>
      </c>
      <c r="Q44" s="2">
        <f t="shared" si="4"/>
        <v>3</v>
      </c>
    </row>
    <row r="45" customHeight="1" spans="1:17">
      <c r="A45" s="2">
        <v>2026</v>
      </c>
      <c r="B45" s="2">
        <v>44</v>
      </c>
      <c r="C45" s="11">
        <f t="shared" si="0"/>
        <v>81.4</v>
      </c>
      <c r="D45" s="2" t="s">
        <v>149</v>
      </c>
      <c r="E45" s="10">
        <v>84</v>
      </c>
      <c r="F45" s="2">
        <v>52</v>
      </c>
      <c r="G45" s="2">
        <v>42</v>
      </c>
      <c r="H45" s="2" t="s">
        <v>54</v>
      </c>
      <c r="I45" s="2" t="s">
        <v>33</v>
      </c>
      <c r="J45" s="4" t="s">
        <v>38</v>
      </c>
      <c r="K45" s="2" t="s">
        <v>150</v>
      </c>
      <c r="M45" s="2">
        <f t="shared" si="1"/>
        <v>45</v>
      </c>
      <c r="N45" s="2">
        <f t="shared" si="2"/>
        <v>73.4</v>
      </c>
      <c r="O45" s="2">
        <f>IF(M45="","",IF(M45&gt;=1000,95,IF(M45&lt;=12.5,50,LOOKUP(M45,{12.5,15,20,30,45,60,75,105,115,150,200,225,250,600,1000},{50,55,60,62,65,68,70,72,75,80,82,85,87,90,95})+(M45-LOOKUP(M45,{12.5,15,20,30,45,60,75,105,115,150,200,225,250,600},{12.5,15,20,30,45,60,75,105,115,150,200,225,250,600}))/(LOOKUP(M45,{12.5,15,20,30,45,60,75,105,115,150,200,225,250,600,1000},{15,20,30,45,60,75,105,115,150,200,225,250,600,1000,1000})-LOOKUP(M45,{12.5,15,20,30,45,60,75,105,115,150,200,225,250,600},{12.5,15,20,30,45,60,75,105,115,150,200,225,250,600}))*(LOOKUP(M45,{12.5,15,20,30,45,60,75,105,115,150,200,225,250,600,1000},{55,60,62,65,68,70,72,75,80,82,85,87,90,95,95})-LOOKUP(M45,{12.5,15,20,30,45,60,75,105,115,150,200,225,250,600,1000},{50,55,60,62,65,68,70,72,75,80,82,85,87,90,95})))))</f>
        <v>65</v>
      </c>
      <c r="P45" s="2">
        <f t="shared" si="3"/>
        <v>19</v>
      </c>
      <c r="Q45" s="2">
        <f t="shared" si="4"/>
        <v>8</v>
      </c>
    </row>
    <row r="46" customHeight="1" spans="1:17">
      <c r="B46" s="2">
        <v>45</v>
      </c>
      <c r="C46" s="11">
        <f t="shared" si="0"/>
        <v>81.3</v>
      </c>
      <c r="D46" s="2" t="s">
        <v>151</v>
      </c>
      <c r="E46" s="10">
        <v>84</v>
      </c>
      <c r="F46" s="10">
        <v>86</v>
      </c>
      <c r="G46" s="10">
        <v>83</v>
      </c>
      <c r="H46" s="2" t="s">
        <v>94</v>
      </c>
      <c r="I46" s="2" t="s">
        <v>50</v>
      </c>
      <c r="J46" s="4" t="s">
        <v>73</v>
      </c>
      <c r="K46" s="2" t="s">
        <v>152</v>
      </c>
      <c r="M46" s="2">
        <f t="shared" si="1"/>
        <v>600</v>
      </c>
      <c r="N46" s="2">
        <f t="shared" si="2"/>
        <v>84.3</v>
      </c>
      <c r="O46" s="2">
        <f>IF(M46="","",IF(M46&gt;=1000,95,IF(M46&lt;=12.5,50,LOOKUP(M46,{12.5,15,20,30,45,60,75,105,115,150,200,225,250,600,1000},{50,55,60,62,65,68,70,72,75,80,82,85,87,90,95})+(M46-LOOKUP(M46,{12.5,15,20,30,45,60,75,105,115,150,200,225,250,600},{12.5,15,20,30,45,60,75,105,115,150,200,225,250,600}))/(LOOKUP(M46,{12.5,15,20,30,45,60,75,105,115,150,200,225,250,600,1000},{15,20,30,45,60,75,105,115,150,200,225,250,600,1000,1000})-LOOKUP(M46,{12.5,15,20,30,45,60,75,105,115,150,200,225,250,600},{12.5,15,20,30,45,60,75,105,115,150,200,225,250,600}))*(LOOKUP(M46,{12.5,15,20,30,45,60,75,105,115,150,200,225,250,600,1000},{55,60,62,65,68,70,72,75,80,82,85,87,90,95,95})-LOOKUP(M46,{12.5,15,20,30,45,60,75,105,115,150,200,225,250,600,1000},{50,55,60,62,65,68,70,72,75,80,82,85,87,90,95})))))</f>
        <v>90</v>
      </c>
      <c r="P46" s="2">
        <f t="shared" si="3"/>
        <v>-6</v>
      </c>
      <c r="Q46" s="2">
        <f t="shared" si="4"/>
        <v>-3</v>
      </c>
    </row>
    <row r="47" customHeight="1" spans="1:17">
      <c r="A47" s="2">
        <v>2026</v>
      </c>
      <c r="B47" s="2">
        <v>46</v>
      </c>
      <c r="C47" s="11">
        <f t="shared" si="0"/>
        <v>81.3</v>
      </c>
      <c r="D47" s="2" t="s">
        <v>153</v>
      </c>
      <c r="E47" s="10">
        <v>81</v>
      </c>
      <c r="F47" s="12">
        <v>69</v>
      </c>
      <c r="G47" s="12">
        <v>63</v>
      </c>
      <c r="H47" s="2" t="s">
        <v>32</v>
      </c>
      <c r="I47" s="2" t="s">
        <v>154</v>
      </c>
      <c r="J47" s="4" t="s">
        <v>105</v>
      </c>
      <c r="K47" s="2" t="s">
        <v>155</v>
      </c>
      <c r="M47" s="2">
        <f t="shared" si="1"/>
        <v>105</v>
      </c>
      <c r="N47" s="2">
        <f t="shared" si="2"/>
        <v>76.8</v>
      </c>
      <c r="O47" s="2">
        <f>IF(M47="","",IF(M47&gt;=1000,95,IF(M47&lt;=12.5,50,LOOKUP(M47,{12.5,15,20,30,45,60,75,105,115,150,200,225,250,600,1000},{50,55,60,62,65,68,70,72,75,80,82,85,87,90,95})+(M47-LOOKUP(M47,{12.5,15,20,30,45,60,75,105,115,150,200,225,250,600},{12.5,15,20,30,45,60,75,105,115,150,200,225,250,600}))/(LOOKUP(M47,{12.5,15,20,30,45,60,75,105,115,150,200,225,250,600,1000},{15,20,30,45,60,75,105,115,150,200,225,250,600,1000,1000})-LOOKUP(M47,{12.5,15,20,30,45,60,75,105,115,150,200,225,250,600},{12.5,15,20,30,45,60,75,105,115,150,200,225,250,600}))*(LOOKUP(M47,{12.5,15,20,30,45,60,75,105,115,150,200,225,250,600,1000},{55,60,62,65,68,70,72,75,80,82,85,87,90,95,95})-LOOKUP(M47,{12.5,15,20,30,45,60,75,105,115,150,200,225,250,600,1000},{50,55,60,62,65,68,70,72,75,80,82,85,87,90,95})))))</f>
        <v>72</v>
      </c>
      <c r="P47" s="2">
        <f t="shared" si="3"/>
        <v>9</v>
      </c>
      <c r="Q47" s="2">
        <f t="shared" si="4"/>
        <v>4.5</v>
      </c>
    </row>
    <row r="48" customHeight="1" spans="1:17">
      <c r="A48" s="2">
        <v>2026</v>
      </c>
      <c r="B48" s="2">
        <v>47</v>
      </c>
      <c r="C48" s="11">
        <f t="shared" si="0"/>
        <v>81.27</v>
      </c>
      <c r="D48" s="2" t="s">
        <v>156</v>
      </c>
      <c r="E48" s="10">
        <v>80</v>
      </c>
      <c r="F48" s="12">
        <v>62</v>
      </c>
      <c r="G48" s="2">
        <v>52</v>
      </c>
      <c r="H48" s="2" t="s">
        <v>54</v>
      </c>
      <c r="I48" s="2" t="s">
        <v>28</v>
      </c>
      <c r="J48" s="4" t="s">
        <v>88</v>
      </c>
      <c r="K48" s="2" t="s">
        <v>157</v>
      </c>
      <c r="M48" s="2">
        <f t="shared" si="1"/>
        <v>30</v>
      </c>
      <c r="N48" s="2">
        <f t="shared" si="2"/>
        <v>73.6</v>
      </c>
      <c r="O48" s="2">
        <f>IF(M48="","",IF(M48&gt;=1000,95,IF(M48&lt;=12.5,50,LOOKUP(M48,{12.5,15,20,30,45,60,75,105,115,150,200,225,250,600,1000},{50,55,60,62,65,68,70,72,75,80,82,85,87,90,95})+(M48-LOOKUP(M48,{12.5,15,20,30,45,60,75,105,115,150,200,225,250,600},{12.5,15,20,30,45,60,75,105,115,150,200,225,250,600}))/(LOOKUP(M48,{12.5,15,20,30,45,60,75,105,115,150,200,225,250,600,1000},{15,20,30,45,60,75,105,115,150,200,225,250,600,1000,1000})-LOOKUP(M48,{12.5,15,20,30,45,60,75,105,115,150,200,225,250,600},{12.5,15,20,30,45,60,75,105,115,150,200,225,250,600}))*(LOOKUP(M48,{12.5,15,20,30,45,60,75,105,115,150,200,225,250,600,1000},{55,60,62,65,68,70,72,75,80,82,85,87,90,95,95})-LOOKUP(M48,{12.5,15,20,30,45,60,75,105,115,150,200,225,250,600,1000},{50,55,60,62,65,68,70,72,75,80,82,85,87,90,95})))))</f>
        <v>62</v>
      </c>
      <c r="P48" s="2">
        <f t="shared" si="3"/>
        <v>18</v>
      </c>
      <c r="Q48" s="2">
        <f t="shared" si="4"/>
        <v>7.67</v>
      </c>
    </row>
    <row r="49" customHeight="1" spans="1:17">
      <c r="B49" s="2">
        <v>48</v>
      </c>
      <c r="C49" s="11">
        <f t="shared" si="0"/>
        <v>81.2</v>
      </c>
      <c r="D49" s="2" t="s">
        <v>158</v>
      </c>
      <c r="E49" s="10">
        <v>83</v>
      </c>
      <c r="F49" s="8">
        <v>96</v>
      </c>
      <c r="G49" s="9">
        <v>74</v>
      </c>
      <c r="H49" s="2" t="s">
        <v>113</v>
      </c>
      <c r="I49" s="2" t="s">
        <v>159</v>
      </c>
      <c r="J49" s="4" t="s">
        <v>73</v>
      </c>
      <c r="K49" s="2" t="s">
        <v>160</v>
      </c>
      <c r="M49" s="2">
        <f t="shared" si="1"/>
        <v>600</v>
      </c>
      <c r="N49" s="2">
        <f t="shared" si="2"/>
        <v>84.7</v>
      </c>
      <c r="O49" s="2">
        <f>IF(M49="","",IF(M49&gt;=1000,95,IF(M49&lt;=12.5,50,LOOKUP(M49,{12.5,15,20,30,45,60,75,105,115,150,200,225,250,600,1000},{50,55,60,62,65,68,70,72,75,80,82,85,87,90,95})+(M49-LOOKUP(M49,{12.5,15,20,30,45,60,75,105,115,150,200,225,250,600},{12.5,15,20,30,45,60,75,105,115,150,200,225,250,600}))/(LOOKUP(M49,{12.5,15,20,30,45,60,75,105,115,150,200,225,250,600,1000},{15,20,30,45,60,75,105,115,150,200,225,250,600,1000,1000})-LOOKUP(M49,{12.5,15,20,30,45,60,75,105,115,150,200,225,250,600},{12.5,15,20,30,45,60,75,105,115,150,200,225,250,600}))*(LOOKUP(M49,{12.5,15,20,30,45,60,75,105,115,150,200,225,250,600,1000},{55,60,62,65,68,70,72,75,80,82,85,87,90,95,95})-LOOKUP(M49,{12.5,15,20,30,45,60,75,105,115,150,200,225,250,600,1000},{50,55,60,62,65,68,70,72,75,80,82,85,87,90,95})))))</f>
        <v>90</v>
      </c>
      <c r="P49" s="2">
        <f t="shared" si="3"/>
        <v>-7</v>
      </c>
      <c r="Q49" s="2">
        <f t="shared" si="4"/>
        <v>-3.5</v>
      </c>
    </row>
    <row r="50" customHeight="1" spans="1:17">
      <c r="A50" s="2">
        <v>2026</v>
      </c>
      <c r="B50" s="2">
        <v>49</v>
      </c>
      <c r="C50" s="11">
        <f t="shared" si="0"/>
        <v>81.17</v>
      </c>
      <c r="D50" s="2" t="s">
        <v>161</v>
      </c>
      <c r="E50" s="10">
        <v>85</v>
      </c>
      <c r="F50" s="2">
        <v>49</v>
      </c>
      <c r="G50" s="2">
        <v>52</v>
      </c>
      <c r="H50" s="2" t="s">
        <v>87</v>
      </c>
      <c r="I50" s="2" t="s">
        <v>28</v>
      </c>
      <c r="J50" s="4" t="s">
        <v>24</v>
      </c>
      <c r="K50" s="2" t="s">
        <v>162</v>
      </c>
      <c r="M50" s="2">
        <f t="shared" si="1"/>
        <v>75</v>
      </c>
      <c r="N50" s="2">
        <f t="shared" si="2"/>
        <v>74.5</v>
      </c>
      <c r="O50" s="2">
        <f>IF(M50="","",IF(M50&gt;=1000,95,IF(M50&lt;=12.5,50,LOOKUP(M50,{12.5,15,20,30,45,60,75,105,115,150,200,225,250,600,1000},{50,55,60,62,65,68,70,72,75,80,82,85,87,90,95})+(M50-LOOKUP(M50,{12.5,15,20,30,45,60,75,105,115,150,200,225,250,600},{12.5,15,20,30,45,60,75,105,115,150,200,225,250,600}))/(LOOKUP(M50,{12.5,15,20,30,45,60,75,105,115,150,200,225,250,600,1000},{15,20,30,45,60,75,105,115,150,200,225,250,600,1000,1000})-LOOKUP(M50,{12.5,15,20,30,45,60,75,105,115,150,200,225,250,600},{12.5,15,20,30,45,60,75,105,115,150,200,225,250,600}))*(LOOKUP(M50,{12.5,15,20,30,45,60,75,105,115,150,200,225,250,600,1000},{55,60,62,65,68,70,72,75,80,82,85,87,90,95,95})-LOOKUP(M50,{12.5,15,20,30,45,60,75,105,115,150,200,225,250,600,1000},{50,55,60,62,65,68,70,72,75,80,82,85,87,90,95})))))</f>
        <v>70</v>
      </c>
      <c r="P50" s="2">
        <f t="shared" si="3"/>
        <v>15</v>
      </c>
      <c r="Q50" s="2">
        <f t="shared" si="4"/>
        <v>6.67</v>
      </c>
    </row>
    <row r="51" customHeight="1" spans="1:17">
      <c r="A51" s="2">
        <v>2026</v>
      </c>
      <c r="B51" s="2">
        <v>50</v>
      </c>
      <c r="C51" s="11">
        <f t="shared" si="0"/>
        <v>81.1</v>
      </c>
      <c r="D51" s="2" t="s">
        <v>163</v>
      </c>
      <c r="E51" s="10">
        <v>81</v>
      </c>
      <c r="F51" s="2">
        <v>54</v>
      </c>
      <c r="G51" s="2">
        <v>56</v>
      </c>
      <c r="H51" s="2" t="s">
        <v>54</v>
      </c>
      <c r="I51" s="2" t="s">
        <v>28</v>
      </c>
      <c r="J51" s="4" t="s">
        <v>88</v>
      </c>
      <c r="K51" s="2" t="s">
        <v>144</v>
      </c>
      <c r="M51" s="2">
        <f t="shared" si="1"/>
        <v>30</v>
      </c>
      <c r="N51" s="2">
        <f t="shared" si="2"/>
        <v>73.1</v>
      </c>
      <c r="O51" s="2">
        <f>IF(M51="","",IF(M51&gt;=1000,95,IF(M51&lt;=12.5,50,LOOKUP(M51,{12.5,15,20,30,45,60,75,105,115,150,200,225,250,600,1000},{50,55,60,62,65,68,70,72,75,80,82,85,87,90,95})+(M51-LOOKUP(M51,{12.5,15,20,30,45,60,75,105,115,150,200,225,250,600},{12.5,15,20,30,45,60,75,105,115,150,200,225,250,600}))/(LOOKUP(M51,{12.5,15,20,30,45,60,75,105,115,150,200,225,250,600,1000},{15,20,30,45,60,75,105,115,150,200,225,250,600,1000,1000})-LOOKUP(M51,{12.5,15,20,30,45,60,75,105,115,150,200,225,250,600},{12.5,15,20,30,45,60,75,105,115,150,200,225,250,600}))*(LOOKUP(M51,{12.5,15,20,30,45,60,75,105,115,150,200,225,250,600,1000},{55,60,62,65,68,70,72,75,80,82,85,87,90,95,95})-LOOKUP(M51,{12.5,15,20,30,45,60,75,105,115,150,200,225,250,600,1000},{50,55,60,62,65,68,70,72,75,80,82,85,87,90,95})))))</f>
        <v>62</v>
      </c>
      <c r="P51" s="2">
        <f t="shared" si="3"/>
        <v>19</v>
      </c>
      <c r="Q51" s="2">
        <f t="shared" si="4"/>
        <v>8</v>
      </c>
    </row>
    <row r="52" customHeight="1" spans="1:17">
      <c r="B52" s="2">
        <v>51</v>
      </c>
      <c r="C52" s="11">
        <f t="shared" si="0"/>
        <v>81.1</v>
      </c>
      <c r="D52" s="2" t="s">
        <v>164</v>
      </c>
      <c r="E52" s="10">
        <v>84</v>
      </c>
      <c r="F52" s="10">
        <v>87</v>
      </c>
      <c r="G52" s="9">
        <v>79</v>
      </c>
      <c r="H52" s="2" t="s">
        <v>94</v>
      </c>
      <c r="I52" s="2" t="s">
        <v>50</v>
      </c>
      <c r="J52" s="4" t="s">
        <v>73</v>
      </c>
      <c r="K52" s="2" t="s">
        <v>152</v>
      </c>
      <c r="M52" s="2">
        <f t="shared" si="1"/>
        <v>600</v>
      </c>
      <c r="N52" s="2">
        <f t="shared" si="2"/>
        <v>84.1</v>
      </c>
      <c r="O52" s="2">
        <f>IF(M52="","",IF(M52&gt;=1000,95,IF(M52&lt;=12.5,50,LOOKUP(M52,{12.5,15,20,30,45,60,75,105,115,150,200,225,250,600,1000},{50,55,60,62,65,68,70,72,75,80,82,85,87,90,95})+(M52-LOOKUP(M52,{12.5,15,20,30,45,60,75,105,115,150,200,225,250,600},{12.5,15,20,30,45,60,75,105,115,150,200,225,250,600}))/(LOOKUP(M52,{12.5,15,20,30,45,60,75,105,115,150,200,225,250,600,1000},{15,20,30,45,60,75,105,115,150,200,225,250,600,1000,1000})-LOOKUP(M52,{12.5,15,20,30,45,60,75,105,115,150,200,225,250,600},{12.5,15,20,30,45,60,75,105,115,150,200,225,250,600}))*(LOOKUP(M52,{12.5,15,20,30,45,60,75,105,115,150,200,225,250,600,1000},{55,60,62,65,68,70,72,75,80,82,85,87,90,95,95})-LOOKUP(M52,{12.5,15,20,30,45,60,75,105,115,150,200,225,250,600,1000},{50,55,60,62,65,68,70,72,75,80,82,85,87,90,95})))))</f>
        <v>90</v>
      </c>
      <c r="P52" s="2">
        <f t="shared" si="3"/>
        <v>-6</v>
      </c>
      <c r="Q52" s="2">
        <f t="shared" si="4"/>
        <v>-3</v>
      </c>
    </row>
    <row r="53" customHeight="1" spans="1:17">
      <c r="B53" s="2">
        <v>52</v>
      </c>
      <c r="C53" s="11">
        <f t="shared" si="0"/>
        <v>81.07</v>
      </c>
      <c r="D53" s="2" t="s">
        <v>165</v>
      </c>
      <c r="E53" s="10">
        <v>80</v>
      </c>
      <c r="F53" s="12">
        <v>60</v>
      </c>
      <c r="G53" s="9">
        <v>74</v>
      </c>
      <c r="H53" s="2" t="s">
        <v>166</v>
      </c>
      <c r="I53" s="2" t="s">
        <v>23</v>
      </c>
      <c r="J53" s="4" t="s">
        <v>34</v>
      </c>
      <c r="K53" s="2" t="s">
        <v>167</v>
      </c>
      <c r="M53" s="2">
        <f t="shared" si="1"/>
        <v>60</v>
      </c>
      <c r="N53" s="2">
        <f t="shared" si="2"/>
        <v>75.4</v>
      </c>
      <c r="O53" s="2">
        <f>IF(M53="","",IF(M53&gt;=1000,95,IF(M53&lt;=12.5,50,LOOKUP(M53,{12.5,15,20,30,45,60,75,105,115,150,200,225,250,600,1000},{50,55,60,62,65,68,70,72,75,80,82,85,87,90,95})+(M53-LOOKUP(M53,{12.5,15,20,30,45,60,75,105,115,150,200,225,250,600},{12.5,15,20,30,45,60,75,105,115,150,200,225,250,600}))/(LOOKUP(M53,{12.5,15,20,30,45,60,75,105,115,150,200,225,250,600,1000},{15,20,30,45,60,75,105,115,150,200,225,250,600,1000,1000})-LOOKUP(M53,{12.5,15,20,30,45,60,75,105,115,150,200,225,250,600},{12.5,15,20,30,45,60,75,105,115,150,200,225,250,600}))*(LOOKUP(M53,{12.5,15,20,30,45,60,75,105,115,150,200,225,250,600,1000},{55,60,62,65,68,70,72,75,80,82,85,87,90,95,95})-LOOKUP(M53,{12.5,15,20,30,45,60,75,105,115,150,200,225,250,600,1000},{50,55,60,62,65,68,70,72,75,80,82,85,87,90,95})))))</f>
        <v>68</v>
      </c>
      <c r="P53" s="2">
        <f t="shared" si="3"/>
        <v>12</v>
      </c>
      <c r="Q53" s="2">
        <f t="shared" si="4"/>
        <v>5.67</v>
      </c>
    </row>
    <row r="54" customHeight="1" spans="1:17">
      <c r="A54" s="2">
        <v>2026</v>
      </c>
      <c r="B54" s="2">
        <v>53</v>
      </c>
      <c r="C54" s="11">
        <f t="shared" si="0"/>
        <v>81</v>
      </c>
      <c r="D54" s="2" t="s">
        <v>168</v>
      </c>
      <c r="E54" s="10">
        <v>84</v>
      </c>
      <c r="F54" s="10">
        <v>88</v>
      </c>
      <c r="G54" s="9">
        <v>76</v>
      </c>
      <c r="H54" s="2" t="s">
        <v>41</v>
      </c>
      <c r="I54" s="2" t="s">
        <v>104</v>
      </c>
      <c r="J54" s="4" t="s">
        <v>73</v>
      </c>
      <c r="K54" s="2" t="s">
        <v>169</v>
      </c>
      <c r="M54" s="2">
        <f t="shared" si="1"/>
        <v>600</v>
      </c>
      <c r="N54" s="2">
        <f t="shared" si="2"/>
        <v>84</v>
      </c>
      <c r="O54" s="2">
        <f>IF(M54="","",IF(M54&gt;=1000,95,IF(M54&lt;=12.5,50,LOOKUP(M54,{12.5,15,20,30,45,60,75,105,115,150,200,225,250,600,1000},{50,55,60,62,65,68,70,72,75,80,82,85,87,90,95})+(M54-LOOKUP(M54,{12.5,15,20,30,45,60,75,105,115,150,200,225,250,600},{12.5,15,20,30,45,60,75,105,115,150,200,225,250,600}))/(LOOKUP(M54,{12.5,15,20,30,45,60,75,105,115,150,200,225,250,600,1000},{15,20,30,45,60,75,105,115,150,200,225,250,600,1000,1000})-LOOKUP(M54,{12.5,15,20,30,45,60,75,105,115,150,200,225,250,600},{12.5,15,20,30,45,60,75,105,115,150,200,225,250,600}))*(LOOKUP(M54,{12.5,15,20,30,45,60,75,105,115,150,200,225,250,600,1000},{55,60,62,65,68,70,72,75,80,82,85,87,90,95,95})-LOOKUP(M54,{12.5,15,20,30,45,60,75,105,115,150,200,225,250,600,1000},{50,55,60,62,65,68,70,72,75,80,82,85,87,90,95})))))</f>
        <v>90</v>
      </c>
      <c r="P54" s="2">
        <f t="shared" si="3"/>
        <v>-6</v>
      </c>
      <c r="Q54" s="2">
        <f t="shared" si="4"/>
        <v>-3</v>
      </c>
    </row>
    <row r="55" customHeight="1" spans="1:17">
      <c r="A55" s="2">
        <v>2026</v>
      </c>
      <c r="B55" s="2">
        <v>54</v>
      </c>
      <c r="C55" s="11">
        <f t="shared" si="0"/>
        <v>80.83</v>
      </c>
      <c r="D55" s="2" t="s">
        <v>170</v>
      </c>
      <c r="E55" s="9">
        <v>79</v>
      </c>
      <c r="F55" s="9">
        <v>75</v>
      </c>
      <c r="G55" s="2">
        <v>52</v>
      </c>
      <c r="H55" s="2" t="s">
        <v>54</v>
      </c>
      <c r="I55" s="2" t="s">
        <v>33</v>
      </c>
      <c r="J55" s="4" t="s">
        <v>34</v>
      </c>
      <c r="K55" s="2" t="s">
        <v>171</v>
      </c>
      <c r="M55" s="2">
        <f t="shared" si="1"/>
        <v>60</v>
      </c>
      <c r="N55" s="2">
        <f t="shared" si="2"/>
        <v>75.5</v>
      </c>
      <c r="O55" s="2">
        <f>IF(M55="","",IF(M55&gt;=1000,95,IF(M55&lt;=12.5,50,LOOKUP(M55,{12.5,15,20,30,45,60,75,105,115,150,200,225,250,600,1000},{50,55,60,62,65,68,70,72,75,80,82,85,87,90,95})+(M55-LOOKUP(M55,{12.5,15,20,30,45,60,75,105,115,150,200,225,250,600},{12.5,15,20,30,45,60,75,105,115,150,200,225,250,600}))/(LOOKUP(M55,{12.5,15,20,30,45,60,75,105,115,150,200,225,250,600,1000},{15,20,30,45,60,75,105,115,150,200,225,250,600,1000,1000})-LOOKUP(M55,{12.5,15,20,30,45,60,75,105,115,150,200,225,250,600},{12.5,15,20,30,45,60,75,105,115,150,200,225,250,600}))*(LOOKUP(M55,{12.5,15,20,30,45,60,75,105,115,150,200,225,250,600,1000},{55,60,62,65,68,70,72,75,80,82,85,87,90,95,95})-LOOKUP(M55,{12.5,15,20,30,45,60,75,105,115,150,200,225,250,600,1000},{50,55,60,62,65,68,70,72,75,80,82,85,87,90,95})))))</f>
        <v>68</v>
      </c>
      <c r="P55" s="2">
        <f t="shared" si="3"/>
        <v>11</v>
      </c>
      <c r="Q55" s="2">
        <f t="shared" si="4"/>
        <v>5.33</v>
      </c>
    </row>
    <row r="56" customHeight="1" spans="1:17">
      <c r="B56" s="2">
        <v>55</v>
      </c>
      <c r="C56" s="11">
        <f t="shared" si="0"/>
        <v>80.7</v>
      </c>
      <c r="D56" s="2" t="s">
        <v>172</v>
      </c>
      <c r="E56" s="10">
        <v>82</v>
      </c>
      <c r="F56" s="8">
        <v>91</v>
      </c>
      <c r="G56" s="12">
        <v>66</v>
      </c>
      <c r="H56" s="2" t="s">
        <v>173</v>
      </c>
      <c r="I56" s="2" t="s">
        <v>159</v>
      </c>
      <c r="J56" s="4" t="s">
        <v>19</v>
      </c>
      <c r="K56" s="2" t="s">
        <v>160</v>
      </c>
      <c r="M56" s="2">
        <f t="shared" si="1"/>
        <v>225</v>
      </c>
      <c r="N56" s="2">
        <f t="shared" si="2"/>
        <v>82.2</v>
      </c>
      <c r="O56" s="2">
        <f>IF(M56="","",IF(M56&gt;=1000,95,IF(M56&lt;=12.5,50,LOOKUP(M56,{12.5,15,20,30,45,60,75,105,115,150,200,225,250,600,1000},{50,55,60,62,65,68,70,72,75,80,82,85,87,90,95})+(M56-LOOKUP(M56,{12.5,15,20,30,45,60,75,105,115,150,200,225,250,600},{12.5,15,20,30,45,60,75,105,115,150,200,225,250,600}))/(LOOKUP(M56,{12.5,15,20,30,45,60,75,105,115,150,200,225,250,600,1000},{15,20,30,45,60,75,105,115,150,200,225,250,600,1000,1000})-LOOKUP(M56,{12.5,15,20,30,45,60,75,105,115,150,200,225,250,600},{12.5,15,20,30,45,60,75,105,115,150,200,225,250,600}))*(LOOKUP(M56,{12.5,15,20,30,45,60,75,105,115,150,200,225,250,600,1000},{55,60,62,65,68,70,72,75,80,82,85,87,90,95,95})-LOOKUP(M56,{12.5,15,20,30,45,60,75,105,115,150,200,225,250,600,1000},{50,55,60,62,65,68,70,72,75,80,82,85,87,90,95})))))</f>
        <v>85</v>
      </c>
      <c r="P56" s="2">
        <f t="shared" si="3"/>
        <v>-3</v>
      </c>
      <c r="Q56" s="2">
        <f t="shared" si="4"/>
        <v>-1.5</v>
      </c>
    </row>
    <row r="57" customHeight="1" spans="1:17">
      <c r="B57" s="2">
        <v>56</v>
      </c>
      <c r="C57" s="11">
        <f t="shared" si="0"/>
        <v>80.6</v>
      </c>
      <c r="D57" s="2" t="s">
        <v>174</v>
      </c>
      <c r="E57" s="13">
        <v>75</v>
      </c>
      <c r="F57" s="10">
        <v>89</v>
      </c>
      <c r="G57" s="12">
        <v>68</v>
      </c>
      <c r="H57" s="2" t="s">
        <v>175</v>
      </c>
      <c r="I57" s="2" t="s">
        <v>63</v>
      </c>
      <c r="J57" s="4" t="s">
        <v>34</v>
      </c>
      <c r="K57" s="2" t="s">
        <v>176</v>
      </c>
      <c r="M57" s="2">
        <f t="shared" si="1"/>
        <v>60</v>
      </c>
      <c r="N57" s="2">
        <f t="shared" si="2"/>
        <v>77.1</v>
      </c>
      <c r="O57" s="2">
        <f>IF(M57="","",IF(M57&gt;=1000,95,IF(M57&lt;=12.5,50,LOOKUP(M57,{12.5,15,20,30,45,60,75,105,115,150,200,225,250,600,1000},{50,55,60,62,65,68,70,72,75,80,82,85,87,90,95})+(M57-LOOKUP(M57,{12.5,15,20,30,45,60,75,105,115,150,200,225,250,600},{12.5,15,20,30,45,60,75,105,115,150,200,225,250,600}))/(LOOKUP(M57,{12.5,15,20,30,45,60,75,105,115,150,200,225,250,600,1000},{15,20,30,45,60,75,105,115,150,200,225,250,600,1000,1000})-LOOKUP(M57,{12.5,15,20,30,45,60,75,105,115,150,200,225,250,600},{12.5,15,20,30,45,60,75,105,115,150,200,225,250,600}))*(LOOKUP(M57,{12.5,15,20,30,45,60,75,105,115,150,200,225,250,600,1000},{55,60,62,65,68,70,72,75,80,82,85,87,90,95,95})-LOOKUP(M57,{12.5,15,20,30,45,60,75,105,115,150,200,225,250,600,1000},{50,55,60,62,65,68,70,72,75,80,82,85,87,90,95})))))</f>
        <v>68</v>
      </c>
      <c r="P57" s="2">
        <f t="shared" si="3"/>
        <v>7</v>
      </c>
      <c r="Q57" s="2">
        <f t="shared" si="4"/>
        <v>3.5</v>
      </c>
    </row>
    <row r="58" customHeight="1" spans="1:17">
      <c r="B58" s="2">
        <v>57</v>
      </c>
      <c r="C58" s="11">
        <f t="shared" si="0"/>
        <v>80.53</v>
      </c>
      <c r="D58" s="2" t="s">
        <v>177</v>
      </c>
      <c r="E58" s="9">
        <v>76</v>
      </c>
      <c r="F58" s="12">
        <v>60</v>
      </c>
      <c r="G58" s="2">
        <v>50</v>
      </c>
      <c r="H58" s="2" t="s">
        <v>178</v>
      </c>
      <c r="I58" s="2" t="s">
        <v>28</v>
      </c>
      <c r="J58" s="4" t="s">
        <v>77</v>
      </c>
      <c r="K58" s="2" t="s">
        <v>179</v>
      </c>
      <c r="M58" s="2">
        <f t="shared" si="1"/>
        <v>12.5</v>
      </c>
      <c r="N58" s="2">
        <f t="shared" si="2"/>
        <v>70.2</v>
      </c>
      <c r="O58" s="2">
        <f>IF(M58="","",IF(M58&gt;=1000,95,IF(M58&lt;=12.5,50,LOOKUP(M58,{12.5,15,20,30,45,60,75,105,115,150,200,225,250,600,1000},{50,55,60,62,65,68,70,72,75,80,82,85,87,90,95})+(M58-LOOKUP(M58,{12.5,15,20,30,45,60,75,105,115,150,200,225,250,600},{12.5,15,20,30,45,60,75,105,115,150,200,225,250,600}))/(LOOKUP(M58,{12.5,15,20,30,45,60,75,105,115,150,200,225,250,600,1000},{15,20,30,45,60,75,105,115,150,200,225,250,600,1000,1000})-LOOKUP(M58,{12.5,15,20,30,45,60,75,105,115,150,200,225,250,600},{12.5,15,20,30,45,60,75,105,115,150,200,225,250,600}))*(LOOKUP(M58,{12.5,15,20,30,45,60,75,105,115,150,200,225,250,600,1000},{55,60,62,65,68,70,72,75,80,82,85,87,90,95,95})-LOOKUP(M58,{12.5,15,20,30,45,60,75,105,115,150,200,225,250,600,1000},{50,55,60,62,65,68,70,72,75,80,82,85,87,90,95})))))</f>
        <v>50</v>
      </c>
      <c r="P58" s="2">
        <f t="shared" si="3"/>
        <v>26</v>
      </c>
      <c r="Q58" s="2">
        <f t="shared" si="4"/>
        <v>10.33</v>
      </c>
    </row>
    <row r="59" customHeight="1" spans="1:17">
      <c r="A59" s="2">
        <v>2026</v>
      </c>
      <c r="B59" s="2">
        <v>58</v>
      </c>
      <c r="C59" s="11">
        <f t="shared" si="0"/>
        <v>80.5</v>
      </c>
      <c r="D59" s="2" t="s">
        <v>180</v>
      </c>
      <c r="E59" s="10">
        <v>81</v>
      </c>
      <c r="F59" s="12">
        <v>62</v>
      </c>
      <c r="G59" s="2">
        <v>54</v>
      </c>
      <c r="H59" s="2" t="s">
        <v>41</v>
      </c>
      <c r="I59" s="2" t="s">
        <v>33</v>
      </c>
      <c r="J59" s="4" t="s">
        <v>34</v>
      </c>
      <c r="K59" s="2" t="s">
        <v>181</v>
      </c>
      <c r="M59" s="2">
        <f t="shared" si="1"/>
        <v>60</v>
      </c>
      <c r="N59" s="2">
        <f t="shared" si="2"/>
        <v>74.5</v>
      </c>
      <c r="O59" s="2">
        <f>IF(M59="","",IF(M59&gt;=1000,95,IF(M59&lt;=12.5,50,LOOKUP(M59,{12.5,15,20,30,45,60,75,105,115,150,200,225,250,600,1000},{50,55,60,62,65,68,70,72,75,80,82,85,87,90,95})+(M59-LOOKUP(M59,{12.5,15,20,30,45,60,75,105,115,150,200,225,250,600},{12.5,15,20,30,45,60,75,105,115,150,200,225,250,600}))/(LOOKUP(M59,{12.5,15,20,30,45,60,75,105,115,150,200,225,250,600,1000},{15,20,30,45,60,75,105,115,150,200,225,250,600,1000,1000})-LOOKUP(M59,{12.5,15,20,30,45,60,75,105,115,150,200,225,250,600},{12.5,15,20,30,45,60,75,105,115,150,200,225,250,600}))*(LOOKUP(M59,{12.5,15,20,30,45,60,75,105,115,150,200,225,250,600,1000},{55,60,62,65,68,70,72,75,80,82,85,87,90,95,95})-LOOKUP(M59,{12.5,15,20,30,45,60,75,105,115,150,200,225,250,600,1000},{50,55,60,62,65,68,70,72,75,80,82,85,87,90,95})))))</f>
        <v>68</v>
      </c>
      <c r="P59" s="2">
        <f t="shared" si="3"/>
        <v>13</v>
      </c>
      <c r="Q59" s="2">
        <f t="shared" si="4"/>
        <v>6</v>
      </c>
    </row>
    <row r="60" customHeight="1" spans="1:17">
      <c r="A60" s="2">
        <v>2026</v>
      </c>
      <c r="B60" s="2">
        <v>59</v>
      </c>
      <c r="C60" s="11">
        <f t="shared" si="0"/>
        <v>80.5</v>
      </c>
      <c r="D60" s="2" t="s">
        <v>182</v>
      </c>
      <c r="E60" s="10">
        <v>80</v>
      </c>
      <c r="F60" s="9">
        <v>72</v>
      </c>
      <c r="G60" s="12">
        <v>61</v>
      </c>
      <c r="H60" s="2" t="s">
        <v>54</v>
      </c>
      <c r="I60" s="2" t="s">
        <v>183</v>
      </c>
      <c r="J60" s="4" t="s">
        <v>105</v>
      </c>
      <c r="M60" s="2">
        <f t="shared" si="1"/>
        <v>105</v>
      </c>
      <c r="N60" s="2">
        <f t="shared" si="2"/>
        <v>76.5</v>
      </c>
      <c r="O60" s="2">
        <f>IF(M60="","",IF(M60&gt;=1000,95,IF(M60&lt;=12.5,50,LOOKUP(M60,{12.5,15,20,30,45,60,75,105,115,150,200,225,250,600,1000},{50,55,60,62,65,68,70,72,75,80,82,85,87,90,95})+(M60-LOOKUP(M60,{12.5,15,20,30,45,60,75,105,115,150,200,225,250,600},{12.5,15,20,30,45,60,75,105,115,150,200,225,250,600}))/(LOOKUP(M60,{12.5,15,20,30,45,60,75,105,115,150,200,225,250,600,1000},{15,20,30,45,60,75,105,115,150,200,225,250,600,1000,1000})-LOOKUP(M60,{12.5,15,20,30,45,60,75,105,115,150,200,225,250,600},{12.5,15,20,30,45,60,75,105,115,150,200,225,250,600}))*(LOOKUP(M60,{12.5,15,20,30,45,60,75,105,115,150,200,225,250,600,1000},{55,60,62,65,68,70,72,75,80,82,85,87,90,95,95})-LOOKUP(M60,{12.5,15,20,30,45,60,75,105,115,150,200,225,250,600,1000},{50,55,60,62,65,68,70,72,75,80,82,85,87,90,95})))))</f>
        <v>72</v>
      </c>
      <c r="P60" s="2">
        <f t="shared" si="3"/>
        <v>8</v>
      </c>
      <c r="Q60" s="2">
        <f t="shared" si="4"/>
        <v>4</v>
      </c>
    </row>
    <row r="61" customHeight="1" spans="1:17">
      <c r="B61" s="2">
        <v>60</v>
      </c>
      <c r="C61" s="11">
        <f t="shared" si="0"/>
        <v>80.47</v>
      </c>
      <c r="D61" s="2" t="s">
        <v>184</v>
      </c>
      <c r="E61" s="10">
        <v>83</v>
      </c>
      <c r="F61" s="2">
        <v>55</v>
      </c>
      <c r="G61" s="2">
        <v>47</v>
      </c>
      <c r="H61" s="2" t="s">
        <v>66</v>
      </c>
      <c r="I61" s="2" t="s">
        <v>33</v>
      </c>
      <c r="J61" s="4" t="s">
        <v>185</v>
      </c>
      <c r="K61" s="2" t="s">
        <v>186</v>
      </c>
      <c r="M61" s="2">
        <f t="shared" si="1"/>
        <v>60</v>
      </c>
      <c r="N61" s="2">
        <f t="shared" si="2"/>
        <v>73.8</v>
      </c>
      <c r="O61" s="2">
        <f>IF(M61="","",IF(M61&gt;=1000,95,IF(M61&lt;=12.5,50,LOOKUP(M61,{12.5,15,20,30,45,60,75,105,115,150,200,225,250,600,1000},{50,55,60,62,65,68,70,72,75,80,82,85,87,90,95})+(M61-LOOKUP(M61,{12.5,15,20,30,45,60,75,105,115,150,200,225,250,600},{12.5,15,20,30,45,60,75,105,115,150,200,225,250,600}))/(LOOKUP(M61,{12.5,15,20,30,45,60,75,105,115,150,200,225,250,600,1000},{15,20,30,45,60,75,105,115,150,200,225,250,600,1000,1000})-LOOKUP(M61,{12.5,15,20,30,45,60,75,105,115,150,200,225,250,600},{12.5,15,20,30,45,60,75,105,115,150,200,225,250,600}))*(LOOKUP(M61,{12.5,15,20,30,45,60,75,105,115,150,200,225,250,600,1000},{55,60,62,65,68,70,72,75,80,82,85,87,90,95,95})-LOOKUP(M61,{12.5,15,20,30,45,60,75,105,115,150,200,225,250,600,1000},{50,55,60,62,65,68,70,72,75,80,82,85,87,90,95})))))</f>
        <v>68</v>
      </c>
      <c r="P61" s="2">
        <f t="shared" si="3"/>
        <v>15</v>
      </c>
      <c r="Q61" s="2">
        <f t="shared" si="4"/>
        <v>6.67</v>
      </c>
    </row>
    <row r="62" customHeight="1" spans="1:17">
      <c r="B62" s="2">
        <v>61</v>
      </c>
      <c r="C62" s="11">
        <f t="shared" si="0"/>
        <v>80.43</v>
      </c>
      <c r="D62" s="2" t="s">
        <v>187</v>
      </c>
      <c r="E62" s="9">
        <v>78</v>
      </c>
      <c r="F62" s="12">
        <v>60</v>
      </c>
      <c r="G62" s="2">
        <v>45</v>
      </c>
      <c r="H62" s="2" t="s">
        <v>143</v>
      </c>
      <c r="I62" s="2" t="s">
        <v>28</v>
      </c>
      <c r="J62" s="4" t="s">
        <v>29</v>
      </c>
      <c r="K62" s="2" t="s">
        <v>144</v>
      </c>
      <c r="M62" s="2">
        <f t="shared" si="1"/>
        <v>15</v>
      </c>
      <c r="N62" s="2">
        <f t="shared" si="2"/>
        <v>71.1</v>
      </c>
      <c r="O62" s="2">
        <f>IF(M62="","",IF(M62&gt;=1000,95,IF(M62&lt;=12.5,50,LOOKUP(M62,{12.5,15,20,30,45,60,75,105,115,150,200,225,250,600,1000},{50,55,60,62,65,68,70,72,75,80,82,85,87,90,95})+(M62-LOOKUP(M62,{12.5,15,20,30,45,60,75,105,115,150,200,225,250,600},{12.5,15,20,30,45,60,75,105,115,150,200,225,250,600}))/(LOOKUP(M62,{12.5,15,20,30,45,60,75,105,115,150,200,225,250,600,1000},{15,20,30,45,60,75,105,115,150,200,225,250,600,1000,1000})-LOOKUP(M62,{12.5,15,20,30,45,60,75,105,115,150,200,225,250,600},{12.5,15,20,30,45,60,75,105,115,150,200,225,250,600}))*(LOOKUP(M62,{12.5,15,20,30,45,60,75,105,115,150,200,225,250,600,1000},{55,60,62,65,68,70,72,75,80,82,85,87,90,95,95})-LOOKUP(M62,{12.5,15,20,30,45,60,75,105,115,150,200,225,250,600,1000},{50,55,60,62,65,68,70,72,75,80,82,85,87,90,95})))))</f>
        <v>55</v>
      </c>
      <c r="P62" s="2">
        <f t="shared" si="3"/>
        <v>23</v>
      </c>
      <c r="Q62" s="2">
        <f t="shared" si="4"/>
        <v>9.33</v>
      </c>
    </row>
    <row r="63" customHeight="1" spans="1:17">
      <c r="B63" s="2">
        <v>62</v>
      </c>
      <c r="C63" s="11">
        <f t="shared" si="0"/>
        <v>80.4</v>
      </c>
      <c r="D63" s="2" t="s">
        <v>188</v>
      </c>
      <c r="E63" s="10">
        <v>82</v>
      </c>
      <c r="F63" s="14">
        <v>93</v>
      </c>
      <c r="G63" s="10">
        <v>84</v>
      </c>
      <c r="H63" s="2" t="s">
        <v>189</v>
      </c>
      <c r="I63" s="2" t="s">
        <v>42</v>
      </c>
      <c r="J63" s="4" t="s">
        <v>73</v>
      </c>
      <c r="K63" s="2" t="s">
        <v>190</v>
      </c>
      <c r="M63" s="2">
        <f t="shared" si="1"/>
        <v>600</v>
      </c>
      <c r="N63" s="2">
        <f t="shared" si="2"/>
        <v>84.4</v>
      </c>
      <c r="O63" s="2">
        <f>IF(M63="","",IF(M63&gt;=1000,95,IF(M63&lt;=12.5,50,LOOKUP(M63,{12.5,15,20,30,45,60,75,105,115,150,200,225,250,600,1000},{50,55,60,62,65,68,70,72,75,80,82,85,87,90,95})+(M63-LOOKUP(M63,{12.5,15,20,30,45,60,75,105,115,150,200,225,250,600},{12.5,15,20,30,45,60,75,105,115,150,200,225,250,600}))/(LOOKUP(M63,{12.5,15,20,30,45,60,75,105,115,150,200,225,250,600,1000},{15,20,30,45,60,75,105,115,150,200,225,250,600,1000,1000})-LOOKUP(M63,{12.5,15,20,30,45,60,75,105,115,150,200,225,250,600},{12.5,15,20,30,45,60,75,105,115,150,200,225,250,600}))*(LOOKUP(M63,{12.5,15,20,30,45,60,75,105,115,150,200,225,250,600,1000},{55,60,62,65,68,70,72,75,80,82,85,87,90,95,95})-LOOKUP(M63,{12.5,15,20,30,45,60,75,105,115,150,200,225,250,600,1000},{50,55,60,62,65,68,70,72,75,80,82,85,87,90,95})))))</f>
        <v>90</v>
      </c>
      <c r="P63" s="2">
        <f t="shared" si="3"/>
        <v>-8</v>
      </c>
      <c r="Q63" s="2">
        <f t="shared" si="4"/>
        <v>-4</v>
      </c>
    </row>
    <row r="64" customHeight="1" spans="1:17">
      <c r="B64" s="2">
        <v>63</v>
      </c>
      <c r="C64" s="11">
        <f t="shared" si="0"/>
        <v>80.4</v>
      </c>
      <c r="D64" s="2" t="s">
        <v>191</v>
      </c>
      <c r="E64" s="10">
        <v>81</v>
      </c>
      <c r="F64" s="12">
        <v>63</v>
      </c>
      <c r="G64" s="2">
        <v>51</v>
      </c>
      <c r="H64" s="2" t="s">
        <v>94</v>
      </c>
      <c r="I64" s="2" t="s">
        <v>63</v>
      </c>
      <c r="J64" s="4" t="s">
        <v>34</v>
      </c>
      <c r="M64" s="2">
        <f t="shared" si="1"/>
        <v>60</v>
      </c>
      <c r="N64" s="2">
        <f t="shared" si="2"/>
        <v>74.4</v>
      </c>
      <c r="O64" s="2">
        <f>IF(M64="","",IF(M64&gt;=1000,95,IF(M64&lt;=12.5,50,LOOKUP(M64,{12.5,15,20,30,45,60,75,105,115,150,200,225,250,600,1000},{50,55,60,62,65,68,70,72,75,80,82,85,87,90,95})+(M64-LOOKUP(M64,{12.5,15,20,30,45,60,75,105,115,150,200,225,250,600},{12.5,15,20,30,45,60,75,105,115,150,200,225,250,600}))/(LOOKUP(M64,{12.5,15,20,30,45,60,75,105,115,150,200,225,250,600,1000},{15,20,30,45,60,75,105,115,150,200,225,250,600,1000,1000})-LOOKUP(M64,{12.5,15,20,30,45,60,75,105,115,150,200,225,250,600},{12.5,15,20,30,45,60,75,105,115,150,200,225,250,600}))*(LOOKUP(M64,{12.5,15,20,30,45,60,75,105,115,150,200,225,250,600,1000},{55,60,62,65,68,70,72,75,80,82,85,87,90,95,95})-LOOKUP(M64,{12.5,15,20,30,45,60,75,105,115,150,200,225,250,600,1000},{50,55,60,62,65,68,70,72,75,80,82,85,87,90,95})))))</f>
        <v>68</v>
      </c>
      <c r="P64" s="2">
        <f t="shared" si="3"/>
        <v>13</v>
      </c>
      <c r="Q64" s="2">
        <f t="shared" si="4"/>
        <v>6</v>
      </c>
    </row>
    <row r="65" customHeight="1" spans="1:17">
      <c r="A65" s="2">
        <v>2026</v>
      </c>
      <c r="B65" s="2">
        <v>64</v>
      </c>
      <c r="C65" s="11">
        <f t="shared" si="0"/>
        <v>80.3</v>
      </c>
      <c r="D65" s="2" t="s">
        <v>192</v>
      </c>
      <c r="E65" s="10">
        <v>81</v>
      </c>
      <c r="F65" s="12">
        <v>69</v>
      </c>
      <c r="G65" s="2">
        <v>53</v>
      </c>
      <c r="H65" s="2" t="s">
        <v>54</v>
      </c>
      <c r="I65" s="2" t="s">
        <v>183</v>
      </c>
      <c r="J65" s="4" t="s">
        <v>105</v>
      </c>
      <c r="M65" s="2">
        <f t="shared" si="1"/>
        <v>105</v>
      </c>
      <c r="N65" s="2">
        <f t="shared" si="2"/>
        <v>75.8</v>
      </c>
      <c r="O65" s="2">
        <f>IF(M65="","",IF(M65&gt;=1000,95,IF(M65&lt;=12.5,50,LOOKUP(M65,{12.5,15,20,30,45,60,75,105,115,150,200,225,250,600,1000},{50,55,60,62,65,68,70,72,75,80,82,85,87,90,95})+(M65-LOOKUP(M65,{12.5,15,20,30,45,60,75,105,115,150,200,225,250,600},{12.5,15,20,30,45,60,75,105,115,150,200,225,250,600}))/(LOOKUP(M65,{12.5,15,20,30,45,60,75,105,115,150,200,225,250,600,1000},{15,20,30,45,60,75,105,115,150,200,225,250,600,1000,1000})-LOOKUP(M65,{12.5,15,20,30,45,60,75,105,115,150,200,225,250,600},{12.5,15,20,30,45,60,75,105,115,150,200,225,250,600}))*(LOOKUP(M65,{12.5,15,20,30,45,60,75,105,115,150,200,225,250,600,1000},{55,60,62,65,68,70,72,75,80,82,85,87,90,95,95})-LOOKUP(M65,{12.5,15,20,30,45,60,75,105,115,150,200,225,250,600,1000},{50,55,60,62,65,68,70,72,75,80,82,85,87,90,95})))))</f>
        <v>72</v>
      </c>
      <c r="P65" s="2">
        <f t="shared" si="3"/>
        <v>9</v>
      </c>
      <c r="Q65" s="2">
        <f t="shared" si="4"/>
        <v>4.5</v>
      </c>
    </row>
    <row r="66" customHeight="1" spans="1:17">
      <c r="B66" s="2">
        <v>65</v>
      </c>
      <c r="C66" s="11">
        <f>ROUND(MAX(MIN(N66+Q66,100),0),2)</f>
        <v>80.2</v>
      </c>
      <c r="D66" s="2" t="s">
        <v>193</v>
      </c>
      <c r="E66" s="9">
        <v>77</v>
      </c>
      <c r="F66" s="9">
        <v>70</v>
      </c>
      <c r="G66" s="2">
        <v>33</v>
      </c>
      <c r="H66" s="2" t="s">
        <v>37</v>
      </c>
      <c r="I66" s="2" t="s">
        <v>28</v>
      </c>
      <c r="J66" s="4" t="s">
        <v>29</v>
      </c>
      <c r="K66" s="2" t="s">
        <v>194</v>
      </c>
      <c r="M66" s="2">
        <f t="shared" ref="M66:M129" si="5">IF(J66="1000+",1000,(LEFT(J66,FIND("-",J66)-1)+RIGHT(J66,LEN(J66)-FIND("-",J66)))/2)</f>
        <v>15</v>
      </c>
      <c r="N66" s="2">
        <f t="shared" ref="N66:N129" si="6">ROUND(E66*0.7+F66*0.2+G66*0.1,2)</f>
        <v>71.2</v>
      </c>
      <c r="O66" s="2">
        <f>IF(M66="","",IF(M66&gt;=1000,95,IF(M66&lt;=12.5,50,LOOKUP(M66,{12.5,15,20,30,45,60,75,105,115,150,200,225,250,600,1000},{50,55,60,62,65,68,70,72,75,80,82,85,87,90,95})+(M66-LOOKUP(M66,{12.5,15,20,30,45,60,75,105,115,150,200,225,250,600},{12.5,15,20,30,45,60,75,105,115,150,200,225,250,600}))/(LOOKUP(M66,{12.5,15,20,30,45,60,75,105,115,150,200,225,250,600,1000},{15,20,30,45,60,75,105,115,150,200,225,250,600,1000,1000})-LOOKUP(M66,{12.5,15,20,30,45,60,75,105,115,150,200,225,250,600},{12.5,15,20,30,45,60,75,105,115,150,200,225,250,600}))*(LOOKUP(M66,{12.5,15,20,30,45,60,75,105,115,150,200,225,250,600,1000},{55,60,62,65,68,70,72,75,80,82,85,87,90,95,95})-LOOKUP(M66,{12.5,15,20,30,45,60,75,105,115,150,200,225,250,600,1000},{50,55,60,62,65,68,70,72,75,80,82,85,87,90,95})))))</f>
        <v>55</v>
      </c>
      <c r="P66" s="2">
        <f t="shared" ref="P66:P129" si="7">E66-O66</f>
        <v>22</v>
      </c>
      <c r="Q66" s="2">
        <f t="shared" ref="Q66:Q129" si="8">ROUND(SIGN(P66)*IF(ABS(P66)&lt;=10,ABS(P66)*0.5,IF(ABS(P66)&lt;=15,5+(ABS(P66)-10)*(1.67/5),6.67+(ABS(P66)-15)*0.333)),2)</f>
        <v>9</v>
      </c>
    </row>
    <row r="67" customHeight="1" spans="1:17">
      <c r="A67" s="2">
        <v>2026</v>
      </c>
      <c r="B67" s="2">
        <v>66</v>
      </c>
      <c r="C67" s="11">
        <f>ROUND(MAX(MIN(N67+Q67,100),0),2)</f>
        <v>80.1</v>
      </c>
      <c r="D67" s="2" t="s">
        <v>147</v>
      </c>
      <c r="E67" s="10">
        <v>80</v>
      </c>
      <c r="F67" s="9">
        <v>70</v>
      </c>
      <c r="G67" s="9">
        <v>76</v>
      </c>
      <c r="H67" s="2" t="s">
        <v>54</v>
      </c>
      <c r="I67" s="2" t="s">
        <v>104</v>
      </c>
      <c r="J67" s="4" t="s">
        <v>148</v>
      </c>
      <c r="M67" s="2">
        <f t="shared" si="5"/>
        <v>115</v>
      </c>
      <c r="N67" s="2">
        <f t="shared" si="6"/>
        <v>77.6</v>
      </c>
      <c r="O67" s="2">
        <f>IF(M67="","",IF(M67&gt;=1000,95,IF(M67&lt;=12.5,50,LOOKUP(M67,{12.5,15,20,30,45,60,75,105,115,150,200,225,250,600,1000},{50,55,60,62,65,68,70,72,75,80,82,85,87,90,95})+(M67-LOOKUP(M67,{12.5,15,20,30,45,60,75,105,115,150,200,225,250,600},{12.5,15,20,30,45,60,75,105,115,150,200,225,250,600}))/(LOOKUP(M67,{12.5,15,20,30,45,60,75,105,115,150,200,225,250,600,1000},{15,20,30,45,60,75,105,115,150,200,225,250,600,1000,1000})-LOOKUP(M67,{12.5,15,20,30,45,60,75,105,115,150,200,225,250,600},{12.5,15,20,30,45,60,75,105,115,150,200,225,250,600}))*(LOOKUP(M67,{12.5,15,20,30,45,60,75,105,115,150,200,225,250,600,1000},{55,60,62,65,68,70,72,75,80,82,85,87,90,95,95})-LOOKUP(M67,{12.5,15,20,30,45,60,75,105,115,150,200,225,250,600,1000},{50,55,60,62,65,68,70,72,75,80,82,85,87,90,95})))))</f>
        <v>75</v>
      </c>
      <c r="P67" s="2">
        <f t="shared" si="7"/>
        <v>5</v>
      </c>
      <c r="Q67" s="2">
        <f t="shared" si="8"/>
        <v>2.5</v>
      </c>
    </row>
    <row r="68" customHeight="1" spans="1:17">
      <c r="B68" s="2">
        <v>67</v>
      </c>
      <c r="C68" s="11">
        <v>80</v>
      </c>
      <c r="D68" s="15" t="s">
        <v>195</v>
      </c>
      <c r="E68" s="10">
        <v>80</v>
      </c>
      <c r="F68" s="12">
        <v>60</v>
      </c>
      <c r="G68" s="10">
        <v>80</v>
      </c>
      <c r="H68" s="2" t="s">
        <v>196</v>
      </c>
      <c r="I68" s="2" t="s">
        <v>197</v>
      </c>
      <c r="J68" s="4" t="s">
        <v>198</v>
      </c>
      <c r="M68" s="2">
        <f t="shared" si="5"/>
        <v>60</v>
      </c>
      <c r="N68" s="2">
        <f t="shared" si="6"/>
        <v>76</v>
      </c>
      <c r="O68" s="2">
        <f>IF(M68="","",IF(M68&gt;=1000,95,IF(M68&lt;=12.5,50,LOOKUP(M68,{12.5,15,20,30,45,60,75,105,115,150,200,225,250,600,1000},{50,55,60,62,65,68,70,72,75,80,82,85,87,90,95})+(M68-LOOKUP(M68,{12.5,15,20,30,45,60,75,105,115,150,200,225,250,600},{12.5,15,20,30,45,60,75,105,115,150,200,225,250,600}))/(LOOKUP(M68,{12.5,15,20,30,45,60,75,105,115,150,200,225,250,600,1000},{15,20,30,45,60,75,105,115,150,200,225,250,600,1000,1000})-LOOKUP(M68,{12.5,15,20,30,45,60,75,105,115,150,200,225,250,600},{12.5,15,20,30,45,60,75,105,115,150,200,225,250,600}))*(LOOKUP(M68,{12.5,15,20,30,45,60,75,105,115,150,200,225,250,600,1000},{55,60,62,65,68,70,72,75,80,82,85,87,90,95,95})-LOOKUP(M68,{12.5,15,20,30,45,60,75,105,115,150,200,225,250,600,1000},{50,55,60,62,65,68,70,72,75,80,82,85,87,90,95})))))</f>
        <v>68</v>
      </c>
      <c r="P68" s="2">
        <f t="shared" si="7"/>
        <v>12</v>
      </c>
      <c r="Q68" s="2">
        <f t="shared" si="8"/>
        <v>5.67</v>
      </c>
    </row>
    <row r="69" customHeight="1" spans="1:17">
      <c r="B69" s="2">
        <v>68</v>
      </c>
      <c r="C69" s="11">
        <f t="shared" ref="C69:C132" si="9">ROUND(MAX(MIN(N69+Q69,100),0),2)</f>
        <v>80</v>
      </c>
      <c r="D69" s="2" t="s">
        <v>199</v>
      </c>
      <c r="E69" s="9">
        <v>77</v>
      </c>
      <c r="F69" s="12">
        <v>63</v>
      </c>
      <c r="G69" s="2">
        <v>45</v>
      </c>
      <c r="H69" s="2" t="s">
        <v>143</v>
      </c>
      <c r="I69" s="2" t="s">
        <v>28</v>
      </c>
      <c r="J69" s="4" t="s">
        <v>29</v>
      </c>
      <c r="K69" s="2" t="s">
        <v>144</v>
      </c>
      <c r="M69" s="2">
        <f t="shared" si="5"/>
        <v>15</v>
      </c>
      <c r="N69" s="2">
        <f t="shared" si="6"/>
        <v>71</v>
      </c>
      <c r="O69" s="2">
        <f>IF(M69="","",IF(M69&gt;=1000,95,IF(M69&lt;=12.5,50,LOOKUP(M69,{12.5,15,20,30,45,60,75,105,115,150,200,225,250,600,1000},{50,55,60,62,65,68,70,72,75,80,82,85,87,90,95})+(M69-LOOKUP(M69,{12.5,15,20,30,45,60,75,105,115,150,200,225,250,600},{12.5,15,20,30,45,60,75,105,115,150,200,225,250,600}))/(LOOKUP(M69,{12.5,15,20,30,45,60,75,105,115,150,200,225,250,600,1000},{15,20,30,45,60,75,105,115,150,200,225,250,600,1000,1000})-LOOKUP(M69,{12.5,15,20,30,45,60,75,105,115,150,200,225,250,600},{12.5,15,20,30,45,60,75,105,115,150,200,225,250,600}))*(LOOKUP(M69,{12.5,15,20,30,45,60,75,105,115,150,200,225,250,600,1000},{55,60,62,65,68,70,72,75,80,82,85,87,90,95,95})-LOOKUP(M69,{12.5,15,20,30,45,60,75,105,115,150,200,225,250,600,1000},{50,55,60,62,65,68,70,72,75,80,82,85,87,90,95})))))</f>
        <v>55</v>
      </c>
      <c r="P69" s="2">
        <f t="shared" si="7"/>
        <v>22</v>
      </c>
      <c r="Q69" s="2">
        <f t="shared" si="8"/>
        <v>9</v>
      </c>
    </row>
    <row r="70" customHeight="1" spans="1:17">
      <c r="B70" s="2">
        <v>69</v>
      </c>
      <c r="C70" s="16">
        <f t="shared" si="9"/>
        <v>79.8</v>
      </c>
      <c r="D70" s="2" t="s">
        <v>200</v>
      </c>
      <c r="E70" s="10">
        <v>85</v>
      </c>
      <c r="F70" s="12">
        <v>68</v>
      </c>
      <c r="G70" s="2">
        <v>52</v>
      </c>
      <c r="H70" s="2" t="s">
        <v>201</v>
      </c>
      <c r="I70" s="2" t="s">
        <v>50</v>
      </c>
      <c r="J70" s="4" t="s">
        <v>51</v>
      </c>
      <c r="K70" s="2" t="s">
        <v>50</v>
      </c>
      <c r="M70" s="2">
        <f t="shared" si="5"/>
        <v>200</v>
      </c>
      <c r="N70" s="2">
        <f t="shared" si="6"/>
        <v>78.3</v>
      </c>
      <c r="O70" s="2">
        <f>IF(M70="","",IF(M70&gt;=1000,95,IF(M70&lt;=12.5,50,LOOKUP(M70,{12.5,15,20,30,45,60,75,105,115,150,200,225,250,600,1000},{50,55,60,62,65,68,70,72,75,80,82,85,87,90,95})+(M70-LOOKUP(M70,{12.5,15,20,30,45,60,75,105,115,150,200,225,250,600},{12.5,15,20,30,45,60,75,105,115,150,200,225,250,600}))/(LOOKUP(M70,{12.5,15,20,30,45,60,75,105,115,150,200,225,250,600,1000},{15,20,30,45,60,75,105,115,150,200,225,250,600,1000,1000})-LOOKUP(M70,{12.5,15,20,30,45,60,75,105,115,150,200,225,250,600},{12.5,15,20,30,45,60,75,105,115,150,200,225,250,600}))*(LOOKUP(M70,{12.5,15,20,30,45,60,75,105,115,150,200,225,250,600,1000},{55,60,62,65,68,70,72,75,80,82,85,87,90,95,95})-LOOKUP(M70,{12.5,15,20,30,45,60,75,105,115,150,200,225,250,600,1000},{50,55,60,62,65,68,70,72,75,80,82,85,87,90,95})))))</f>
        <v>82</v>
      </c>
      <c r="P70" s="2">
        <f t="shared" si="7"/>
        <v>3</v>
      </c>
      <c r="Q70" s="2">
        <f t="shared" si="8"/>
        <v>1.5</v>
      </c>
    </row>
    <row r="71" customHeight="1" spans="1:17">
      <c r="A71" s="2">
        <v>2026</v>
      </c>
      <c r="B71" s="2">
        <v>70</v>
      </c>
      <c r="C71" s="16">
        <f t="shared" si="9"/>
        <v>79.74</v>
      </c>
      <c r="D71" s="2" t="s">
        <v>202</v>
      </c>
      <c r="E71" s="10">
        <v>82</v>
      </c>
      <c r="F71" s="2">
        <v>55</v>
      </c>
      <c r="G71" s="2">
        <v>50</v>
      </c>
      <c r="H71" s="2" t="s">
        <v>54</v>
      </c>
      <c r="I71" s="2" t="s">
        <v>33</v>
      </c>
      <c r="J71" s="4" t="s">
        <v>34</v>
      </c>
      <c r="K71" s="2" t="s">
        <v>203</v>
      </c>
      <c r="M71" s="2">
        <f t="shared" si="5"/>
        <v>60</v>
      </c>
      <c r="N71" s="2">
        <f t="shared" si="6"/>
        <v>73.4</v>
      </c>
      <c r="O71" s="2">
        <f>IF(M71="","",IF(M71&gt;=1000,95,IF(M71&lt;=12.5,50,LOOKUP(M71,{12.5,15,20,30,45,60,75,105,115,150,200,225,250,600,1000},{50,55,60,62,65,68,70,72,75,80,82,85,87,90,95})+(M71-LOOKUP(M71,{12.5,15,20,30,45,60,75,105,115,150,200,225,250,600},{12.5,15,20,30,45,60,75,105,115,150,200,225,250,600}))/(LOOKUP(M71,{12.5,15,20,30,45,60,75,105,115,150,200,225,250,600,1000},{15,20,30,45,60,75,105,115,150,200,225,250,600,1000,1000})-LOOKUP(M71,{12.5,15,20,30,45,60,75,105,115,150,200,225,250,600},{12.5,15,20,30,45,60,75,105,115,150,200,225,250,600}))*(LOOKUP(M71,{12.5,15,20,30,45,60,75,105,115,150,200,225,250,600,1000},{55,60,62,65,68,70,72,75,80,82,85,87,90,95,95})-LOOKUP(M71,{12.5,15,20,30,45,60,75,105,115,150,200,225,250,600,1000},{50,55,60,62,65,68,70,72,75,80,82,85,87,90,95})))))</f>
        <v>68</v>
      </c>
      <c r="P71" s="2">
        <f t="shared" si="7"/>
        <v>14</v>
      </c>
      <c r="Q71" s="2">
        <f t="shared" si="8"/>
        <v>6.34</v>
      </c>
    </row>
    <row r="72" customHeight="1" spans="1:17">
      <c r="A72" s="2">
        <v>2026</v>
      </c>
      <c r="B72" s="2">
        <v>71</v>
      </c>
      <c r="C72" s="16">
        <f t="shared" si="9"/>
        <v>79.7</v>
      </c>
      <c r="D72" s="2" t="s">
        <v>204</v>
      </c>
      <c r="E72" s="9">
        <v>78</v>
      </c>
      <c r="F72" s="12">
        <v>64</v>
      </c>
      <c r="G72" s="2">
        <v>53</v>
      </c>
      <c r="H72" s="2" t="s">
        <v>54</v>
      </c>
      <c r="I72" s="2" t="s">
        <v>33</v>
      </c>
      <c r="J72" s="4" t="s">
        <v>88</v>
      </c>
      <c r="K72" s="2" t="s">
        <v>133</v>
      </c>
      <c r="M72" s="2">
        <f t="shared" si="5"/>
        <v>30</v>
      </c>
      <c r="N72" s="2">
        <f t="shared" si="6"/>
        <v>72.7</v>
      </c>
      <c r="O72" s="2">
        <f>IF(M72="","",IF(M72&gt;=1000,95,IF(M72&lt;=12.5,50,LOOKUP(M72,{12.5,15,20,30,45,60,75,105,115,150,200,225,250,600,1000},{50,55,60,62,65,68,70,72,75,80,82,85,87,90,95})+(M72-LOOKUP(M72,{12.5,15,20,30,45,60,75,105,115,150,200,225,250,600},{12.5,15,20,30,45,60,75,105,115,150,200,225,250,600}))/(LOOKUP(M72,{12.5,15,20,30,45,60,75,105,115,150,200,225,250,600,1000},{15,20,30,45,60,75,105,115,150,200,225,250,600,1000,1000})-LOOKUP(M72,{12.5,15,20,30,45,60,75,105,115,150,200,225,250,600},{12.5,15,20,30,45,60,75,105,115,150,200,225,250,600}))*(LOOKUP(M72,{12.5,15,20,30,45,60,75,105,115,150,200,225,250,600,1000},{55,60,62,65,68,70,72,75,80,82,85,87,90,95,95})-LOOKUP(M72,{12.5,15,20,30,45,60,75,105,115,150,200,225,250,600,1000},{50,55,60,62,65,68,70,72,75,80,82,85,87,90,95})))))</f>
        <v>62</v>
      </c>
      <c r="P72" s="2">
        <f t="shared" si="7"/>
        <v>16</v>
      </c>
      <c r="Q72" s="2">
        <f t="shared" si="8"/>
        <v>7</v>
      </c>
    </row>
    <row r="73" customHeight="1" spans="1:17">
      <c r="B73" s="2">
        <v>72</v>
      </c>
      <c r="C73" s="16">
        <f t="shared" si="9"/>
        <v>79.67</v>
      </c>
      <c r="D73" s="2" t="s">
        <v>205</v>
      </c>
      <c r="E73" s="9">
        <v>78</v>
      </c>
      <c r="F73" s="12">
        <v>66</v>
      </c>
      <c r="G73" s="2">
        <v>42</v>
      </c>
      <c r="H73" s="2" t="s">
        <v>37</v>
      </c>
      <c r="I73" s="2" t="s">
        <v>28</v>
      </c>
      <c r="J73" s="4" t="s">
        <v>140</v>
      </c>
      <c r="K73" s="2" t="s">
        <v>206</v>
      </c>
      <c r="M73" s="2">
        <f t="shared" si="5"/>
        <v>20</v>
      </c>
      <c r="N73" s="2">
        <f t="shared" si="6"/>
        <v>72</v>
      </c>
      <c r="O73" s="2">
        <f>IF(M73="","",IF(M73&gt;=1000,95,IF(M73&lt;=12.5,50,LOOKUP(M73,{12.5,15,20,30,45,60,75,105,115,150,200,225,250,600,1000},{50,55,60,62,65,68,70,72,75,80,82,85,87,90,95})+(M73-LOOKUP(M73,{12.5,15,20,30,45,60,75,105,115,150,200,225,250,600},{12.5,15,20,30,45,60,75,105,115,150,200,225,250,600}))/(LOOKUP(M73,{12.5,15,20,30,45,60,75,105,115,150,200,225,250,600,1000},{15,20,30,45,60,75,105,115,150,200,225,250,600,1000,1000})-LOOKUP(M73,{12.5,15,20,30,45,60,75,105,115,150,200,225,250,600},{12.5,15,20,30,45,60,75,105,115,150,200,225,250,600}))*(LOOKUP(M73,{12.5,15,20,30,45,60,75,105,115,150,200,225,250,600,1000},{55,60,62,65,68,70,72,75,80,82,85,87,90,95,95})-LOOKUP(M73,{12.5,15,20,30,45,60,75,105,115,150,200,225,250,600,1000},{50,55,60,62,65,68,70,72,75,80,82,85,87,90,95})))))</f>
        <v>60</v>
      </c>
      <c r="P73" s="2">
        <f t="shared" si="7"/>
        <v>18</v>
      </c>
      <c r="Q73" s="2">
        <f t="shared" si="8"/>
        <v>7.67</v>
      </c>
    </row>
    <row r="74" customHeight="1" spans="1:17">
      <c r="A74" s="2">
        <v>2026</v>
      </c>
      <c r="B74" s="2">
        <v>73</v>
      </c>
      <c r="C74" s="16">
        <f t="shared" si="9"/>
        <v>79.63</v>
      </c>
      <c r="D74" s="2" t="s">
        <v>207</v>
      </c>
      <c r="E74" s="10">
        <v>83</v>
      </c>
      <c r="F74" s="12">
        <v>60</v>
      </c>
      <c r="G74" s="2">
        <v>42</v>
      </c>
      <c r="H74" s="2" t="s">
        <v>87</v>
      </c>
      <c r="I74" s="2" t="s">
        <v>104</v>
      </c>
      <c r="J74" s="4" t="s">
        <v>105</v>
      </c>
      <c r="K74" s="2" t="s">
        <v>208</v>
      </c>
      <c r="M74" s="2">
        <f t="shared" si="5"/>
        <v>105</v>
      </c>
      <c r="N74" s="2">
        <f t="shared" si="6"/>
        <v>74.3</v>
      </c>
      <c r="O74" s="2">
        <f>IF(M74="","",IF(M74&gt;=1000,95,IF(M74&lt;=12.5,50,LOOKUP(M74,{12.5,15,20,30,45,60,75,105,115,150,200,225,250,600,1000},{50,55,60,62,65,68,70,72,75,80,82,85,87,90,95})+(M74-LOOKUP(M74,{12.5,15,20,30,45,60,75,105,115,150,200,225,250,600},{12.5,15,20,30,45,60,75,105,115,150,200,225,250,600}))/(LOOKUP(M74,{12.5,15,20,30,45,60,75,105,115,150,200,225,250,600,1000},{15,20,30,45,60,75,105,115,150,200,225,250,600,1000,1000})-LOOKUP(M74,{12.5,15,20,30,45,60,75,105,115,150,200,225,250,600},{12.5,15,20,30,45,60,75,105,115,150,200,225,250,600}))*(LOOKUP(M74,{12.5,15,20,30,45,60,75,105,115,150,200,225,250,600,1000},{55,60,62,65,68,70,72,75,80,82,85,87,90,95,95})-LOOKUP(M74,{12.5,15,20,30,45,60,75,105,115,150,200,225,250,600,1000},{50,55,60,62,65,68,70,72,75,80,82,85,87,90,95})))))</f>
        <v>72</v>
      </c>
      <c r="P74" s="2">
        <f t="shared" si="7"/>
        <v>11</v>
      </c>
      <c r="Q74" s="2">
        <f t="shared" si="8"/>
        <v>5.33</v>
      </c>
    </row>
    <row r="75" customHeight="1" spans="1:17">
      <c r="A75" s="2">
        <v>2026</v>
      </c>
      <c r="B75" s="2">
        <v>74</v>
      </c>
      <c r="C75" s="16">
        <f t="shared" si="9"/>
        <v>79.6</v>
      </c>
      <c r="D75" s="2" t="s">
        <v>209</v>
      </c>
      <c r="E75" s="9">
        <v>78</v>
      </c>
      <c r="F75" s="2">
        <v>58</v>
      </c>
      <c r="G75" s="2">
        <v>24</v>
      </c>
      <c r="H75" s="2" t="s">
        <v>102</v>
      </c>
      <c r="I75" s="2" t="s">
        <v>28</v>
      </c>
      <c r="J75" s="4" t="s">
        <v>77</v>
      </c>
      <c r="K75" s="2" t="s">
        <v>82</v>
      </c>
      <c r="M75" s="2">
        <f t="shared" si="5"/>
        <v>12.5</v>
      </c>
      <c r="N75" s="2">
        <f t="shared" si="6"/>
        <v>68.6</v>
      </c>
      <c r="O75" s="2">
        <f>IF(M75="","",IF(M75&gt;=1000,95,IF(M75&lt;=12.5,50,LOOKUP(M75,{12.5,15,20,30,45,60,75,105,115,150,200,225,250,600,1000},{50,55,60,62,65,68,70,72,75,80,82,85,87,90,95})+(M75-LOOKUP(M75,{12.5,15,20,30,45,60,75,105,115,150,200,225,250,600},{12.5,15,20,30,45,60,75,105,115,150,200,225,250,600}))/(LOOKUP(M75,{12.5,15,20,30,45,60,75,105,115,150,200,225,250,600,1000},{15,20,30,45,60,75,105,115,150,200,225,250,600,1000,1000})-LOOKUP(M75,{12.5,15,20,30,45,60,75,105,115,150,200,225,250,600},{12.5,15,20,30,45,60,75,105,115,150,200,225,250,600}))*(LOOKUP(M75,{12.5,15,20,30,45,60,75,105,115,150,200,225,250,600,1000},{55,60,62,65,68,70,72,75,80,82,85,87,90,95,95})-LOOKUP(M75,{12.5,15,20,30,45,60,75,105,115,150,200,225,250,600,1000},{50,55,60,62,65,68,70,72,75,80,82,85,87,90,95})))))</f>
        <v>50</v>
      </c>
      <c r="P75" s="2">
        <f t="shared" si="7"/>
        <v>28</v>
      </c>
      <c r="Q75" s="2">
        <f t="shared" si="8"/>
        <v>11</v>
      </c>
    </row>
    <row r="76" customHeight="1" spans="1:17">
      <c r="B76" s="2">
        <v>75</v>
      </c>
      <c r="C76" s="16">
        <f t="shared" si="9"/>
        <v>79.57</v>
      </c>
      <c r="D76" s="2" t="s">
        <v>210</v>
      </c>
      <c r="E76" s="9">
        <v>77</v>
      </c>
      <c r="F76" s="12">
        <v>62</v>
      </c>
      <c r="G76" s="12">
        <v>66</v>
      </c>
      <c r="H76" s="2" t="s">
        <v>211</v>
      </c>
      <c r="I76" s="2" t="s">
        <v>18</v>
      </c>
      <c r="J76" s="4" t="s">
        <v>88</v>
      </c>
      <c r="K76" s="2" t="s">
        <v>212</v>
      </c>
      <c r="M76" s="2">
        <f t="shared" si="5"/>
        <v>30</v>
      </c>
      <c r="N76" s="2">
        <f t="shared" si="6"/>
        <v>72.9</v>
      </c>
      <c r="O76" s="2">
        <f>IF(M76="","",IF(M76&gt;=1000,95,IF(M76&lt;=12.5,50,LOOKUP(M76,{12.5,15,20,30,45,60,75,105,115,150,200,225,250,600,1000},{50,55,60,62,65,68,70,72,75,80,82,85,87,90,95})+(M76-LOOKUP(M76,{12.5,15,20,30,45,60,75,105,115,150,200,225,250,600},{12.5,15,20,30,45,60,75,105,115,150,200,225,250,600}))/(LOOKUP(M76,{12.5,15,20,30,45,60,75,105,115,150,200,225,250,600,1000},{15,20,30,45,60,75,105,115,150,200,225,250,600,1000,1000})-LOOKUP(M76,{12.5,15,20,30,45,60,75,105,115,150,200,225,250,600},{12.5,15,20,30,45,60,75,105,115,150,200,225,250,600}))*(LOOKUP(M76,{12.5,15,20,30,45,60,75,105,115,150,200,225,250,600,1000},{55,60,62,65,68,70,72,75,80,82,85,87,90,95,95})-LOOKUP(M76,{12.5,15,20,30,45,60,75,105,115,150,200,225,250,600,1000},{50,55,60,62,65,68,70,72,75,80,82,85,87,90,95})))))</f>
        <v>62</v>
      </c>
      <c r="P76" s="2">
        <f t="shared" si="7"/>
        <v>15</v>
      </c>
      <c r="Q76" s="2">
        <f t="shared" si="8"/>
        <v>6.67</v>
      </c>
    </row>
    <row r="77" customHeight="1" spans="1:17">
      <c r="A77" s="2">
        <v>2026</v>
      </c>
      <c r="B77" s="2">
        <v>76</v>
      </c>
      <c r="C77" s="16">
        <f t="shared" si="9"/>
        <v>79.53</v>
      </c>
      <c r="D77" s="2" t="s">
        <v>213</v>
      </c>
      <c r="E77" s="9">
        <v>79</v>
      </c>
      <c r="F77" s="12">
        <v>69</v>
      </c>
      <c r="G77" s="2">
        <v>51</v>
      </c>
      <c r="H77" s="2" t="s">
        <v>41</v>
      </c>
      <c r="I77" s="2" t="s">
        <v>33</v>
      </c>
      <c r="J77" s="4" t="s">
        <v>34</v>
      </c>
      <c r="M77" s="2">
        <f t="shared" si="5"/>
        <v>60</v>
      </c>
      <c r="N77" s="2">
        <f t="shared" si="6"/>
        <v>74.2</v>
      </c>
      <c r="O77" s="2">
        <f>IF(M77="","",IF(M77&gt;=1000,95,IF(M77&lt;=12.5,50,LOOKUP(M77,{12.5,15,20,30,45,60,75,105,115,150,200,225,250,600,1000},{50,55,60,62,65,68,70,72,75,80,82,85,87,90,95})+(M77-LOOKUP(M77,{12.5,15,20,30,45,60,75,105,115,150,200,225,250,600},{12.5,15,20,30,45,60,75,105,115,150,200,225,250,600}))/(LOOKUP(M77,{12.5,15,20,30,45,60,75,105,115,150,200,225,250,600,1000},{15,20,30,45,60,75,105,115,150,200,225,250,600,1000,1000})-LOOKUP(M77,{12.5,15,20,30,45,60,75,105,115,150,200,225,250,600},{12.5,15,20,30,45,60,75,105,115,150,200,225,250,600}))*(LOOKUP(M77,{12.5,15,20,30,45,60,75,105,115,150,200,225,250,600,1000},{55,60,62,65,68,70,72,75,80,82,85,87,90,95,95})-LOOKUP(M77,{12.5,15,20,30,45,60,75,105,115,150,200,225,250,600,1000},{50,55,60,62,65,68,70,72,75,80,82,85,87,90,95})))))</f>
        <v>68</v>
      </c>
      <c r="P77" s="2">
        <f t="shared" si="7"/>
        <v>11</v>
      </c>
      <c r="Q77" s="2">
        <f t="shared" si="8"/>
        <v>5.33</v>
      </c>
    </row>
    <row r="78" customHeight="1" spans="1:17">
      <c r="A78" s="2">
        <v>2026</v>
      </c>
      <c r="B78" s="2">
        <v>77</v>
      </c>
      <c r="C78" s="16">
        <f t="shared" si="9"/>
        <v>79.4</v>
      </c>
      <c r="D78" s="2" t="s">
        <v>214</v>
      </c>
      <c r="E78" s="10">
        <v>81</v>
      </c>
      <c r="F78" s="2">
        <v>48</v>
      </c>
      <c r="G78" s="2">
        <v>51</v>
      </c>
      <c r="H78" s="2" t="s">
        <v>87</v>
      </c>
      <c r="I78" s="2" t="s">
        <v>63</v>
      </c>
      <c r="J78" s="4" t="s">
        <v>88</v>
      </c>
      <c r="K78" s="2" t="s">
        <v>215</v>
      </c>
      <c r="M78" s="2">
        <f t="shared" si="5"/>
        <v>30</v>
      </c>
      <c r="N78" s="2">
        <f t="shared" si="6"/>
        <v>71.4</v>
      </c>
      <c r="O78" s="2">
        <f>IF(M78="","",IF(M78&gt;=1000,95,IF(M78&lt;=12.5,50,LOOKUP(M78,{12.5,15,20,30,45,60,75,105,115,150,200,225,250,600,1000},{50,55,60,62,65,68,70,72,75,80,82,85,87,90,95})+(M78-LOOKUP(M78,{12.5,15,20,30,45,60,75,105,115,150,200,225,250,600},{12.5,15,20,30,45,60,75,105,115,150,200,225,250,600}))/(LOOKUP(M78,{12.5,15,20,30,45,60,75,105,115,150,200,225,250,600,1000},{15,20,30,45,60,75,105,115,150,200,225,250,600,1000,1000})-LOOKUP(M78,{12.5,15,20,30,45,60,75,105,115,150,200,225,250,600},{12.5,15,20,30,45,60,75,105,115,150,200,225,250,600}))*(LOOKUP(M78,{12.5,15,20,30,45,60,75,105,115,150,200,225,250,600,1000},{55,60,62,65,68,70,72,75,80,82,85,87,90,95,95})-LOOKUP(M78,{12.5,15,20,30,45,60,75,105,115,150,200,225,250,600,1000},{50,55,60,62,65,68,70,72,75,80,82,85,87,90,95})))))</f>
        <v>62</v>
      </c>
      <c r="P78" s="2">
        <f t="shared" si="7"/>
        <v>19</v>
      </c>
      <c r="Q78" s="2">
        <f t="shared" si="8"/>
        <v>8</v>
      </c>
    </row>
    <row r="79" customHeight="1" spans="1:17">
      <c r="A79" s="2">
        <v>2026</v>
      </c>
      <c r="B79" s="2">
        <v>78</v>
      </c>
      <c r="C79" s="16">
        <f t="shared" si="9"/>
        <v>79.33</v>
      </c>
      <c r="D79" s="2" t="s">
        <v>216</v>
      </c>
      <c r="E79" s="10">
        <v>81</v>
      </c>
      <c r="F79" s="12">
        <v>60</v>
      </c>
      <c r="G79" s="2">
        <v>53</v>
      </c>
      <c r="H79" s="2" t="s">
        <v>87</v>
      </c>
      <c r="I79" s="2" t="s">
        <v>28</v>
      </c>
      <c r="J79" s="4" t="s">
        <v>24</v>
      </c>
      <c r="K79" s="2" t="s">
        <v>162</v>
      </c>
      <c r="M79" s="2">
        <f t="shared" si="5"/>
        <v>75</v>
      </c>
      <c r="N79" s="2">
        <f t="shared" si="6"/>
        <v>74</v>
      </c>
      <c r="O79" s="2">
        <f>IF(M79="","",IF(M79&gt;=1000,95,IF(M79&lt;=12.5,50,LOOKUP(M79,{12.5,15,20,30,45,60,75,105,115,150,200,225,250,600,1000},{50,55,60,62,65,68,70,72,75,80,82,85,87,90,95})+(M79-LOOKUP(M79,{12.5,15,20,30,45,60,75,105,115,150,200,225,250,600},{12.5,15,20,30,45,60,75,105,115,150,200,225,250,600}))/(LOOKUP(M79,{12.5,15,20,30,45,60,75,105,115,150,200,225,250,600,1000},{15,20,30,45,60,75,105,115,150,200,225,250,600,1000,1000})-LOOKUP(M79,{12.5,15,20,30,45,60,75,105,115,150,200,225,250,600},{12.5,15,20,30,45,60,75,105,115,150,200,225,250,600}))*(LOOKUP(M79,{12.5,15,20,30,45,60,75,105,115,150,200,225,250,600,1000},{55,60,62,65,68,70,72,75,80,82,85,87,90,95,95})-LOOKUP(M79,{12.5,15,20,30,45,60,75,105,115,150,200,225,250,600,1000},{50,55,60,62,65,68,70,72,75,80,82,85,87,90,95})))))</f>
        <v>70</v>
      </c>
      <c r="P79" s="2">
        <f t="shared" si="7"/>
        <v>11</v>
      </c>
      <c r="Q79" s="2">
        <f t="shared" si="8"/>
        <v>5.33</v>
      </c>
    </row>
    <row r="80" customHeight="1" spans="1:17">
      <c r="B80" s="2">
        <v>79</v>
      </c>
      <c r="C80" s="16">
        <f t="shared" si="9"/>
        <v>79.27</v>
      </c>
      <c r="D80" s="2" t="s">
        <v>217</v>
      </c>
      <c r="E80" s="10">
        <v>80</v>
      </c>
      <c r="F80" s="12">
        <v>62</v>
      </c>
      <c r="G80" s="2">
        <v>52</v>
      </c>
      <c r="H80" s="2" t="s">
        <v>113</v>
      </c>
      <c r="I80" s="2" t="s">
        <v>33</v>
      </c>
      <c r="J80" s="4" t="s">
        <v>34</v>
      </c>
      <c r="K80" s="2" t="s">
        <v>218</v>
      </c>
      <c r="M80" s="2">
        <f t="shared" si="5"/>
        <v>60</v>
      </c>
      <c r="N80" s="2">
        <f t="shared" si="6"/>
        <v>73.6</v>
      </c>
      <c r="O80" s="2">
        <f>IF(M80="","",IF(M80&gt;=1000,95,IF(M80&lt;=12.5,50,LOOKUP(M80,{12.5,15,20,30,45,60,75,105,115,150,200,225,250,600,1000},{50,55,60,62,65,68,70,72,75,80,82,85,87,90,95})+(M80-LOOKUP(M80,{12.5,15,20,30,45,60,75,105,115,150,200,225,250,600},{12.5,15,20,30,45,60,75,105,115,150,200,225,250,600}))/(LOOKUP(M80,{12.5,15,20,30,45,60,75,105,115,150,200,225,250,600,1000},{15,20,30,45,60,75,105,115,150,200,225,250,600,1000,1000})-LOOKUP(M80,{12.5,15,20,30,45,60,75,105,115,150,200,225,250,600},{12.5,15,20,30,45,60,75,105,115,150,200,225,250,600}))*(LOOKUP(M80,{12.5,15,20,30,45,60,75,105,115,150,200,225,250,600,1000},{55,60,62,65,68,70,72,75,80,82,85,87,90,95,95})-LOOKUP(M80,{12.5,15,20,30,45,60,75,105,115,150,200,225,250,600,1000},{50,55,60,62,65,68,70,72,75,80,82,85,87,90,95})))))</f>
        <v>68</v>
      </c>
      <c r="P80" s="2">
        <f t="shared" si="7"/>
        <v>12</v>
      </c>
      <c r="Q80" s="2">
        <f t="shared" si="8"/>
        <v>5.67</v>
      </c>
    </row>
    <row r="81" customHeight="1" spans="1:17">
      <c r="B81" s="2">
        <v>80</v>
      </c>
      <c r="C81" s="16">
        <f t="shared" si="9"/>
        <v>79.1</v>
      </c>
      <c r="D81" s="2" t="s">
        <v>219</v>
      </c>
      <c r="E81" s="10">
        <v>85</v>
      </c>
      <c r="F81" s="2">
        <v>53</v>
      </c>
      <c r="G81" s="2">
        <v>40</v>
      </c>
      <c r="H81" s="2" t="s">
        <v>175</v>
      </c>
      <c r="I81" s="2" t="s">
        <v>128</v>
      </c>
      <c r="J81" s="4" t="s">
        <v>148</v>
      </c>
      <c r="K81" s="2" t="s">
        <v>220</v>
      </c>
      <c r="M81" s="2">
        <f t="shared" si="5"/>
        <v>115</v>
      </c>
      <c r="N81" s="2">
        <f t="shared" si="6"/>
        <v>74.1</v>
      </c>
      <c r="O81" s="2">
        <f>IF(M81="","",IF(M81&gt;=1000,95,IF(M81&lt;=12.5,50,LOOKUP(M81,{12.5,15,20,30,45,60,75,105,115,150,200,225,250,600,1000},{50,55,60,62,65,68,70,72,75,80,82,85,87,90,95})+(M81-LOOKUP(M81,{12.5,15,20,30,45,60,75,105,115,150,200,225,250,600},{12.5,15,20,30,45,60,75,105,115,150,200,225,250,600}))/(LOOKUP(M81,{12.5,15,20,30,45,60,75,105,115,150,200,225,250,600,1000},{15,20,30,45,60,75,105,115,150,200,225,250,600,1000,1000})-LOOKUP(M81,{12.5,15,20,30,45,60,75,105,115,150,200,225,250,600},{12.5,15,20,30,45,60,75,105,115,150,200,225,250,600}))*(LOOKUP(M81,{12.5,15,20,30,45,60,75,105,115,150,200,225,250,600,1000},{55,60,62,65,68,70,72,75,80,82,85,87,90,95,95})-LOOKUP(M81,{12.5,15,20,30,45,60,75,105,115,150,200,225,250,600,1000},{50,55,60,62,65,68,70,72,75,80,82,85,87,90,95})))))</f>
        <v>75</v>
      </c>
      <c r="P81" s="2">
        <f t="shared" si="7"/>
        <v>10</v>
      </c>
      <c r="Q81" s="2">
        <f t="shared" si="8"/>
        <v>5</v>
      </c>
    </row>
    <row r="82" customHeight="1" spans="1:17">
      <c r="A82" s="2">
        <v>2026</v>
      </c>
      <c r="B82" s="2">
        <v>81</v>
      </c>
      <c r="C82" s="16">
        <f t="shared" si="9"/>
        <v>79.1</v>
      </c>
      <c r="D82" s="2" t="s">
        <v>221</v>
      </c>
      <c r="E82" s="10">
        <v>81</v>
      </c>
      <c r="F82" s="2">
        <v>56</v>
      </c>
      <c r="G82" s="2">
        <v>52</v>
      </c>
      <c r="H82" s="2" t="s">
        <v>113</v>
      </c>
      <c r="I82" s="2" t="s">
        <v>33</v>
      </c>
      <c r="J82" s="4" t="s">
        <v>34</v>
      </c>
      <c r="K82" s="2" t="s">
        <v>171</v>
      </c>
      <c r="M82" s="2">
        <f t="shared" si="5"/>
        <v>60</v>
      </c>
      <c r="N82" s="2">
        <f t="shared" si="6"/>
        <v>73.1</v>
      </c>
      <c r="O82" s="2">
        <f>IF(M82="","",IF(M82&gt;=1000,95,IF(M82&lt;=12.5,50,LOOKUP(M82,{12.5,15,20,30,45,60,75,105,115,150,200,225,250,600,1000},{50,55,60,62,65,68,70,72,75,80,82,85,87,90,95})+(M82-LOOKUP(M82,{12.5,15,20,30,45,60,75,105,115,150,200,225,250,600},{12.5,15,20,30,45,60,75,105,115,150,200,225,250,600}))/(LOOKUP(M82,{12.5,15,20,30,45,60,75,105,115,150,200,225,250,600,1000},{15,20,30,45,60,75,105,115,150,200,225,250,600,1000,1000})-LOOKUP(M82,{12.5,15,20,30,45,60,75,105,115,150,200,225,250,600},{12.5,15,20,30,45,60,75,105,115,150,200,225,250,600}))*(LOOKUP(M82,{12.5,15,20,30,45,60,75,105,115,150,200,225,250,600,1000},{55,60,62,65,68,70,72,75,80,82,85,87,90,95,95})-LOOKUP(M82,{12.5,15,20,30,45,60,75,105,115,150,200,225,250,600,1000},{50,55,60,62,65,68,70,72,75,80,82,85,87,90,95})))))</f>
        <v>68</v>
      </c>
      <c r="P82" s="2">
        <f t="shared" si="7"/>
        <v>13</v>
      </c>
      <c r="Q82" s="2">
        <f t="shared" si="8"/>
        <v>6</v>
      </c>
    </row>
    <row r="83" customHeight="1" spans="1:17">
      <c r="A83" s="2">
        <v>2026</v>
      </c>
      <c r="B83" s="2">
        <v>82</v>
      </c>
      <c r="C83" s="16">
        <f t="shared" si="9"/>
        <v>79.03</v>
      </c>
      <c r="D83" s="2" t="s">
        <v>222</v>
      </c>
      <c r="E83" s="10">
        <v>81</v>
      </c>
      <c r="F83" s="2">
        <v>52</v>
      </c>
      <c r="G83" s="12">
        <v>66</v>
      </c>
      <c r="H83" s="2" t="s">
        <v>135</v>
      </c>
      <c r="I83" s="2" t="s">
        <v>104</v>
      </c>
      <c r="J83" s="4" t="s">
        <v>24</v>
      </c>
      <c r="K83" s="2" t="s">
        <v>223</v>
      </c>
      <c r="M83" s="2">
        <f t="shared" si="5"/>
        <v>75</v>
      </c>
      <c r="N83" s="2">
        <f t="shared" si="6"/>
        <v>73.7</v>
      </c>
      <c r="O83" s="2">
        <f>IF(M83="","",IF(M83&gt;=1000,95,IF(M83&lt;=12.5,50,LOOKUP(M83,{12.5,15,20,30,45,60,75,105,115,150,200,225,250,600,1000},{50,55,60,62,65,68,70,72,75,80,82,85,87,90,95})+(M83-LOOKUP(M83,{12.5,15,20,30,45,60,75,105,115,150,200,225,250,600},{12.5,15,20,30,45,60,75,105,115,150,200,225,250,600}))/(LOOKUP(M83,{12.5,15,20,30,45,60,75,105,115,150,200,225,250,600,1000},{15,20,30,45,60,75,105,115,150,200,225,250,600,1000,1000})-LOOKUP(M83,{12.5,15,20,30,45,60,75,105,115,150,200,225,250,600},{12.5,15,20,30,45,60,75,105,115,150,200,225,250,600}))*(LOOKUP(M83,{12.5,15,20,30,45,60,75,105,115,150,200,225,250,600,1000},{55,60,62,65,68,70,72,75,80,82,85,87,90,95,95})-LOOKUP(M83,{12.5,15,20,30,45,60,75,105,115,150,200,225,250,600,1000},{50,55,60,62,65,68,70,72,75,80,82,85,87,90,95})))))</f>
        <v>70</v>
      </c>
      <c r="P83" s="2">
        <f t="shared" si="7"/>
        <v>11</v>
      </c>
      <c r="Q83" s="2">
        <f t="shared" si="8"/>
        <v>5.33</v>
      </c>
    </row>
    <row r="84" customHeight="1" spans="1:17">
      <c r="A84" s="2">
        <v>2026</v>
      </c>
      <c r="B84" s="2">
        <v>83</v>
      </c>
      <c r="C84" s="16">
        <f t="shared" si="9"/>
        <v>79</v>
      </c>
      <c r="D84" s="2" t="s">
        <v>224</v>
      </c>
      <c r="E84" s="9">
        <v>79</v>
      </c>
      <c r="F84" s="2">
        <v>55</v>
      </c>
      <c r="G84" s="2">
        <v>47</v>
      </c>
      <c r="H84" s="2" t="s">
        <v>54</v>
      </c>
      <c r="I84" s="2" t="s">
        <v>28</v>
      </c>
      <c r="J84" s="4" t="s">
        <v>140</v>
      </c>
      <c r="K84" s="2" t="s">
        <v>82</v>
      </c>
      <c r="M84" s="2">
        <f t="shared" si="5"/>
        <v>20</v>
      </c>
      <c r="N84" s="2">
        <f t="shared" si="6"/>
        <v>71</v>
      </c>
      <c r="O84" s="2">
        <f>IF(M84="","",IF(M84&gt;=1000,95,IF(M84&lt;=12.5,50,LOOKUP(M84,{12.5,15,20,30,45,60,75,105,115,150,200,225,250,600,1000},{50,55,60,62,65,68,70,72,75,80,82,85,87,90,95})+(M84-LOOKUP(M84,{12.5,15,20,30,45,60,75,105,115,150,200,225,250,600},{12.5,15,20,30,45,60,75,105,115,150,200,225,250,600}))/(LOOKUP(M84,{12.5,15,20,30,45,60,75,105,115,150,200,225,250,600,1000},{15,20,30,45,60,75,105,115,150,200,225,250,600,1000,1000})-LOOKUP(M84,{12.5,15,20,30,45,60,75,105,115,150,200,225,250,600},{12.5,15,20,30,45,60,75,105,115,150,200,225,250,600}))*(LOOKUP(M84,{12.5,15,20,30,45,60,75,105,115,150,200,225,250,600,1000},{55,60,62,65,68,70,72,75,80,82,85,87,90,95,95})-LOOKUP(M84,{12.5,15,20,30,45,60,75,105,115,150,200,225,250,600,1000},{50,55,60,62,65,68,70,72,75,80,82,85,87,90,95})))))</f>
        <v>60</v>
      </c>
      <c r="P84" s="2">
        <f t="shared" si="7"/>
        <v>19</v>
      </c>
      <c r="Q84" s="2">
        <f t="shared" si="8"/>
        <v>8</v>
      </c>
    </row>
    <row r="85" customHeight="1" spans="1:17">
      <c r="A85" s="2">
        <v>2026</v>
      </c>
      <c r="B85" s="2">
        <v>84</v>
      </c>
      <c r="C85" s="16">
        <f t="shared" si="9"/>
        <v>78.87</v>
      </c>
      <c r="D85" s="2" t="s">
        <v>225</v>
      </c>
      <c r="E85" s="9">
        <v>72</v>
      </c>
      <c r="F85" s="9">
        <v>78</v>
      </c>
      <c r="G85" s="9">
        <v>72</v>
      </c>
      <c r="H85" s="2" t="s">
        <v>37</v>
      </c>
      <c r="I85" s="2" t="s">
        <v>28</v>
      </c>
      <c r="J85" s="4" t="s">
        <v>140</v>
      </c>
      <c r="M85" s="2">
        <f t="shared" si="5"/>
        <v>20</v>
      </c>
      <c r="N85" s="2">
        <f t="shared" si="6"/>
        <v>73.2</v>
      </c>
      <c r="O85" s="2">
        <f>IF(M85="","",IF(M85&gt;=1000,95,IF(M85&lt;=12.5,50,LOOKUP(M85,{12.5,15,20,30,45,60,75,105,115,150,200,225,250,600,1000},{50,55,60,62,65,68,70,72,75,80,82,85,87,90,95})+(M85-LOOKUP(M85,{12.5,15,20,30,45,60,75,105,115,150,200,225,250,600},{12.5,15,20,30,45,60,75,105,115,150,200,225,250,600}))/(LOOKUP(M85,{12.5,15,20,30,45,60,75,105,115,150,200,225,250,600,1000},{15,20,30,45,60,75,105,115,150,200,225,250,600,1000,1000})-LOOKUP(M85,{12.5,15,20,30,45,60,75,105,115,150,200,225,250,600},{12.5,15,20,30,45,60,75,105,115,150,200,225,250,600}))*(LOOKUP(M85,{12.5,15,20,30,45,60,75,105,115,150,200,225,250,600,1000},{55,60,62,65,68,70,72,75,80,82,85,87,90,95,95})-LOOKUP(M85,{12.5,15,20,30,45,60,75,105,115,150,200,225,250,600,1000},{50,55,60,62,65,68,70,72,75,80,82,85,87,90,95})))))</f>
        <v>60</v>
      </c>
      <c r="P85" s="2">
        <f t="shared" si="7"/>
        <v>12</v>
      </c>
      <c r="Q85" s="2">
        <f t="shared" si="8"/>
        <v>5.67</v>
      </c>
    </row>
    <row r="86" customHeight="1" spans="1:17">
      <c r="A86" s="2">
        <v>2026</v>
      </c>
      <c r="B86" s="2">
        <v>85</v>
      </c>
      <c r="C86" s="16">
        <f t="shared" si="9"/>
        <v>78.8</v>
      </c>
      <c r="D86" s="2" t="s">
        <v>226</v>
      </c>
      <c r="E86" s="9">
        <v>78</v>
      </c>
      <c r="F86" s="12">
        <v>65</v>
      </c>
      <c r="G86" s="10">
        <v>82</v>
      </c>
      <c r="H86" s="2" t="s">
        <v>62</v>
      </c>
      <c r="I86" s="2" t="s">
        <v>104</v>
      </c>
      <c r="J86" s="4" t="s">
        <v>105</v>
      </c>
      <c r="K86" s="2" t="s">
        <v>227</v>
      </c>
      <c r="M86" s="2">
        <f t="shared" si="5"/>
        <v>105</v>
      </c>
      <c r="N86" s="2">
        <f t="shared" si="6"/>
        <v>75.8</v>
      </c>
      <c r="O86" s="2">
        <f>IF(M86="","",IF(M86&gt;=1000,95,IF(M86&lt;=12.5,50,LOOKUP(M86,{12.5,15,20,30,45,60,75,105,115,150,200,225,250,600,1000},{50,55,60,62,65,68,70,72,75,80,82,85,87,90,95})+(M86-LOOKUP(M86,{12.5,15,20,30,45,60,75,105,115,150,200,225,250,600},{12.5,15,20,30,45,60,75,105,115,150,200,225,250,600}))/(LOOKUP(M86,{12.5,15,20,30,45,60,75,105,115,150,200,225,250,600,1000},{15,20,30,45,60,75,105,115,150,200,225,250,600,1000,1000})-LOOKUP(M86,{12.5,15,20,30,45,60,75,105,115,150,200,225,250,600},{12.5,15,20,30,45,60,75,105,115,150,200,225,250,600}))*(LOOKUP(M86,{12.5,15,20,30,45,60,75,105,115,150,200,225,250,600,1000},{55,60,62,65,68,70,72,75,80,82,85,87,90,95,95})-LOOKUP(M86,{12.5,15,20,30,45,60,75,105,115,150,200,225,250,600,1000},{50,55,60,62,65,68,70,72,75,80,82,85,87,90,95})))))</f>
        <v>72</v>
      </c>
      <c r="P86" s="2">
        <f t="shared" si="7"/>
        <v>6</v>
      </c>
      <c r="Q86" s="2">
        <f t="shared" si="8"/>
        <v>3</v>
      </c>
    </row>
    <row r="87" customHeight="1" spans="1:17">
      <c r="A87" s="2">
        <v>2026</v>
      </c>
      <c r="B87" s="2">
        <v>86</v>
      </c>
      <c r="C87" s="16">
        <f t="shared" si="9"/>
        <v>78.8</v>
      </c>
      <c r="D87" s="2" t="s">
        <v>228</v>
      </c>
      <c r="E87" s="9">
        <v>78</v>
      </c>
      <c r="F87" s="12">
        <v>65</v>
      </c>
      <c r="G87" s="9">
        <v>72</v>
      </c>
      <c r="H87" s="2" t="s">
        <v>54</v>
      </c>
      <c r="I87" s="2" t="s">
        <v>229</v>
      </c>
      <c r="J87" s="4" t="s">
        <v>24</v>
      </c>
      <c r="M87" s="2">
        <f t="shared" si="5"/>
        <v>75</v>
      </c>
      <c r="N87" s="2">
        <f t="shared" si="6"/>
        <v>74.8</v>
      </c>
      <c r="O87" s="2">
        <f>IF(M87="","",IF(M87&gt;=1000,95,IF(M87&lt;=12.5,50,LOOKUP(M87,{12.5,15,20,30,45,60,75,105,115,150,200,225,250,600,1000},{50,55,60,62,65,68,70,72,75,80,82,85,87,90,95})+(M87-LOOKUP(M87,{12.5,15,20,30,45,60,75,105,115,150,200,225,250,600},{12.5,15,20,30,45,60,75,105,115,150,200,225,250,600}))/(LOOKUP(M87,{12.5,15,20,30,45,60,75,105,115,150,200,225,250,600,1000},{15,20,30,45,60,75,105,115,150,200,225,250,600,1000,1000})-LOOKUP(M87,{12.5,15,20,30,45,60,75,105,115,150,200,225,250,600},{12.5,15,20,30,45,60,75,105,115,150,200,225,250,600}))*(LOOKUP(M87,{12.5,15,20,30,45,60,75,105,115,150,200,225,250,600,1000},{55,60,62,65,68,70,72,75,80,82,85,87,90,95,95})-LOOKUP(M87,{12.5,15,20,30,45,60,75,105,115,150,200,225,250,600,1000},{50,55,60,62,65,68,70,72,75,80,82,85,87,90,95})))))</f>
        <v>70</v>
      </c>
      <c r="P87" s="2">
        <f t="shared" si="7"/>
        <v>8</v>
      </c>
      <c r="Q87" s="2">
        <f t="shared" si="8"/>
        <v>4</v>
      </c>
    </row>
    <row r="88" customHeight="1" spans="1:17">
      <c r="A88" s="2">
        <v>2026</v>
      </c>
      <c r="B88" s="2">
        <v>87</v>
      </c>
      <c r="C88" s="16">
        <f t="shared" si="9"/>
        <v>78.77</v>
      </c>
      <c r="D88" s="2" t="s">
        <v>230</v>
      </c>
      <c r="E88" s="9">
        <v>77</v>
      </c>
      <c r="F88" s="2">
        <v>58</v>
      </c>
      <c r="G88" s="2">
        <v>26</v>
      </c>
      <c r="H88" s="2" t="s">
        <v>231</v>
      </c>
      <c r="I88" s="2" t="s">
        <v>28</v>
      </c>
      <c r="J88" s="4" t="s">
        <v>77</v>
      </c>
      <c r="M88" s="2">
        <f t="shared" si="5"/>
        <v>12.5</v>
      </c>
      <c r="N88" s="2">
        <f t="shared" si="6"/>
        <v>68.1</v>
      </c>
      <c r="O88" s="2">
        <f>IF(M88="","",IF(M88&gt;=1000,95,IF(M88&lt;=12.5,50,LOOKUP(M88,{12.5,15,20,30,45,60,75,105,115,150,200,225,250,600,1000},{50,55,60,62,65,68,70,72,75,80,82,85,87,90,95})+(M88-LOOKUP(M88,{12.5,15,20,30,45,60,75,105,115,150,200,225,250,600},{12.5,15,20,30,45,60,75,105,115,150,200,225,250,600}))/(LOOKUP(M88,{12.5,15,20,30,45,60,75,105,115,150,200,225,250,600,1000},{15,20,30,45,60,75,105,115,150,200,225,250,600,1000,1000})-LOOKUP(M88,{12.5,15,20,30,45,60,75,105,115,150,200,225,250,600},{12.5,15,20,30,45,60,75,105,115,150,200,225,250,600}))*(LOOKUP(M88,{12.5,15,20,30,45,60,75,105,115,150,200,225,250,600,1000},{55,60,62,65,68,70,72,75,80,82,85,87,90,95,95})-LOOKUP(M88,{12.5,15,20,30,45,60,75,105,115,150,200,225,250,600,1000},{50,55,60,62,65,68,70,72,75,80,82,85,87,90,95})))))</f>
        <v>50</v>
      </c>
      <c r="P88" s="2">
        <f t="shared" si="7"/>
        <v>27</v>
      </c>
      <c r="Q88" s="2">
        <f t="shared" si="8"/>
        <v>10.67</v>
      </c>
    </row>
    <row r="89" customHeight="1" spans="1:17">
      <c r="A89" s="2">
        <v>2026</v>
      </c>
      <c r="B89" s="2">
        <v>88</v>
      </c>
      <c r="C89" s="16">
        <f t="shared" si="9"/>
        <v>78.7</v>
      </c>
      <c r="D89" s="2" t="s">
        <v>232</v>
      </c>
      <c r="E89" s="9">
        <v>78</v>
      </c>
      <c r="F89" s="12">
        <v>61</v>
      </c>
      <c r="G89" s="2">
        <v>49</v>
      </c>
      <c r="H89" s="2" t="s">
        <v>54</v>
      </c>
      <c r="I89" s="2" t="s">
        <v>28</v>
      </c>
      <c r="J89" s="4" t="s">
        <v>88</v>
      </c>
      <c r="K89" s="2" t="s">
        <v>233</v>
      </c>
      <c r="M89" s="2">
        <f t="shared" si="5"/>
        <v>30</v>
      </c>
      <c r="N89" s="2">
        <f t="shared" si="6"/>
        <v>71.7</v>
      </c>
      <c r="O89" s="2">
        <f>IF(M89="","",IF(M89&gt;=1000,95,IF(M89&lt;=12.5,50,LOOKUP(M89,{12.5,15,20,30,45,60,75,105,115,150,200,225,250,600,1000},{50,55,60,62,65,68,70,72,75,80,82,85,87,90,95})+(M89-LOOKUP(M89,{12.5,15,20,30,45,60,75,105,115,150,200,225,250,600},{12.5,15,20,30,45,60,75,105,115,150,200,225,250,600}))/(LOOKUP(M89,{12.5,15,20,30,45,60,75,105,115,150,200,225,250,600,1000},{15,20,30,45,60,75,105,115,150,200,225,250,600,1000,1000})-LOOKUP(M89,{12.5,15,20,30,45,60,75,105,115,150,200,225,250,600},{12.5,15,20,30,45,60,75,105,115,150,200,225,250,600}))*(LOOKUP(M89,{12.5,15,20,30,45,60,75,105,115,150,200,225,250,600,1000},{55,60,62,65,68,70,72,75,80,82,85,87,90,95,95})-LOOKUP(M89,{12.5,15,20,30,45,60,75,105,115,150,200,225,250,600,1000},{50,55,60,62,65,68,70,72,75,80,82,85,87,90,95})))))</f>
        <v>62</v>
      </c>
      <c r="P89" s="2">
        <f t="shared" si="7"/>
        <v>16</v>
      </c>
      <c r="Q89" s="2">
        <f t="shared" si="8"/>
        <v>7</v>
      </c>
    </row>
    <row r="90" customHeight="1" spans="1:17">
      <c r="A90" s="2">
        <v>2026</v>
      </c>
      <c r="B90" s="2">
        <v>89</v>
      </c>
      <c r="C90" s="16">
        <f t="shared" si="9"/>
        <v>78.67</v>
      </c>
      <c r="D90" s="2" t="s">
        <v>234</v>
      </c>
      <c r="E90" s="9">
        <v>77</v>
      </c>
      <c r="F90" s="12">
        <v>67</v>
      </c>
      <c r="G90" s="2">
        <v>47</v>
      </c>
      <c r="H90" s="2" t="s">
        <v>54</v>
      </c>
      <c r="I90" s="2" t="s">
        <v>28</v>
      </c>
      <c r="J90" s="4" t="s">
        <v>88</v>
      </c>
      <c r="K90" s="2" t="s">
        <v>235</v>
      </c>
      <c r="M90" s="2">
        <f t="shared" si="5"/>
        <v>30</v>
      </c>
      <c r="N90" s="2">
        <f t="shared" si="6"/>
        <v>72</v>
      </c>
      <c r="O90" s="2">
        <f>IF(M90="","",IF(M90&gt;=1000,95,IF(M90&lt;=12.5,50,LOOKUP(M90,{12.5,15,20,30,45,60,75,105,115,150,200,225,250,600,1000},{50,55,60,62,65,68,70,72,75,80,82,85,87,90,95})+(M90-LOOKUP(M90,{12.5,15,20,30,45,60,75,105,115,150,200,225,250,600},{12.5,15,20,30,45,60,75,105,115,150,200,225,250,600}))/(LOOKUP(M90,{12.5,15,20,30,45,60,75,105,115,150,200,225,250,600,1000},{15,20,30,45,60,75,105,115,150,200,225,250,600,1000,1000})-LOOKUP(M90,{12.5,15,20,30,45,60,75,105,115,150,200,225,250,600},{12.5,15,20,30,45,60,75,105,115,150,200,225,250,600}))*(LOOKUP(M90,{12.5,15,20,30,45,60,75,105,115,150,200,225,250,600,1000},{55,60,62,65,68,70,72,75,80,82,85,87,90,95,95})-LOOKUP(M90,{12.5,15,20,30,45,60,75,105,115,150,200,225,250,600,1000},{50,55,60,62,65,68,70,72,75,80,82,85,87,90,95})))))</f>
        <v>62</v>
      </c>
      <c r="P90" s="2">
        <f t="shared" si="7"/>
        <v>15</v>
      </c>
      <c r="Q90" s="2">
        <f t="shared" si="8"/>
        <v>6.67</v>
      </c>
    </row>
    <row r="91" customHeight="1" spans="1:17">
      <c r="A91" s="2">
        <v>2026</v>
      </c>
      <c r="B91" s="2">
        <v>90</v>
      </c>
      <c r="C91" s="16">
        <f t="shared" si="9"/>
        <v>78.6</v>
      </c>
      <c r="D91" s="2" t="s">
        <v>236</v>
      </c>
      <c r="E91" s="10">
        <v>80</v>
      </c>
      <c r="F91" s="12">
        <v>60</v>
      </c>
      <c r="G91" s="12">
        <v>66</v>
      </c>
      <c r="H91" s="2" t="s">
        <v>231</v>
      </c>
      <c r="I91" s="2" t="s">
        <v>104</v>
      </c>
      <c r="J91" s="4" t="s">
        <v>105</v>
      </c>
      <c r="K91" s="2" t="s">
        <v>237</v>
      </c>
      <c r="M91" s="2">
        <f t="shared" si="5"/>
        <v>105</v>
      </c>
      <c r="N91" s="2">
        <f t="shared" si="6"/>
        <v>74.6</v>
      </c>
      <c r="O91" s="2">
        <f>IF(M91="","",IF(M91&gt;=1000,95,IF(M91&lt;=12.5,50,LOOKUP(M91,{12.5,15,20,30,45,60,75,105,115,150,200,225,250,600,1000},{50,55,60,62,65,68,70,72,75,80,82,85,87,90,95})+(M91-LOOKUP(M91,{12.5,15,20,30,45,60,75,105,115,150,200,225,250,600},{12.5,15,20,30,45,60,75,105,115,150,200,225,250,600}))/(LOOKUP(M91,{12.5,15,20,30,45,60,75,105,115,150,200,225,250,600,1000},{15,20,30,45,60,75,105,115,150,200,225,250,600,1000,1000})-LOOKUP(M91,{12.5,15,20,30,45,60,75,105,115,150,200,225,250,600},{12.5,15,20,30,45,60,75,105,115,150,200,225,250,600}))*(LOOKUP(M91,{12.5,15,20,30,45,60,75,105,115,150,200,225,250,600,1000},{55,60,62,65,68,70,72,75,80,82,85,87,90,95,95})-LOOKUP(M91,{12.5,15,20,30,45,60,75,105,115,150,200,225,250,600,1000},{50,55,60,62,65,68,70,72,75,80,82,85,87,90,95})))))</f>
        <v>72</v>
      </c>
      <c r="P91" s="2">
        <f t="shared" si="7"/>
        <v>8</v>
      </c>
      <c r="Q91" s="2">
        <f t="shared" si="8"/>
        <v>4</v>
      </c>
    </row>
    <row r="92" customHeight="1" spans="1:17">
      <c r="A92" s="2">
        <v>2026</v>
      </c>
      <c r="B92" s="2">
        <v>91</v>
      </c>
      <c r="C92" s="16">
        <f t="shared" si="9"/>
        <v>78.6</v>
      </c>
      <c r="D92" s="2" t="s">
        <v>238</v>
      </c>
      <c r="E92" s="10">
        <v>80</v>
      </c>
      <c r="F92" s="8">
        <v>92</v>
      </c>
      <c r="G92" s="8">
        <v>92</v>
      </c>
      <c r="H92" s="2" t="s">
        <v>119</v>
      </c>
      <c r="I92" s="2" t="s">
        <v>239</v>
      </c>
      <c r="J92" s="4" t="s">
        <v>73</v>
      </c>
      <c r="M92" s="2">
        <f t="shared" si="5"/>
        <v>600</v>
      </c>
      <c r="N92" s="2">
        <f t="shared" si="6"/>
        <v>83.6</v>
      </c>
      <c r="O92" s="2">
        <f>IF(M92="","",IF(M92&gt;=1000,95,IF(M92&lt;=12.5,50,LOOKUP(M92,{12.5,15,20,30,45,60,75,105,115,150,200,225,250,600,1000},{50,55,60,62,65,68,70,72,75,80,82,85,87,90,95})+(M92-LOOKUP(M92,{12.5,15,20,30,45,60,75,105,115,150,200,225,250,600},{12.5,15,20,30,45,60,75,105,115,150,200,225,250,600}))/(LOOKUP(M92,{12.5,15,20,30,45,60,75,105,115,150,200,225,250,600,1000},{15,20,30,45,60,75,105,115,150,200,225,250,600,1000,1000})-LOOKUP(M92,{12.5,15,20,30,45,60,75,105,115,150,200,225,250,600},{12.5,15,20,30,45,60,75,105,115,150,200,225,250,600}))*(LOOKUP(M92,{12.5,15,20,30,45,60,75,105,115,150,200,225,250,600,1000},{55,60,62,65,68,70,72,75,80,82,85,87,90,95,95})-LOOKUP(M92,{12.5,15,20,30,45,60,75,105,115,150,200,225,250,600,1000},{50,55,60,62,65,68,70,72,75,80,82,85,87,90,95})))))</f>
        <v>90</v>
      </c>
      <c r="P92" s="2">
        <f t="shared" si="7"/>
        <v>-10</v>
      </c>
      <c r="Q92" s="2">
        <f t="shared" si="8"/>
        <v>-5</v>
      </c>
    </row>
    <row r="93" customHeight="1" spans="1:17">
      <c r="A93" s="2">
        <v>2026</v>
      </c>
      <c r="B93" s="2">
        <v>92</v>
      </c>
      <c r="C93" s="16">
        <f t="shared" si="9"/>
        <v>78.6</v>
      </c>
      <c r="D93" s="2" t="s">
        <v>240</v>
      </c>
      <c r="E93" s="9">
        <v>78</v>
      </c>
      <c r="F93" s="9">
        <v>77</v>
      </c>
      <c r="G93" s="9">
        <v>71</v>
      </c>
      <c r="H93" s="2" t="s">
        <v>108</v>
      </c>
      <c r="I93" s="2" t="s">
        <v>159</v>
      </c>
      <c r="J93" s="4" t="s">
        <v>148</v>
      </c>
      <c r="K93" s="2" t="s">
        <v>241</v>
      </c>
      <c r="M93" s="2">
        <f t="shared" si="5"/>
        <v>115</v>
      </c>
      <c r="N93" s="2">
        <f t="shared" si="6"/>
        <v>77.1</v>
      </c>
      <c r="O93" s="2">
        <f>IF(M93="","",IF(M93&gt;=1000,95,IF(M93&lt;=12.5,50,LOOKUP(M93,{12.5,15,20,30,45,60,75,105,115,150,200,225,250,600,1000},{50,55,60,62,65,68,70,72,75,80,82,85,87,90,95})+(M93-LOOKUP(M93,{12.5,15,20,30,45,60,75,105,115,150,200,225,250,600},{12.5,15,20,30,45,60,75,105,115,150,200,225,250,600}))/(LOOKUP(M93,{12.5,15,20,30,45,60,75,105,115,150,200,225,250,600,1000},{15,20,30,45,60,75,105,115,150,200,225,250,600,1000,1000})-LOOKUP(M93,{12.5,15,20,30,45,60,75,105,115,150,200,225,250,600},{12.5,15,20,30,45,60,75,105,115,150,200,225,250,600}))*(LOOKUP(M93,{12.5,15,20,30,45,60,75,105,115,150,200,225,250,600,1000},{55,60,62,65,68,70,72,75,80,82,85,87,90,95,95})-LOOKUP(M93,{12.5,15,20,30,45,60,75,105,115,150,200,225,250,600,1000},{50,55,60,62,65,68,70,72,75,80,82,85,87,90,95})))))</f>
        <v>75</v>
      </c>
      <c r="P93" s="2">
        <f t="shared" si="7"/>
        <v>3</v>
      </c>
      <c r="Q93" s="2">
        <f t="shared" si="8"/>
        <v>1.5</v>
      </c>
    </row>
    <row r="94" customHeight="1" spans="1:17">
      <c r="B94" s="2">
        <v>93</v>
      </c>
      <c r="C94" s="16">
        <f t="shared" si="9"/>
        <v>78.54</v>
      </c>
      <c r="D94" s="2" t="s">
        <v>242</v>
      </c>
      <c r="E94" s="9">
        <v>77</v>
      </c>
      <c r="F94" s="12">
        <v>60</v>
      </c>
      <c r="G94" s="2">
        <v>53</v>
      </c>
      <c r="H94" s="2" t="s">
        <v>37</v>
      </c>
      <c r="I94" s="2" t="s">
        <v>28</v>
      </c>
      <c r="J94" s="4" t="s">
        <v>140</v>
      </c>
      <c r="M94" s="2">
        <f t="shared" si="5"/>
        <v>20</v>
      </c>
      <c r="N94" s="2">
        <f t="shared" si="6"/>
        <v>71.2</v>
      </c>
      <c r="O94" s="2">
        <f>IF(M94="","",IF(M94&gt;=1000,95,IF(M94&lt;=12.5,50,LOOKUP(M94,{12.5,15,20,30,45,60,75,105,115,150,200,225,250,600,1000},{50,55,60,62,65,68,70,72,75,80,82,85,87,90,95})+(M94-LOOKUP(M94,{12.5,15,20,30,45,60,75,105,115,150,200,225,250,600},{12.5,15,20,30,45,60,75,105,115,150,200,225,250,600}))/(LOOKUP(M94,{12.5,15,20,30,45,60,75,105,115,150,200,225,250,600,1000},{15,20,30,45,60,75,105,115,150,200,225,250,600,1000,1000})-LOOKUP(M94,{12.5,15,20,30,45,60,75,105,115,150,200,225,250,600},{12.5,15,20,30,45,60,75,105,115,150,200,225,250,600}))*(LOOKUP(M94,{12.5,15,20,30,45,60,75,105,115,150,200,225,250,600,1000},{55,60,62,65,68,70,72,75,80,82,85,87,90,95,95})-LOOKUP(M94,{12.5,15,20,30,45,60,75,105,115,150,200,225,250,600,1000},{50,55,60,62,65,68,70,72,75,80,82,85,87,90,95})))))</f>
        <v>60</v>
      </c>
      <c r="P94" s="2">
        <f t="shared" si="7"/>
        <v>17</v>
      </c>
      <c r="Q94" s="2">
        <f t="shared" si="8"/>
        <v>7.34</v>
      </c>
    </row>
    <row r="95" customHeight="1" spans="1:17">
      <c r="B95" s="2">
        <v>94</v>
      </c>
      <c r="C95" s="16">
        <f t="shared" si="9"/>
        <v>78.54</v>
      </c>
      <c r="D95" s="2" t="s">
        <v>243</v>
      </c>
      <c r="E95" s="10">
        <v>82</v>
      </c>
      <c r="F95" s="2">
        <v>54</v>
      </c>
      <c r="G95" s="2">
        <v>30</v>
      </c>
      <c r="H95" s="2" t="s">
        <v>244</v>
      </c>
      <c r="I95" s="2" t="s">
        <v>63</v>
      </c>
      <c r="J95" s="4" t="s">
        <v>38</v>
      </c>
      <c r="K95" s="2" t="s">
        <v>245</v>
      </c>
      <c r="M95" s="2">
        <f t="shared" si="5"/>
        <v>45</v>
      </c>
      <c r="N95" s="2">
        <f t="shared" si="6"/>
        <v>71.2</v>
      </c>
      <c r="O95" s="2">
        <f>IF(M95="","",IF(M95&gt;=1000,95,IF(M95&lt;=12.5,50,LOOKUP(M95,{12.5,15,20,30,45,60,75,105,115,150,200,225,250,600,1000},{50,55,60,62,65,68,70,72,75,80,82,85,87,90,95})+(M95-LOOKUP(M95,{12.5,15,20,30,45,60,75,105,115,150,200,225,250,600},{12.5,15,20,30,45,60,75,105,115,150,200,225,250,600}))/(LOOKUP(M95,{12.5,15,20,30,45,60,75,105,115,150,200,225,250,600,1000},{15,20,30,45,60,75,105,115,150,200,225,250,600,1000,1000})-LOOKUP(M95,{12.5,15,20,30,45,60,75,105,115,150,200,225,250,600},{12.5,15,20,30,45,60,75,105,115,150,200,225,250,600}))*(LOOKUP(M95,{12.5,15,20,30,45,60,75,105,115,150,200,225,250,600,1000},{55,60,62,65,68,70,72,75,80,82,85,87,90,95,95})-LOOKUP(M95,{12.5,15,20,30,45,60,75,105,115,150,200,225,250,600,1000},{50,55,60,62,65,68,70,72,75,80,82,85,87,90,95})))))</f>
        <v>65</v>
      </c>
      <c r="P95" s="2">
        <f t="shared" si="7"/>
        <v>17</v>
      </c>
      <c r="Q95" s="2">
        <f t="shared" si="8"/>
        <v>7.34</v>
      </c>
    </row>
    <row r="96" customHeight="1" spans="1:17">
      <c r="A96" s="2">
        <v>2026</v>
      </c>
      <c r="B96" s="2">
        <v>95</v>
      </c>
      <c r="C96" s="16">
        <f t="shared" si="9"/>
        <v>78.5</v>
      </c>
      <c r="D96" s="2" t="s">
        <v>246</v>
      </c>
      <c r="E96" s="10">
        <v>80</v>
      </c>
      <c r="F96" s="9">
        <v>76</v>
      </c>
      <c r="G96" s="9">
        <v>73</v>
      </c>
      <c r="H96" s="2" t="s">
        <v>54</v>
      </c>
      <c r="I96" s="2" t="s">
        <v>104</v>
      </c>
      <c r="J96" s="4" t="s">
        <v>59</v>
      </c>
      <c r="K96" s="2" t="s">
        <v>247</v>
      </c>
      <c r="M96" s="2">
        <f t="shared" si="5"/>
        <v>150</v>
      </c>
      <c r="N96" s="2">
        <f t="shared" si="6"/>
        <v>78.5</v>
      </c>
      <c r="O96" s="2">
        <f>IF(M96="","",IF(M96&gt;=1000,95,IF(M96&lt;=12.5,50,LOOKUP(M96,{12.5,15,20,30,45,60,75,105,115,150,200,225,250,600,1000},{50,55,60,62,65,68,70,72,75,80,82,85,87,90,95})+(M96-LOOKUP(M96,{12.5,15,20,30,45,60,75,105,115,150,200,225,250,600},{12.5,15,20,30,45,60,75,105,115,150,200,225,250,600}))/(LOOKUP(M96,{12.5,15,20,30,45,60,75,105,115,150,200,225,250,600,1000},{15,20,30,45,60,75,105,115,150,200,225,250,600,1000,1000})-LOOKUP(M96,{12.5,15,20,30,45,60,75,105,115,150,200,225,250,600},{12.5,15,20,30,45,60,75,105,115,150,200,225,250,600}))*(LOOKUP(M96,{12.5,15,20,30,45,60,75,105,115,150,200,225,250,600,1000},{55,60,62,65,68,70,72,75,80,82,85,87,90,95,95})-LOOKUP(M96,{12.5,15,20,30,45,60,75,105,115,150,200,225,250,600,1000},{50,55,60,62,65,68,70,72,75,80,82,85,87,90,95})))))</f>
        <v>80</v>
      </c>
      <c r="P96" s="2">
        <f t="shared" si="7"/>
        <v>0</v>
      </c>
      <c r="Q96" s="2">
        <f t="shared" si="8"/>
        <v>0</v>
      </c>
    </row>
    <row r="97" customHeight="1" spans="1:17">
      <c r="A97" s="2">
        <v>2026</v>
      </c>
      <c r="B97" s="2">
        <v>96</v>
      </c>
      <c r="C97" s="16">
        <f t="shared" si="9"/>
        <v>78.5</v>
      </c>
      <c r="D97" s="2" t="s">
        <v>248</v>
      </c>
      <c r="E97" s="9">
        <v>78</v>
      </c>
      <c r="F97" s="2">
        <v>58</v>
      </c>
      <c r="G97" s="2">
        <v>53</v>
      </c>
      <c r="H97" s="2" t="s">
        <v>54</v>
      </c>
      <c r="I97" s="2" t="s">
        <v>28</v>
      </c>
      <c r="J97" s="4" t="s">
        <v>88</v>
      </c>
      <c r="K97" s="2" t="s">
        <v>249</v>
      </c>
      <c r="M97" s="2">
        <f t="shared" si="5"/>
        <v>30</v>
      </c>
      <c r="N97" s="2">
        <f t="shared" si="6"/>
        <v>71.5</v>
      </c>
      <c r="O97" s="2">
        <f>IF(M97="","",IF(M97&gt;=1000,95,IF(M97&lt;=12.5,50,LOOKUP(M97,{12.5,15,20,30,45,60,75,105,115,150,200,225,250,600,1000},{50,55,60,62,65,68,70,72,75,80,82,85,87,90,95})+(M97-LOOKUP(M97,{12.5,15,20,30,45,60,75,105,115,150,200,225,250,600},{12.5,15,20,30,45,60,75,105,115,150,200,225,250,600}))/(LOOKUP(M97,{12.5,15,20,30,45,60,75,105,115,150,200,225,250,600,1000},{15,20,30,45,60,75,105,115,150,200,225,250,600,1000,1000})-LOOKUP(M97,{12.5,15,20,30,45,60,75,105,115,150,200,225,250,600},{12.5,15,20,30,45,60,75,105,115,150,200,225,250,600}))*(LOOKUP(M97,{12.5,15,20,30,45,60,75,105,115,150,200,225,250,600,1000},{55,60,62,65,68,70,72,75,80,82,85,87,90,95,95})-LOOKUP(M97,{12.5,15,20,30,45,60,75,105,115,150,200,225,250,600,1000},{50,55,60,62,65,68,70,72,75,80,82,85,87,90,95})))))</f>
        <v>62</v>
      </c>
      <c r="P97" s="2">
        <f t="shared" si="7"/>
        <v>16</v>
      </c>
      <c r="Q97" s="2">
        <f t="shared" si="8"/>
        <v>7</v>
      </c>
    </row>
    <row r="98" customHeight="1" spans="1:17">
      <c r="A98" s="2">
        <v>2026</v>
      </c>
      <c r="B98" s="2">
        <v>97</v>
      </c>
      <c r="C98" s="16">
        <f t="shared" si="9"/>
        <v>78.5</v>
      </c>
      <c r="D98" s="2" t="s">
        <v>250</v>
      </c>
      <c r="E98" s="9">
        <v>79</v>
      </c>
      <c r="F98" s="2">
        <v>55</v>
      </c>
      <c r="G98" s="2">
        <v>42</v>
      </c>
      <c r="H98" s="2" t="s">
        <v>91</v>
      </c>
      <c r="I98" s="2" t="s">
        <v>28</v>
      </c>
      <c r="J98" s="4" t="s">
        <v>140</v>
      </c>
      <c r="K98" s="2" t="s">
        <v>251</v>
      </c>
      <c r="M98" s="2">
        <f t="shared" si="5"/>
        <v>20</v>
      </c>
      <c r="N98" s="2">
        <f t="shared" si="6"/>
        <v>70.5</v>
      </c>
      <c r="O98" s="2">
        <f>IF(M98="","",IF(M98&gt;=1000,95,IF(M98&lt;=12.5,50,LOOKUP(M98,{12.5,15,20,30,45,60,75,105,115,150,200,225,250,600,1000},{50,55,60,62,65,68,70,72,75,80,82,85,87,90,95})+(M98-LOOKUP(M98,{12.5,15,20,30,45,60,75,105,115,150,200,225,250,600},{12.5,15,20,30,45,60,75,105,115,150,200,225,250,600}))/(LOOKUP(M98,{12.5,15,20,30,45,60,75,105,115,150,200,225,250,600,1000},{15,20,30,45,60,75,105,115,150,200,225,250,600,1000,1000})-LOOKUP(M98,{12.5,15,20,30,45,60,75,105,115,150,200,225,250,600},{12.5,15,20,30,45,60,75,105,115,150,200,225,250,600}))*(LOOKUP(M98,{12.5,15,20,30,45,60,75,105,115,150,200,225,250,600,1000},{55,60,62,65,68,70,72,75,80,82,85,87,90,95,95})-LOOKUP(M98,{12.5,15,20,30,45,60,75,105,115,150,200,225,250,600,1000},{50,55,60,62,65,68,70,72,75,80,82,85,87,90,95})))))</f>
        <v>60</v>
      </c>
      <c r="P98" s="2">
        <f t="shared" si="7"/>
        <v>19</v>
      </c>
      <c r="Q98" s="2">
        <f t="shared" si="8"/>
        <v>8</v>
      </c>
    </row>
    <row r="99" customHeight="1" spans="1:17">
      <c r="B99" s="2">
        <v>98</v>
      </c>
      <c r="C99" s="16">
        <f t="shared" si="9"/>
        <v>78.43</v>
      </c>
      <c r="D99" s="2" t="s">
        <v>252</v>
      </c>
      <c r="E99" s="9">
        <v>78</v>
      </c>
      <c r="F99" s="2">
        <v>50</v>
      </c>
      <c r="G99" s="2">
        <v>45</v>
      </c>
      <c r="H99" s="2" t="s">
        <v>37</v>
      </c>
      <c r="I99" s="2" t="s">
        <v>28</v>
      </c>
      <c r="J99" s="4" t="s">
        <v>29</v>
      </c>
      <c r="K99" s="2" t="s">
        <v>253</v>
      </c>
      <c r="M99" s="2">
        <f t="shared" si="5"/>
        <v>15</v>
      </c>
      <c r="N99" s="2">
        <f t="shared" si="6"/>
        <v>69.1</v>
      </c>
      <c r="O99" s="2">
        <f>IF(M99="","",IF(M99&gt;=1000,95,IF(M99&lt;=12.5,50,LOOKUP(M99,{12.5,15,20,30,45,60,75,105,115,150,200,225,250,600,1000},{50,55,60,62,65,68,70,72,75,80,82,85,87,90,95})+(M99-LOOKUP(M99,{12.5,15,20,30,45,60,75,105,115,150,200,225,250,600},{12.5,15,20,30,45,60,75,105,115,150,200,225,250,600}))/(LOOKUP(M99,{12.5,15,20,30,45,60,75,105,115,150,200,225,250,600,1000},{15,20,30,45,60,75,105,115,150,200,225,250,600,1000,1000})-LOOKUP(M99,{12.5,15,20,30,45,60,75,105,115,150,200,225,250,600},{12.5,15,20,30,45,60,75,105,115,150,200,225,250,600}))*(LOOKUP(M99,{12.5,15,20,30,45,60,75,105,115,150,200,225,250,600,1000},{55,60,62,65,68,70,72,75,80,82,85,87,90,95,95})-LOOKUP(M99,{12.5,15,20,30,45,60,75,105,115,150,200,225,250,600,1000},{50,55,60,62,65,68,70,72,75,80,82,85,87,90,95})))))</f>
        <v>55</v>
      </c>
      <c r="P99" s="2">
        <f t="shared" si="7"/>
        <v>23</v>
      </c>
      <c r="Q99" s="2">
        <f t="shared" si="8"/>
        <v>9.33</v>
      </c>
    </row>
    <row r="100" customHeight="1" spans="1:17">
      <c r="A100" s="2">
        <v>2026</v>
      </c>
      <c r="B100" s="2">
        <v>99</v>
      </c>
      <c r="C100" s="16">
        <f t="shared" si="9"/>
        <v>78.3</v>
      </c>
      <c r="D100" s="2" t="s">
        <v>254</v>
      </c>
      <c r="E100" s="10">
        <v>83</v>
      </c>
      <c r="F100" s="12">
        <v>67</v>
      </c>
      <c r="G100" s="12">
        <v>63</v>
      </c>
      <c r="H100" s="2" t="s">
        <v>54</v>
      </c>
      <c r="I100" s="2" t="s">
        <v>183</v>
      </c>
      <c r="J100" s="4" t="s">
        <v>51</v>
      </c>
      <c r="K100" s="2" t="s">
        <v>255</v>
      </c>
      <c r="M100" s="2">
        <f t="shared" si="5"/>
        <v>200</v>
      </c>
      <c r="N100" s="2">
        <f t="shared" si="6"/>
        <v>77.8</v>
      </c>
      <c r="O100" s="2">
        <f>IF(M100="","",IF(M100&gt;=1000,95,IF(M100&lt;=12.5,50,LOOKUP(M100,{12.5,15,20,30,45,60,75,105,115,150,200,225,250,600,1000},{50,55,60,62,65,68,70,72,75,80,82,85,87,90,95})+(M100-LOOKUP(M100,{12.5,15,20,30,45,60,75,105,115,150,200,225,250,600},{12.5,15,20,30,45,60,75,105,115,150,200,225,250,600}))/(LOOKUP(M100,{12.5,15,20,30,45,60,75,105,115,150,200,225,250,600,1000},{15,20,30,45,60,75,105,115,150,200,225,250,600,1000,1000})-LOOKUP(M100,{12.5,15,20,30,45,60,75,105,115,150,200,225,250,600},{12.5,15,20,30,45,60,75,105,115,150,200,225,250,600}))*(LOOKUP(M100,{12.5,15,20,30,45,60,75,105,115,150,200,225,250,600,1000},{55,60,62,65,68,70,72,75,80,82,85,87,90,95,95})-LOOKUP(M100,{12.5,15,20,30,45,60,75,105,115,150,200,225,250,600,1000},{50,55,60,62,65,68,70,72,75,80,82,85,87,90,95})))))</f>
        <v>82</v>
      </c>
      <c r="P100" s="2">
        <f t="shared" si="7"/>
        <v>1</v>
      </c>
      <c r="Q100" s="2">
        <f t="shared" si="8"/>
        <v>0.5</v>
      </c>
    </row>
    <row r="101" customHeight="1" spans="1:17">
      <c r="A101" s="2">
        <v>2026</v>
      </c>
      <c r="B101" s="2">
        <v>100</v>
      </c>
      <c r="C101" s="16">
        <f t="shared" si="9"/>
        <v>78.3</v>
      </c>
      <c r="D101" s="2" t="s">
        <v>256</v>
      </c>
      <c r="E101" s="10">
        <v>81</v>
      </c>
      <c r="F101" s="12">
        <v>66</v>
      </c>
      <c r="G101" s="2">
        <v>54</v>
      </c>
      <c r="H101" s="2" t="s">
        <v>113</v>
      </c>
      <c r="I101" s="2" t="s">
        <v>33</v>
      </c>
      <c r="J101" s="4" t="s">
        <v>148</v>
      </c>
      <c r="K101" s="2" t="s">
        <v>171</v>
      </c>
      <c r="M101" s="2">
        <f t="shared" si="5"/>
        <v>115</v>
      </c>
      <c r="N101" s="2">
        <f t="shared" si="6"/>
        <v>75.3</v>
      </c>
      <c r="O101" s="2">
        <f>IF(M101="","",IF(M101&gt;=1000,95,IF(M101&lt;=12.5,50,LOOKUP(M101,{12.5,15,20,30,45,60,75,105,115,150,200,225,250,600,1000},{50,55,60,62,65,68,70,72,75,80,82,85,87,90,95})+(M101-LOOKUP(M101,{12.5,15,20,30,45,60,75,105,115,150,200,225,250,600},{12.5,15,20,30,45,60,75,105,115,150,200,225,250,600}))/(LOOKUP(M101,{12.5,15,20,30,45,60,75,105,115,150,200,225,250,600,1000},{15,20,30,45,60,75,105,115,150,200,225,250,600,1000,1000})-LOOKUP(M101,{12.5,15,20,30,45,60,75,105,115,150,200,225,250,600},{12.5,15,20,30,45,60,75,105,115,150,200,225,250,600}))*(LOOKUP(M101,{12.5,15,20,30,45,60,75,105,115,150,200,225,250,600,1000},{55,60,62,65,68,70,72,75,80,82,85,87,90,95,95})-LOOKUP(M101,{12.5,15,20,30,45,60,75,105,115,150,200,225,250,600,1000},{50,55,60,62,65,68,70,72,75,80,82,85,87,90,95})))))</f>
        <v>75</v>
      </c>
      <c r="P101" s="2">
        <f t="shared" si="7"/>
        <v>6</v>
      </c>
      <c r="Q101" s="2">
        <f t="shared" si="8"/>
        <v>3</v>
      </c>
    </row>
    <row r="102" customHeight="1" spans="1:17">
      <c r="A102" s="2">
        <v>2026</v>
      </c>
      <c r="B102" s="2">
        <v>101</v>
      </c>
      <c r="C102" s="16">
        <f t="shared" si="9"/>
        <v>78.23</v>
      </c>
      <c r="D102" s="2" t="s">
        <v>257</v>
      </c>
      <c r="E102" s="9">
        <v>78</v>
      </c>
      <c r="F102" s="2">
        <v>48</v>
      </c>
      <c r="G102" s="2">
        <v>47</v>
      </c>
      <c r="H102" s="2" t="s">
        <v>54</v>
      </c>
      <c r="I102" s="2" t="s">
        <v>28</v>
      </c>
      <c r="J102" s="4" t="s">
        <v>29</v>
      </c>
      <c r="K102" s="2" t="s">
        <v>258</v>
      </c>
      <c r="M102" s="2">
        <f t="shared" si="5"/>
        <v>15</v>
      </c>
      <c r="N102" s="2">
        <f t="shared" si="6"/>
        <v>68.9</v>
      </c>
      <c r="O102" s="2">
        <f>IF(M102="","",IF(M102&gt;=1000,95,IF(M102&lt;=12.5,50,LOOKUP(M102,{12.5,15,20,30,45,60,75,105,115,150,200,225,250,600,1000},{50,55,60,62,65,68,70,72,75,80,82,85,87,90,95})+(M102-LOOKUP(M102,{12.5,15,20,30,45,60,75,105,115,150,200,225,250,600},{12.5,15,20,30,45,60,75,105,115,150,200,225,250,600}))/(LOOKUP(M102,{12.5,15,20,30,45,60,75,105,115,150,200,225,250,600,1000},{15,20,30,45,60,75,105,115,150,200,225,250,600,1000,1000})-LOOKUP(M102,{12.5,15,20,30,45,60,75,105,115,150,200,225,250,600},{12.5,15,20,30,45,60,75,105,115,150,200,225,250,600}))*(LOOKUP(M102,{12.5,15,20,30,45,60,75,105,115,150,200,225,250,600,1000},{55,60,62,65,68,70,72,75,80,82,85,87,90,95,95})-LOOKUP(M102,{12.5,15,20,30,45,60,75,105,115,150,200,225,250,600,1000},{50,55,60,62,65,68,70,72,75,80,82,85,87,90,95})))))</f>
        <v>55</v>
      </c>
      <c r="P102" s="2">
        <f t="shared" si="7"/>
        <v>23</v>
      </c>
      <c r="Q102" s="2">
        <f t="shared" si="8"/>
        <v>9.33</v>
      </c>
    </row>
    <row r="103" customHeight="1" spans="1:17">
      <c r="A103" s="2">
        <v>2026</v>
      </c>
      <c r="B103" s="2">
        <v>102</v>
      </c>
      <c r="C103" s="16">
        <f t="shared" si="9"/>
        <v>78.14</v>
      </c>
      <c r="D103" s="2" t="s">
        <v>259</v>
      </c>
      <c r="E103" s="9">
        <v>79</v>
      </c>
      <c r="F103" s="2">
        <v>55</v>
      </c>
      <c r="G103" s="2">
        <v>45</v>
      </c>
      <c r="H103" s="2" t="s">
        <v>54</v>
      </c>
      <c r="I103" s="2" t="s">
        <v>63</v>
      </c>
      <c r="J103" s="4" t="s">
        <v>88</v>
      </c>
      <c r="K103" s="2" t="s">
        <v>260</v>
      </c>
      <c r="M103" s="2">
        <f t="shared" si="5"/>
        <v>30</v>
      </c>
      <c r="N103" s="2">
        <f t="shared" si="6"/>
        <v>70.8</v>
      </c>
      <c r="O103" s="2">
        <f>IF(M103="","",IF(M103&gt;=1000,95,IF(M103&lt;=12.5,50,LOOKUP(M103,{12.5,15,20,30,45,60,75,105,115,150,200,225,250,600,1000},{50,55,60,62,65,68,70,72,75,80,82,85,87,90,95})+(M103-LOOKUP(M103,{12.5,15,20,30,45,60,75,105,115,150,200,225,250,600},{12.5,15,20,30,45,60,75,105,115,150,200,225,250,600}))/(LOOKUP(M103,{12.5,15,20,30,45,60,75,105,115,150,200,225,250,600,1000},{15,20,30,45,60,75,105,115,150,200,225,250,600,1000,1000})-LOOKUP(M103,{12.5,15,20,30,45,60,75,105,115,150,200,225,250,600},{12.5,15,20,30,45,60,75,105,115,150,200,225,250,600}))*(LOOKUP(M103,{12.5,15,20,30,45,60,75,105,115,150,200,225,250,600,1000},{55,60,62,65,68,70,72,75,80,82,85,87,90,95,95})-LOOKUP(M103,{12.5,15,20,30,45,60,75,105,115,150,200,225,250,600,1000},{50,55,60,62,65,68,70,72,75,80,82,85,87,90,95})))))</f>
        <v>62</v>
      </c>
      <c r="P103" s="2">
        <f t="shared" si="7"/>
        <v>17</v>
      </c>
      <c r="Q103" s="2">
        <f t="shared" si="8"/>
        <v>7.34</v>
      </c>
    </row>
    <row r="104" customHeight="1" spans="1:17">
      <c r="B104" s="2">
        <v>103</v>
      </c>
      <c r="C104" s="16">
        <f t="shared" si="9"/>
        <v>78.1</v>
      </c>
      <c r="D104" s="2" t="s">
        <v>261</v>
      </c>
      <c r="E104" s="9">
        <v>77</v>
      </c>
      <c r="F104" s="2">
        <v>59</v>
      </c>
      <c r="G104" s="2">
        <v>34</v>
      </c>
      <c r="H104" s="2" t="s">
        <v>178</v>
      </c>
      <c r="I104" s="2" t="s">
        <v>28</v>
      </c>
      <c r="J104" s="4" t="s">
        <v>29</v>
      </c>
      <c r="K104" s="2" t="s">
        <v>262</v>
      </c>
      <c r="M104" s="2">
        <f t="shared" si="5"/>
        <v>15</v>
      </c>
      <c r="N104" s="2">
        <f t="shared" si="6"/>
        <v>69.1</v>
      </c>
      <c r="O104" s="2">
        <f>IF(M104="","",IF(M104&gt;=1000,95,IF(M104&lt;=12.5,50,LOOKUP(M104,{12.5,15,20,30,45,60,75,105,115,150,200,225,250,600,1000},{50,55,60,62,65,68,70,72,75,80,82,85,87,90,95})+(M104-LOOKUP(M104,{12.5,15,20,30,45,60,75,105,115,150,200,225,250,600},{12.5,15,20,30,45,60,75,105,115,150,200,225,250,600}))/(LOOKUP(M104,{12.5,15,20,30,45,60,75,105,115,150,200,225,250,600,1000},{15,20,30,45,60,75,105,115,150,200,225,250,600,1000,1000})-LOOKUP(M104,{12.5,15,20,30,45,60,75,105,115,150,200,225,250,600},{12.5,15,20,30,45,60,75,105,115,150,200,225,250,600}))*(LOOKUP(M104,{12.5,15,20,30,45,60,75,105,115,150,200,225,250,600,1000},{55,60,62,65,68,70,72,75,80,82,85,87,90,95,95})-LOOKUP(M104,{12.5,15,20,30,45,60,75,105,115,150,200,225,250,600,1000},{50,55,60,62,65,68,70,72,75,80,82,85,87,90,95})))))</f>
        <v>55</v>
      </c>
      <c r="P104" s="2">
        <f t="shared" si="7"/>
        <v>22</v>
      </c>
      <c r="Q104" s="2">
        <f t="shared" si="8"/>
        <v>9</v>
      </c>
    </row>
    <row r="105" customHeight="1" spans="1:17">
      <c r="B105" s="2">
        <v>104</v>
      </c>
      <c r="C105" s="16">
        <f t="shared" si="9"/>
        <v>78.1</v>
      </c>
      <c r="D105" s="2" t="s">
        <v>263</v>
      </c>
      <c r="E105" s="9">
        <v>79</v>
      </c>
      <c r="F105" s="12">
        <v>60</v>
      </c>
      <c r="G105" s="12">
        <v>63</v>
      </c>
      <c r="H105" s="2" t="s">
        <v>264</v>
      </c>
      <c r="I105" s="2" t="s">
        <v>265</v>
      </c>
      <c r="J105" s="4" t="s">
        <v>24</v>
      </c>
      <c r="M105" s="2">
        <f t="shared" si="5"/>
        <v>75</v>
      </c>
      <c r="N105" s="2">
        <f t="shared" si="6"/>
        <v>73.6</v>
      </c>
      <c r="O105" s="2">
        <f>IF(M105="","",IF(M105&gt;=1000,95,IF(M105&lt;=12.5,50,LOOKUP(M105,{12.5,15,20,30,45,60,75,105,115,150,200,225,250,600,1000},{50,55,60,62,65,68,70,72,75,80,82,85,87,90,95})+(M105-LOOKUP(M105,{12.5,15,20,30,45,60,75,105,115,150,200,225,250,600},{12.5,15,20,30,45,60,75,105,115,150,200,225,250,600}))/(LOOKUP(M105,{12.5,15,20,30,45,60,75,105,115,150,200,225,250,600,1000},{15,20,30,45,60,75,105,115,150,200,225,250,600,1000,1000})-LOOKUP(M105,{12.5,15,20,30,45,60,75,105,115,150,200,225,250,600},{12.5,15,20,30,45,60,75,105,115,150,200,225,250,600}))*(LOOKUP(M105,{12.5,15,20,30,45,60,75,105,115,150,200,225,250,600,1000},{55,60,62,65,68,70,72,75,80,82,85,87,90,95,95})-LOOKUP(M105,{12.5,15,20,30,45,60,75,105,115,150,200,225,250,600,1000},{50,55,60,62,65,68,70,72,75,80,82,85,87,90,95})))))</f>
        <v>70</v>
      </c>
      <c r="P105" s="2">
        <f t="shared" si="7"/>
        <v>9</v>
      </c>
      <c r="Q105" s="2">
        <f t="shared" si="8"/>
        <v>4.5</v>
      </c>
    </row>
    <row r="106" customHeight="1" spans="1:17">
      <c r="B106" s="2">
        <v>105</v>
      </c>
      <c r="C106" s="16">
        <f t="shared" si="9"/>
        <v>78.07</v>
      </c>
      <c r="D106" s="2" t="s">
        <v>266</v>
      </c>
      <c r="E106" s="9">
        <v>77</v>
      </c>
      <c r="F106" s="2">
        <v>59</v>
      </c>
      <c r="G106" s="2">
        <v>57</v>
      </c>
      <c r="H106" s="2" t="s">
        <v>41</v>
      </c>
      <c r="I106" s="2" t="s">
        <v>128</v>
      </c>
      <c r="J106" s="4" t="s">
        <v>88</v>
      </c>
      <c r="K106" s="2" t="s">
        <v>267</v>
      </c>
      <c r="M106" s="2">
        <f t="shared" si="5"/>
        <v>30</v>
      </c>
      <c r="N106" s="2">
        <f t="shared" si="6"/>
        <v>71.4</v>
      </c>
      <c r="O106" s="2">
        <f>IF(M106="","",IF(M106&gt;=1000,95,IF(M106&lt;=12.5,50,LOOKUP(M106,{12.5,15,20,30,45,60,75,105,115,150,200,225,250,600,1000},{50,55,60,62,65,68,70,72,75,80,82,85,87,90,95})+(M106-LOOKUP(M106,{12.5,15,20,30,45,60,75,105,115,150,200,225,250,600},{12.5,15,20,30,45,60,75,105,115,150,200,225,250,600}))/(LOOKUP(M106,{12.5,15,20,30,45,60,75,105,115,150,200,225,250,600,1000},{15,20,30,45,60,75,105,115,150,200,225,250,600,1000,1000})-LOOKUP(M106,{12.5,15,20,30,45,60,75,105,115,150,200,225,250,600},{12.5,15,20,30,45,60,75,105,115,150,200,225,250,600}))*(LOOKUP(M106,{12.5,15,20,30,45,60,75,105,115,150,200,225,250,600,1000},{55,60,62,65,68,70,72,75,80,82,85,87,90,95,95})-LOOKUP(M106,{12.5,15,20,30,45,60,75,105,115,150,200,225,250,600,1000},{50,55,60,62,65,68,70,72,75,80,82,85,87,90,95})))))</f>
        <v>62</v>
      </c>
      <c r="P106" s="2">
        <f t="shared" si="7"/>
        <v>15</v>
      </c>
      <c r="Q106" s="2">
        <f t="shared" si="8"/>
        <v>6.67</v>
      </c>
    </row>
    <row r="107" customHeight="1" spans="1:17">
      <c r="A107" s="2">
        <v>2026</v>
      </c>
      <c r="B107" s="2">
        <v>106</v>
      </c>
      <c r="C107" s="16">
        <f t="shared" si="9"/>
        <v>78</v>
      </c>
      <c r="D107" s="2" t="s">
        <v>268</v>
      </c>
      <c r="E107" s="9">
        <v>76</v>
      </c>
      <c r="F107" s="12">
        <v>63</v>
      </c>
      <c r="G107" s="2">
        <v>52</v>
      </c>
      <c r="H107" s="2" t="s">
        <v>37</v>
      </c>
      <c r="I107" s="2" t="s">
        <v>28</v>
      </c>
      <c r="J107" s="4" t="s">
        <v>140</v>
      </c>
      <c r="K107" s="2" t="s">
        <v>269</v>
      </c>
      <c r="M107" s="2">
        <f t="shared" si="5"/>
        <v>20</v>
      </c>
      <c r="N107" s="2">
        <f t="shared" si="6"/>
        <v>71</v>
      </c>
      <c r="O107" s="2">
        <f>IF(M107="","",IF(M107&gt;=1000,95,IF(M107&lt;=12.5,50,LOOKUP(M107,{12.5,15,20,30,45,60,75,105,115,150,200,225,250,600,1000},{50,55,60,62,65,68,70,72,75,80,82,85,87,90,95})+(M107-LOOKUP(M107,{12.5,15,20,30,45,60,75,105,115,150,200,225,250,600},{12.5,15,20,30,45,60,75,105,115,150,200,225,250,600}))/(LOOKUP(M107,{12.5,15,20,30,45,60,75,105,115,150,200,225,250,600,1000},{15,20,30,45,60,75,105,115,150,200,225,250,600,1000,1000})-LOOKUP(M107,{12.5,15,20,30,45,60,75,105,115,150,200,225,250,600},{12.5,15,20,30,45,60,75,105,115,150,200,225,250,600}))*(LOOKUP(M107,{12.5,15,20,30,45,60,75,105,115,150,200,225,250,600,1000},{55,60,62,65,68,70,72,75,80,82,85,87,90,95,95})-LOOKUP(M107,{12.5,15,20,30,45,60,75,105,115,150,200,225,250,600,1000},{50,55,60,62,65,68,70,72,75,80,82,85,87,90,95})))))</f>
        <v>60</v>
      </c>
      <c r="P107" s="2">
        <f t="shared" si="7"/>
        <v>16</v>
      </c>
      <c r="Q107" s="2">
        <f t="shared" si="8"/>
        <v>7</v>
      </c>
    </row>
    <row r="108" customHeight="1" spans="1:17">
      <c r="A108" s="2">
        <v>2026</v>
      </c>
      <c r="B108" s="2">
        <v>107</v>
      </c>
      <c r="C108" s="16">
        <f t="shared" si="9"/>
        <v>77.9</v>
      </c>
      <c r="D108" s="2" t="s">
        <v>270</v>
      </c>
      <c r="E108" s="9">
        <v>79</v>
      </c>
      <c r="F108" s="9">
        <v>77</v>
      </c>
      <c r="G108" s="2">
        <v>52</v>
      </c>
      <c r="H108" s="2" t="s">
        <v>41</v>
      </c>
      <c r="I108" s="2" t="s">
        <v>159</v>
      </c>
      <c r="J108" s="4" t="s">
        <v>148</v>
      </c>
      <c r="K108" s="2" t="s">
        <v>271</v>
      </c>
      <c r="M108" s="2">
        <f t="shared" si="5"/>
        <v>115</v>
      </c>
      <c r="N108" s="2">
        <f t="shared" si="6"/>
        <v>75.9</v>
      </c>
      <c r="O108" s="2">
        <f>IF(M108="","",IF(M108&gt;=1000,95,IF(M108&lt;=12.5,50,LOOKUP(M108,{12.5,15,20,30,45,60,75,105,115,150,200,225,250,600,1000},{50,55,60,62,65,68,70,72,75,80,82,85,87,90,95})+(M108-LOOKUP(M108,{12.5,15,20,30,45,60,75,105,115,150,200,225,250,600},{12.5,15,20,30,45,60,75,105,115,150,200,225,250,600}))/(LOOKUP(M108,{12.5,15,20,30,45,60,75,105,115,150,200,225,250,600,1000},{15,20,30,45,60,75,105,115,150,200,225,250,600,1000,1000})-LOOKUP(M108,{12.5,15,20,30,45,60,75,105,115,150,200,225,250,600},{12.5,15,20,30,45,60,75,105,115,150,200,225,250,600}))*(LOOKUP(M108,{12.5,15,20,30,45,60,75,105,115,150,200,225,250,600,1000},{55,60,62,65,68,70,72,75,80,82,85,87,90,95,95})-LOOKUP(M108,{12.5,15,20,30,45,60,75,105,115,150,200,225,250,600,1000},{50,55,60,62,65,68,70,72,75,80,82,85,87,90,95})))))</f>
        <v>75</v>
      </c>
      <c r="P108" s="2">
        <f t="shared" si="7"/>
        <v>4</v>
      </c>
      <c r="Q108" s="2">
        <f t="shared" si="8"/>
        <v>2</v>
      </c>
    </row>
    <row r="109" customHeight="1" spans="1:17">
      <c r="B109" s="2">
        <v>108</v>
      </c>
      <c r="C109" s="16">
        <f t="shared" si="9"/>
        <v>77.9</v>
      </c>
      <c r="D109" s="2" t="s">
        <v>272</v>
      </c>
      <c r="E109" s="9">
        <v>77</v>
      </c>
      <c r="F109" s="2">
        <v>57</v>
      </c>
      <c r="G109" s="2">
        <v>36</v>
      </c>
      <c r="H109" s="2" t="s">
        <v>178</v>
      </c>
      <c r="I109" s="2" t="s">
        <v>28</v>
      </c>
      <c r="J109" s="4" t="s">
        <v>29</v>
      </c>
      <c r="K109" s="2" t="s">
        <v>273</v>
      </c>
      <c r="M109" s="2">
        <f t="shared" si="5"/>
        <v>15</v>
      </c>
      <c r="N109" s="2">
        <f t="shared" si="6"/>
        <v>68.9</v>
      </c>
      <c r="O109" s="2">
        <f>IF(M109="","",IF(M109&gt;=1000,95,IF(M109&lt;=12.5,50,LOOKUP(M109,{12.5,15,20,30,45,60,75,105,115,150,200,225,250,600,1000},{50,55,60,62,65,68,70,72,75,80,82,85,87,90,95})+(M109-LOOKUP(M109,{12.5,15,20,30,45,60,75,105,115,150,200,225,250,600},{12.5,15,20,30,45,60,75,105,115,150,200,225,250,600}))/(LOOKUP(M109,{12.5,15,20,30,45,60,75,105,115,150,200,225,250,600,1000},{15,20,30,45,60,75,105,115,150,200,225,250,600,1000,1000})-LOOKUP(M109,{12.5,15,20,30,45,60,75,105,115,150,200,225,250,600},{12.5,15,20,30,45,60,75,105,115,150,200,225,250,600}))*(LOOKUP(M109,{12.5,15,20,30,45,60,75,105,115,150,200,225,250,600,1000},{55,60,62,65,68,70,72,75,80,82,85,87,90,95,95})-LOOKUP(M109,{12.5,15,20,30,45,60,75,105,115,150,200,225,250,600,1000},{50,55,60,62,65,68,70,72,75,80,82,85,87,90,95})))))</f>
        <v>55</v>
      </c>
      <c r="P109" s="2">
        <f t="shared" si="7"/>
        <v>22</v>
      </c>
      <c r="Q109" s="2">
        <f t="shared" si="8"/>
        <v>9</v>
      </c>
    </row>
    <row r="110" customHeight="1" spans="1:17">
      <c r="B110" s="2">
        <v>109</v>
      </c>
      <c r="C110" s="16">
        <f t="shared" si="9"/>
        <v>77.8</v>
      </c>
      <c r="D110" s="2" t="s">
        <v>274</v>
      </c>
      <c r="E110" s="9">
        <v>78</v>
      </c>
      <c r="F110" s="12">
        <v>65</v>
      </c>
      <c r="G110" s="12">
        <v>62</v>
      </c>
      <c r="H110" s="2" t="s">
        <v>91</v>
      </c>
      <c r="I110" s="2" t="s">
        <v>33</v>
      </c>
      <c r="J110" s="4" t="s">
        <v>24</v>
      </c>
      <c r="K110" s="2" t="s">
        <v>275</v>
      </c>
      <c r="M110" s="2">
        <f t="shared" si="5"/>
        <v>75</v>
      </c>
      <c r="N110" s="2">
        <f t="shared" si="6"/>
        <v>73.8</v>
      </c>
      <c r="O110" s="2">
        <f>IF(M110="","",IF(M110&gt;=1000,95,IF(M110&lt;=12.5,50,LOOKUP(M110,{12.5,15,20,30,45,60,75,105,115,150,200,225,250,600,1000},{50,55,60,62,65,68,70,72,75,80,82,85,87,90,95})+(M110-LOOKUP(M110,{12.5,15,20,30,45,60,75,105,115,150,200,225,250,600},{12.5,15,20,30,45,60,75,105,115,150,200,225,250,600}))/(LOOKUP(M110,{12.5,15,20,30,45,60,75,105,115,150,200,225,250,600,1000},{15,20,30,45,60,75,105,115,150,200,225,250,600,1000,1000})-LOOKUP(M110,{12.5,15,20,30,45,60,75,105,115,150,200,225,250,600},{12.5,15,20,30,45,60,75,105,115,150,200,225,250,600}))*(LOOKUP(M110,{12.5,15,20,30,45,60,75,105,115,150,200,225,250,600,1000},{55,60,62,65,68,70,72,75,80,82,85,87,90,95,95})-LOOKUP(M110,{12.5,15,20,30,45,60,75,105,115,150,200,225,250,600,1000},{50,55,60,62,65,68,70,72,75,80,82,85,87,90,95})))))</f>
        <v>70</v>
      </c>
      <c r="P110" s="2">
        <f t="shared" si="7"/>
        <v>8</v>
      </c>
      <c r="Q110" s="2">
        <f t="shared" si="8"/>
        <v>4</v>
      </c>
    </row>
    <row r="111" customHeight="1" spans="1:17">
      <c r="A111" s="2">
        <v>2026</v>
      </c>
      <c r="B111" s="2">
        <v>110</v>
      </c>
      <c r="C111" s="16">
        <f t="shared" si="9"/>
        <v>77.77</v>
      </c>
      <c r="D111" s="2" t="s">
        <v>276</v>
      </c>
      <c r="E111" s="9">
        <v>78</v>
      </c>
      <c r="F111" s="12">
        <v>60</v>
      </c>
      <c r="G111" s="2">
        <v>35</v>
      </c>
      <c r="H111" s="2" t="s">
        <v>264</v>
      </c>
      <c r="I111" s="2" t="s">
        <v>28</v>
      </c>
      <c r="J111" s="4" t="s">
        <v>140</v>
      </c>
      <c r="K111" s="2" t="s">
        <v>277</v>
      </c>
      <c r="M111" s="2">
        <f t="shared" si="5"/>
        <v>20</v>
      </c>
      <c r="N111" s="2">
        <f t="shared" si="6"/>
        <v>70.1</v>
      </c>
      <c r="O111" s="2">
        <f>IF(M111="","",IF(M111&gt;=1000,95,IF(M111&lt;=12.5,50,LOOKUP(M111,{12.5,15,20,30,45,60,75,105,115,150,200,225,250,600,1000},{50,55,60,62,65,68,70,72,75,80,82,85,87,90,95})+(M111-LOOKUP(M111,{12.5,15,20,30,45,60,75,105,115,150,200,225,250,600},{12.5,15,20,30,45,60,75,105,115,150,200,225,250,600}))/(LOOKUP(M111,{12.5,15,20,30,45,60,75,105,115,150,200,225,250,600,1000},{15,20,30,45,60,75,105,115,150,200,225,250,600,1000,1000})-LOOKUP(M111,{12.5,15,20,30,45,60,75,105,115,150,200,225,250,600},{12.5,15,20,30,45,60,75,105,115,150,200,225,250,600}))*(LOOKUP(M111,{12.5,15,20,30,45,60,75,105,115,150,200,225,250,600,1000},{55,60,62,65,68,70,72,75,80,82,85,87,90,95,95})-LOOKUP(M111,{12.5,15,20,30,45,60,75,105,115,150,200,225,250,600,1000},{50,55,60,62,65,68,70,72,75,80,82,85,87,90,95})))))</f>
        <v>60</v>
      </c>
      <c r="P111" s="2">
        <f t="shared" si="7"/>
        <v>18</v>
      </c>
      <c r="Q111" s="2">
        <f t="shared" si="8"/>
        <v>7.67</v>
      </c>
    </row>
    <row r="112" customHeight="1" spans="1:17">
      <c r="B112" s="2">
        <v>111</v>
      </c>
      <c r="C112" s="16">
        <f t="shared" si="9"/>
        <v>77.73</v>
      </c>
      <c r="D112" s="2" t="s">
        <v>278</v>
      </c>
      <c r="E112" s="9">
        <v>73</v>
      </c>
      <c r="F112" s="10">
        <v>83</v>
      </c>
      <c r="G112" s="2">
        <v>47</v>
      </c>
      <c r="H112" s="2" t="s">
        <v>279</v>
      </c>
      <c r="I112" s="2" t="s">
        <v>23</v>
      </c>
      <c r="J112" s="4" t="s">
        <v>88</v>
      </c>
      <c r="M112" s="2">
        <f t="shared" si="5"/>
        <v>30</v>
      </c>
      <c r="N112" s="2">
        <f t="shared" si="6"/>
        <v>72.4</v>
      </c>
      <c r="O112" s="2">
        <f>IF(M112="","",IF(M112&gt;=1000,95,IF(M112&lt;=12.5,50,LOOKUP(M112,{12.5,15,20,30,45,60,75,105,115,150,200,225,250,600,1000},{50,55,60,62,65,68,70,72,75,80,82,85,87,90,95})+(M112-LOOKUP(M112,{12.5,15,20,30,45,60,75,105,115,150,200,225,250,600},{12.5,15,20,30,45,60,75,105,115,150,200,225,250,600}))/(LOOKUP(M112,{12.5,15,20,30,45,60,75,105,115,150,200,225,250,600,1000},{15,20,30,45,60,75,105,115,150,200,225,250,600,1000,1000})-LOOKUP(M112,{12.5,15,20,30,45,60,75,105,115,150,200,225,250,600},{12.5,15,20,30,45,60,75,105,115,150,200,225,250,600}))*(LOOKUP(M112,{12.5,15,20,30,45,60,75,105,115,150,200,225,250,600,1000},{55,60,62,65,68,70,72,75,80,82,85,87,90,95,95})-LOOKUP(M112,{12.5,15,20,30,45,60,75,105,115,150,200,225,250,600,1000},{50,55,60,62,65,68,70,72,75,80,82,85,87,90,95})))))</f>
        <v>62</v>
      </c>
      <c r="P112" s="2">
        <f t="shared" si="7"/>
        <v>11</v>
      </c>
      <c r="Q112" s="2">
        <f t="shared" si="8"/>
        <v>5.33</v>
      </c>
    </row>
    <row r="113" customHeight="1" spans="1:17">
      <c r="A113" s="2">
        <v>2026</v>
      </c>
      <c r="B113" s="2">
        <v>112</v>
      </c>
      <c r="C113" s="16">
        <f t="shared" si="9"/>
        <v>77.67</v>
      </c>
      <c r="D113" s="2" t="s">
        <v>280</v>
      </c>
      <c r="E113" s="9">
        <v>77</v>
      </c>
      <c r="F113" s="12">
        <v>62</v>
      </c>
      <c r="G113" s="2">
        <v>57</v>
      </c>
      <c r="H113" s="2" t="s">
        <v>281</v>
      </c>
      <c r="I113" s="2" t="s">
        <v>229</v>
      </c>
      <c r="J113" s="4" t="s">
        <v>38</v>
      </c>
      <c r="K113" s="2" t="s">
        <v>282</v>
      </c>
      <c r="M113" s="2">
        <f t="shared" si="5"/>
        <v>45</v>
      </c>
      <c r="N113" s="2">
        <f t="shared" si="6"/>
        <v>72</v>
      </c>
      <c r="O113" s="2">
        <f>IF(M113="","",IF(M113&gt;=1000,95,IF(M113&lt;=12.5,50,LOOKUP(M113,{12.5,15,20,30,45,60,75,105,115,150,200,225,250,600,1000},{50,55,60,62,65,68,70,72,75,80,82,85,87,90,95})+(M113-LOOKUP(M113,{12.5,15,20,30,45,60,75,105,115,150,200,225,250,600},{12.5,15,20,30,45,60,75,105,115,150,200,225,250,600}))/(LOOKUP(M113,{12.5,15,20,30,45,60,75,105,115,150,200,225,250,600,1000},{15,20,30,45,60,75,105,115,150,200,225,250,600,1000,1000})-LOOKUP(M113,{12.5,15,20,30,45,60,75,105,115,150,200,225,250,600},{12.5,15,20,30,45,60,75,105,115,150,200,225,250,600}))*(LOOKUP(M113,{12.5,15,20,30,45,60,75,105,115,150,200,225,250,600,1000},{55,60,62,65,68,70,72,75,80,82,85,87,90,95,95})-LOOKUP(M113,{12.5,15,20,30,45,60,75,105,115,150,200,225,250,600,1000},{50,55,60,62,65,68,70,72,75,80,82,85,87,90,95})))))</f>
        <v>65</v>
      </c>
      <c r="P113" s="2">
        <f t="shared" si="7"/>
        <v>12</v>
      </c>
      <c r="Q113" s="2">
        <f t="shared" si="8"/>
        <v>5.67</v>
      </c>
    </row>
    <row r="114" customHeight="1" spans="1:17">
      <c r="B114" s="2">
        <v>113</v>
      </c>
      <c r="C114" s="16">
        <f t="shared" si="9"/>
        <v>77.5</v>
      </c>
      <c r="D114" s="2" t="s">
        <v>283</v>
      </c>
      <c r="E114" s="10">
        <v>80</v>
      </c>
      <c r="F114" s="8">
        <v>90</v>
      </c>
      <c r="G114" s="10">
        <v>85</v>
      </c>
      <c r="H114" s="2" t="s">
        <v>41</v>
      </c>
      <c r="I114" s="2" t="s">
        <v>284</v>
      </c>
      <c r="J114" s="4" t="s">
        <v>73</v>
      </c>
      <c r="M114" s="2">
        <f t="shared" si="5"/>
        <v>600</v>
      </c>
      <c r="N114" s="2">
        <f t="shared" si="6"/>
        <v>82.5</v>
      </c>
      <c r="O114" s="2">
        <f>IF(M114="","",IF(M114&gt;=1000,95,IF(M114&lt;=12.5,50,LOOKUP(M114,{12.5,15,20,30,45,60,75,105,115,150,200,225,250,600,1000},{50,55,60,62,65,68,70,72,75,80,82,85,87,90,95})+(M114-LOOKUP(M114,{12.5,15,20,30,45,60,75,105,115,150,200,225,250,600},{12.5,15,20,30,45,60,75,105,115,150,200,225,250,600}))/(LOOKUP(M114,{12.5,15,20,30,45,60,75,105,115,150,200,225,250,600,1000},{15,20,30,45,60,75,105,115,150,200,225,250,600,1000,1000})-LOOKUP(M114,{12.5,15,20,30,45,60,75,105,115,150,200,225,250,600},{12.5,15,20,30,45,60,75,105,115,150,200,225,250,600}))*(LOOKUP(M114,{12.5,15,20,30,45,60,75,105,115,150,200,225,250,600,1000},{55,60,62,65,68,70,72,75,80,82,85,87,90,95,95})-LOOKUP(M114,{12.5,15,20,30,45,60,75,105,115,150,200,225,250,600,1000},{50,55,60,62,65,68,70,72,75,80,82,85,87,90,95})))))</f>
        <v>90</v>
      </c>
      <c r="P114" s="2">
        <f t="shared" si="7"/>
        <v>-10</v>
      </c>
      <c r="Q114" s="2">
        <f t="shared" si="8"/>
        <v>-5</v>
      </c>
    </row>
    <row r="115" customHeight="1" spans="1:17">
      <c r="B115" s="2">
        <v>114</v>
      </c>
      <c r="C115" s="16">
        <f t="shared" si="9"/>
        <v>77.5</v>
      </c>
      <c r="D115" s="2" t="s">
        <v>285</v>
      </c>
      <c r="E115" s="10">
        <v>81</v>
      </c>
      <c r="F115" s="12">
        <v>61</v>
      </c>
      <c r="G115" s="2">
        <v>56</v>
      </c>
      <c r="H115" s="2" t="s">
        <v>113</v>
      </c>
      <c r="I115" s="2" t="s">
        <v>28</v>
      </c>
      <c r="J115" s="4" t="s">
        <v>148</v>
      </c>
      <c r="K115" s="2" t="s">
        <v>141</v>
      </c>
      <c r="M115" s="2">
        <f t="shared" si="5"/>
        <v>115</v>
      </c>
      <c r="N115" s="2">
        <f t="shared" si="6"/>
        <v>74.5</v>
      </c>
      <c r="O115" s="2">
        <f>IF(M115="","",IF(M115&gt;=1000,95,IF(M115&lt;=12.5,50,LOOKUP(M115,{12.5,15,20,30,45,60,75,105,115,150,200,225,250,600,1000},{50,55,60,62,65,68,70,72,75,80,82,85,87,90,95})+(M115-LOOKUP(M115,{12.5,15,20,30,45,60,75,105,115,150,200,225,250,600},{12.5,15,20,30,45,60,75,105,115,150,200,225,250,600}))/(LOOKUP(M115,{12.5,15,20,30,45,60,75,105,115,150,200,225,250,600,1000},{15,20,30,45,60,75,105,115,150,200,225,250,600,1000,1000})-LOOKUP(M115,{12.5,15,20,30,45,60,75,105,115,150,200,225,250,600},{12.5,15,20,30,45,60,75,105,115,150,200,225,250,600}))*(LOOKUP(M115,{12.5,15,20,30,45,60,75,105,115,150,200,225,250,600,1000},{55,60,62,65,68,70,72,75,80,82,85,87,90,95,95})-LOOKUP(M115,{12.5,15,20,30,45,60,75,105,115,150,200,225,250,600,1000},{50,55,60,62,65,68,70,72,75,80,82,85,87,90,95})))))</f>
        <v>75</v>
      </c>
      <c r="P115" s="2">
        <f t="shared" si="7"/>
        <v>6</v>
      </c>
      <c r="Q115" s="2">
        <f t="shared" si="8"/>
        <v>3</v>
      </c>
    </row>
    <row r="116" customHeight="1" spans="1:17">
      <c r="A116" s="2">
        <v>2026</v>
      </c>
      <c r="B116" s="2">
        <v>115</v>
      </c>
      <c r="C116" s="16">
        <f t="shared" si="9"/>
        <v>77.47</v>
      </c>
      <c r="D116" s="2" t="s">
        <v>286</v>
      </c>
      <c r="E116" s="9">
        <v>78</v>
      </c>
      <c r="F116" s="2">
        <v>55</v>
      </c>
      <c r="G116" s="2">
        <v>42</v>
      </c>
      <c r="H116" s="2" t="s">
        <v>135</v>
      </c>
      <c r="I116" s="2" t="s">
        <v>63</v>
      </c>
      <c r="J116" s="4" t="s">
        <v>140</v>
      </c>
      <c r="M116" s="2">
        <f t="shared" si="5"/>
        <v>20</v>
      </c>
      <c r="N116" s="2">
        <f t="shared" si="6"/>
        <v>69.8</v>
      </c>
      <c r="O116" s="2">
        <f>IF(M116="","",IF(M116&gt;=1000,95,IF(M116&lt;=12.5,50,LOOKUP(M116,{12.5,15,20,30,45,60,75,105,115,150,200,225,250,600,1000},{50,55,60,62,65,68,70,72,75,80,82,85,87,90,95})+(M116-LOOKUP(M116,{12.5,15,20,30,45,60,75,105,115,150,200,225,250,600},{12.5,15,20,30,45,60,75,105,115,150,200,225,250,600}))/(LOOKUP(M116,{12.5,15,20,30,45,60,75,105,115,150,200,225,250,600,1000},{15,20,30,45,60,75,105,115,150,200,225,250,600,1000,1000})-LOOKUP(M116,{12.5,15,20,30,45,60,75,105,115,150,200,225,250,600},{12.5,15,20,30,45,60,75,105,115,150,200,225,250,600}))*(LOOKUP(M116,{12.5,15,20,30,45,60,75,105,115,150,200,225,250,600,1000},{55,60,62,65,68,70,72,75,80,82,85,87,90,95,95})-LOOKUP(M116,{12.5,15,20,30,45,60,75,105,115,150,200,225,250,600,1000},{50,55,60,62,65,68,70,72,75,80,82,85,87,90,95})))))</f>
        <v>60</v>
      </c>
      <c r="P116" s="2">
        <f t="shared" si="7"/>
        <v>18</v>
      </c>
      <c r="Q116" s="2">
        <f t="shared" si="8"/>
        <v>7.67</v>
      </c>
    </row>
    <row r="117" customHeight="1" spans="1:17">
      <c r="A117" s="2">
        <v>2026</v>
      </c>
      <c r="B117" s="2">
        <v>116</v>
      </c>
      <c r="C117" s="16">
        <f t="shared" si="9"/>
        <v>77.4</v>
      </c>
      <c r="D117" s="2" t="s">
        <v>287</v>
      </c>
      <c r="E117" s="9">
        <v>77</v>
      </c>
      <c r="F117" s="12">
        <v>65</v>
      </c>
      <c r="G117" s="9">
        <v>70</v>
      </c>
      <c r="H117" s="2" t="s">
        <v>54</v>
      </c>
      <c r="I117" s="2" t="s">
        <v>104</v>
      </c>
      <c r="J117" s="4" t="s">
        <v>24</v>
      </c>
      <c r="M117" s="2">
        <f t="shared" si="5"/>
        <v>75</v>
      </c>
      <c r="N117" s="2">
        <f t="shared" si="6"/>
        <v>73.9</v>
      </c>
      <c r="O117" s="2">
        <f>IF(M117="","",IF(M117&gt;=1000,95,IF(M117&lt;=12.5,50,LOOKUP(M117,{12.5,15,20,30,45,60,75,105,115,150,200,225,250,600,1000},{50,55,60,62,65,68,70,72,75,80,82,85,87,90,95})+(M117-LOOKUP(M117,{12.5,15,20,30,45,60,75,105,115,150,200,225,250,600},{12.5,15,20,30,45,60,75,105,115,150,200,225,250,600}))/(LOOKUP(M117,{12.5,15,20,30,45,60,75,105,115,150,200,225,250,600,1000},{15,20,30,45,60,75,105,115,150,200,225,250,600,1000,1000})-LOOKUP(M117,{12.5,15,20,30,45,60,75,105,115,150,200,225,250,600},{12.5,15,20,30,45,60,75,105,115,150,200,225,250,600}))*(LOOKUP(M117,{12.5,15,20,30,45,60,75,105,115,150,200,225,250,600,1000},{55,60,62,65,68,70,72,75,80,82,85,87,90,95,95})-LOOKUP(M117,{12.5,15,20,30,45,60,75,105,115,150,200,225,250,600,1000},{50,55,60,62,65,68,70,72,75,80,82,85,87,90,95})))))</f>
        <v>70</v>
      </c>
      <c r="P117" s="2">
        <f t="shared" si="7"/>
        <v>7</v>
      </c>
      <c r="Q117" s="2">
        <f t="shared" si="8"/>
        <v>3.5</v>
      </c>
    </row>
    <row r="118" customHeight="1" spans="1:17">
      <c r="A118" s="2">
        <v>2026</v>
      </c>
      <c r="B118" s="2">
        <v>117</v>
      </c>
      <c r="C118" s="16">
        <f t="shared" si="9"/>
        <v>77.4</v>
      </c>
      <c r="D118" s="2" t="s">
        <v>288</v>
      </c>
      <c r="E118" s="10">
        <v>80</v>
      </c>
      <c r="F118" s="12">
        <v>62</v>
      </c>
      <c r="G118" s="2">
        <v>50</v>
      </c>
      <c r="H118" s="2" t="s">
        <v>54</v>
      </c>
      <c r="I118" s="2" t="s">
        <v>104</v>
      </c>
      <c r="J118" s="4" t="s">
        <v>105</v>
      </c>
      <c r="K118" s="2" t="s">
        <v>289</v>
      </c>
      <c r="M118" s="2">
        <f t="shared" si="5"/>
        <v>105</v>
      </c>
      <c r="N118" s="2">
        <f t="shared" si="6"/>
        <v>73.4</v>
      </c>
      <c r="O118" s="2">
        <f>IF(M118="","",IF(M118&gt;=1000,95,IF(M118&lt;=12.5,50,LOOKUP(M118,{12.5,15,20,30,45,60,75,105,115,150,200,225,250,600,1000},{50,55,60,62,65,68,70,72,75,80,82,85,87,90,95})+(M118-LOOKUP(M118,{12.5,15,20,30,45,60,75,105,115,150,200,225,250,600},{12.5,15,20,30,45,60,75,105,115,150,200,225,250,600}))/(LOOKUP(M118,{12.5,15,20,30,45,60,75,105,115,150,200,225,250,600,1000},{15,20,30,45,60,75,105,115,150,200,225,250,600,1000,1000})-LOOKUP(M118,{12.5,15,20,30,45,60,75,105,115,150,200,225,250,600},{12.5,15,20,30,45,60,75,105,115,150,200,225,250,600}))*(LOOKUP(M118,{12.5,15,20,30,45,60,75,105,115,150,200,225,250,600,1000},{55,60,62,65,68,70,72,75,80,82,85,87,90,95,95})-LOOKUP(M118,{12.5,15,20,30,45,60,75,105,115,150,200,225,250,600,1000},{50,55,60,62,65,68,70,72,75,80,82,85,87,90,95})))))</f>
        <v>72</v>
      </c>
      <c r="P118" s="2">
        <f t="shared" si="7"/>
        <v>8</v>
      </c>
      <c r="Q118" s="2">
        <f t="shared" si="8"/>
        <v>4</v>
      </c>
    </row>
    <row r="119" customHeight="1" spans="1:17">
      <c r="A119" s="2">
        <v>2026</v>
      </c>
      <c r="B119" s="2">
        <v>118</v>
      </c>
      <c r="C119" s="16">
        <f t="shared" si="9"/>
        <v>77.4</v>
      </c>
      <c r="D119" s="2" t="s">
        <v>290</v>
      </c>
      <c r="E119" s="9">
        <v>78</v>
      </c>
      <c r="F119" s="12">
        <v>63</v>
      </c>
      <c r="G119" s="2">
        <v>52</v>
      </c>
      <c r="H119" s="2" t="s">
        <v>37</v>
      </c>
      <c r="I119" s="2" t="s">
        <v>63</v>
      </c>
      <c r="J119" s="4" t="s">
        <v>34</v>
      </c>
      <c r="K119" s="2" t="s">
        <v>291</v>
      </c>
      <c r="M119" s="2">
        <f t="shared" si="5"/>
        <v>60</v>
      </c>
      <c r="N119" s="2">
        <f t="shared" si="6"/>
        <v>72.4</v>
      </c>
      <c r="O119" s="2">
        <f>IF(M119="","",IF(M119&gt;=1000,95,IF(M119&lt;=12.5,50,LOOKUP(M119,{12.5,15,20,30,45,60,75,105,115,150,200,225,250,600,1000},{50,55,60,62,65,68,70,72,75,80,82,85,87,90,95})+(M119-LOOKUP(M119,{12.5,15,20,30,45,60,75,105,115,150,200,225,250,600},{12.5,15,20,30,45,60,75,105,115,150,200,225,250,600}))/(LOOKUP(M119,{12.5,15,20,30,45,60,75,105,115,150,200,225,250,600,1000},{15,20,30,45,60,75,105,115,150,200,225,250,600,1000,1000})-LOOKUP(M119,{12.5,15,20,30,45,60,75,105,115,150,200,225,250,600},{12.5,15,20,30,45,60,75,105,115,150,200,225,250,600}))*(LOOKUP(M119,{12.5,15,20,30,45,60,75,105,115,150,200,225,250,600,1000},{55,60,62,65,68,70,72,75,80,82,85,87,90,95,95})-LOOKUP(M119,{12.5,15,20,30,45,60,75,105,115,150,200,225,250,600,1000},{50,55,60,62,65,68,70,72,75,80,82,85,87,90,95})))))</f>
        <v>68</v>
      </c>
      <c r="P119" s="2">
        <f t="shared" si="7"/>
        <v>10</v>
      </c>
      <c r="Q119" s="2">
        <f t="shared" si="8"/>
        <v>5</v>
      </c>
    </row>
    <row r="120" customHeight="1" spans="1:17">
      <c r="A120" s="2">
        <v>2026</v>
      </c>
      <c r="B120" s="2">
        <v>119</v>
      </c>
      <c r="C120" s="16">
        <f t="shared" si="9"/>
        <v>77.37</v>
      </c>
      <c r="D120" s="2" t="s">
        <v>292</v>
      </c>
      <c r="E120" s="10">
        <v>80</v>
      </c>
      <c r="F120" s="2">
        <v>50</v>
      </c>
      <c r="G120" s="2">
        <v>57</v>
      </c>
      <c r="H120" s="2" t="s">
        <v>94</v>
      </c>
      <c r="I120" s="2" t="s">
        <v>63</v>
      </c>
      <c r="J120" s="4" t="s">
        <v>34</v>
      </c>
      <c r="K120" s="2" t="s">
        <v>293</v>
      </c>
      <c r="M120" s="2">
        <f t="shared" si="5"/>
        <v>60</v>
      </c>
      <c r="N120" s="2">
        <f t="shared" si="6"/>
        <v>71.7</v>
      </c>
      <c r="O120" s="2">
        <f>IF(M120="","",IF(M120&gt;=1000,95,IF(M120&lt;=12.5,50,LOOKUP(M120,{12.5,15,20,30,45,60,75,105,115,150,200,225,250,600,1000},{50,55,60,62,65,68,70,72,75,80,82,85,87,90,95})+(M120-LOOKUP(M120,{12.5,15,20,30,45,60,75,105,115,150,200,225,250,600},{12.5,15,20,30,45,60,75,105,115,150,200,225,250,600}))/(LOOKUP(M120,{12.5,15,20,30,45,60,75,105,115,150,200,225,250,600,1000},{15,20,30,45,60,75,105,115,150,200,225,250,600,1000,1000})-LOOKUP(M120,{12.5,15,20,30,45,60,75,105,115,150,200,225,250,600},{12.5,15,20,30,45,60,75,105,115,150,200,225,250,600}))*(LOOKUP(M120,{12.5,15,20,30,45,60,75,105,115,150,200,225,250,600,1000},{55,60,62,65,68,70,72,75,80,82,85,87,90,95,95})-LOOKUP(M120,{12.5,15,20,30,45,60,75,105,115,150,200,225,250,600,1000},{50,55,60,62,65,68,70,72,75,80,82,85,87,90,95})))))</f>
        <v>68</v>
      </c>
      <c r="P120" s="2">
        <f t="shared" si="7"/>
        <v>12</v>
      </c>
      <c r="Q120" s="2">
        <f t="shared" si="8"/>
        <v>5.67</v>
      </c>
    </row>
    <row r="121" customHeight="1" spans="1:17">
      <c r="A121" s="2">
        <v>2026</v>
      </c>
      <c r="B121" s="2">
        <v>120</v>
      </c>
      <c r="C121" s="16">
        <f t="shared" si="9"/>
        <v>77.34</v>
      </c>
      <c r="D121" s="2" t="s">
        <v>294</v>
      </c>
      <c r="E121" s="9">
        <v>76</v>
      </c>
      <c r="F121" s="12">
        <v>60</v>
      </c>
      <c r="G121" s="2">
        <v>58</v>
      </c>
      <c r="H121" s="2" t="s">
        <v>87</v>
      </c>
      <c r="I121" s="2" t="s">
        <v>63</v>
      </c>
      <c r="J121" s="4" t="s">
        <v>88</v>
      </c>
      <c r="M121" s="2">
        <f t="shared" si="5"/>
        <v>30</v>
      </c>
      <c r="N121" s="2">
        <f t="shared" si="6"/>
        <v>71</v>
      </c>
      <c r="O121" s="2">
        <f>IF(M121="","",IF(M121&gt;=1000,95,IF(M121&lt;=12.5,50,LOOKUP(M121,{12.5,15,20,30,45,60,75,105,115,150,200,225,250,600,1000},{50,55,60,62,65,68,70,72,75,80,82,85,87,90,95})+(M121-LOOKUP(M121,{12.5,15,20,30,45,60,75,105,115,150,200,225,250,600},{12.5,15,20,30,45,60,75,105,115,150,200,225,250,600}))/(LOOKUP(M121,{12.5,15,20,30,45,60,75,105,115,150,200,225,250,600,1000},{15,20,30,45,60,75,105,115,150,200,225,250,600,1000,1000})-LOOKUP(M121,{12.5,15,20,30,45,60,75,105,115,150,200,225,250,600},{12.5,15,20,30,45,60,75,105,115,150,200,225,250,600}))*(LOOKUP(M121,{12.5,15,20,30,45,60,75,105,115,150,200,225,250,600,1000},{55,60,62,65,68,70,72,75,80,82,85,87,90,95,95})-LOOKUP(M121,{12.5,15,20,30,45,60,75,105,115,150,200,225,250,600,1000},{50,55,60,62,65,68,70,72,75,80,82,85,87,90,95})))))</f>
        <v>62</v>
      </c>
      <c r="P121" s="2">
        <f t="shared" si="7"/>
        <v>14</v>
      </c>
      <c r="Q121" s="2">
        <f t="shared" si="8"/>
        <v>6.34</v>
      </c>
    </row>
    <row r="122" customHeight="1" spans="1:17">
      <c r="A122" s="2">
        <v>2026</v>
      </c>
      <c r="B122" s="2">
        <v>121</v>
      </c>
      <c r="C122" s="16">
        <f t="shared" si="9"/>
        <v>77.34</v>
      </c>
      <c r="D122" s="2" t="s">
        <v>295</v>
      </c>
      <c r="E122" s="9">
        <v>76</v>
      </c>
      <c r="F122" s="12">
        <v>61</v>
      </c>
      <c r="G122" s="2">
        <v>56</v>
      </c>
      <c r="H122" s="2" t="s">
        <v>54</v>
      </c>
      <c r="I122" s="2" t="s">
        <v>63</v>
      </c>
      <c r="J122" s="4" t="s">
        <v>88</v>
      </c>
      <c r="M122" s="2">
        <f t="shared" si="5"/>
        <v>30</v>
      </c>
      <c r="N122" s="2">
        <f t="shared" si="6"/>
        <v>71</v>
      </c>
      <c r="O122" s="2">
        <f>IF(M122="","",IF(M122&gt;=1000,95,IF(M122&lt;=12.5,50,LOOKUP(M122,{12.5,15,20,30,45,60,75,105,115,150,200,225,250,600,1000},{50,55,60,62,65,68,70,72,75,80,82,85,87,90,95})+(M122-LOOKUP(M122,{12.5,15,20,30,45,60,75,105,115,150,200,225,250,600},{12.5,15,20,30,45,60,75,105,115,150,200,225,250,600}))/(LOOKUP(M122,{12.5,15,20,30,45,60,75,105,115,150,200,225,250,600,1000},{15,20,30,45,60,75,105,115,150,200,225,250,600,1000,1000})-LOOKUP(M122,{12.5,15,20,30,45,60,75,105,115,150,200,225,250,600},{12.5,15,20,30,45,60,75,105,115,150,200,225,250,600}))*(LOOKUP(M122,{12.5,15,20,30,45,60,75,105,115,150,200,225,250,600,1000},{55,60,62,65,68,70,72,75,80,82,85,87,90,95,95})-LOOKUP(M122,{12.5,15,20,30,45,60,75,105,115,150,200,225,250,600,1000},{50,55,60,62,65,68,70,72,75,80,82,85,87,90,95})))))</f>
        <v>62</v>
      </c>
      <c r="P122" s="2">
        <f t="shared" si="7"/>
        <v>14</v>
      </c>
      <c r="Q122" s="2">
        <f t="shared" si="8"/>
        <v>6.34</v>
      </c>
    </row>
    <row r="123" customHeight="1" spans="1:17">
      <c r="B123" s="2">
        <v>122</v>
      </c>
      <c r="C123" s="16">
        <f t="shared" si="9"/>
        <v>77.3</v>
      </c>
      <c r="D123" s="2" t="s">
        <v>296</v>
      </c>
      <c r="E123" s="9">
        <v>76</v>
      </c>
      <c r="F123" s="12">
        <v>60</v>
      </c>
      <c r="G123" s="2">
        <v>51</v>
      </c>
      <c r="H123" s="2" t="s">
        <v>279</v>
      </c>
      <c r="I123" s="2" t="s">
        <v>28</v>
      </c>
      <c r="J123" s="4" t="s">
        <v>140</v>
      </c>
      <c r="K123" s="2" t="s">
        <v>297</v>
      </c>
      <c r="M123" s="2">
        <f t="shared" si="5"/>
        <v>20</v>
      </c>
      <c r="N123" s="2">
        <f t="shared" si="6"/>
        <v>70.3</v>
      </c>
      <c r="O123" s="2">
        <f>IF(M123="","",IF(M123&gt;=1000,95,IF(M123&lt;=12.5,50,LOOKUP(M123,{12.5,15,20,30,45,60,75,105,115,150,200,225,250,600,1000},{50,55,60,62,65,68,70,72,75,80,82,85,87,90,95})+(M123-LOOKUP(M123,{12.5,15,20,30,45,60,75,105,115,150,200,225,250,600},{12.5,15,20,30,45,60,75,105,115,150,200,225,250,600}))/(LOOKUP(M123,{12.5,15,20,30,45,60,75,105,115,150,200,225,250,600,1000},{15,20,30,45,60,75,105,115,150,200,225,250,600,1000,1000})-LOOKUP(M123,{12.5,15,20,30,45,60,75,105,115,150,200,225,250,600},{12.5,15,20,30,45,60,75,105,115,150,200,225,250,600}))*(LOOKUP(M123,{12.5,15,20,30,45,60,75,105,115,150,200,225,250,600,1000},{55,60,62,65,68,70,72,75,80,82,85,87,90,95,95})-LOOKUP(M123,{12.5,15,20,30,45,60,75,105,115,150,200,225,250,600,1000},{50,55,60,62,65,68,70,72,75,80,82,85,87,90,95})))))</f>
        <v>60</v>
      </c>
      <c r="P123" s="2">
        <f t="shared" si="7"/>
        <v>16</v>
      </c>
      <c r="Q123" s="2">
        <f t="shared" si="8"/>
        <v>7</v>
      </c>
    </row>
    <row r="124" customHeight="1" spans="1:17">
      <c r="A124" s="2">
        <v>2026</v>
      </c>
      <c r="B124" s="2">
        <v>123</v>
      </c>
      <c r="C124" s="16">
        <f t="shared" si="9"/>
        <v>77.1</v>
      </c>
      <c r="D124" s="2" t="s">
        <v>298</v>
      </c>
      <c r="E124" s="9">
        <v>76</v>
      </c>
      <c r="F124" s="12">
        <v>60</v>
      </c>
      <c r="G124" s="2">
        <v>49</v>
      </c>
      <c r="H124" s="2" t="s">
        <v>54</v>
      </c>
      <c r="I124" s="2" t="s">
        <v>28</v>
      </c>
      <c r="J124" s="4" t="s">
        <v>140</v>
      </c>
      <c r="M124" s="2">
        <f t="shared" si="5"/>
        <v>20</v>
      </c>
      <c r="N124" s="2">
        <f t="shared" si="6"/>
        <v>70.1</v>
      </c>
      <c r="O124" s="2">
        <f>IF(M124="","",IF(M124&gt;=1000,95,IF(M124&lt;=12.5,50,LOOKUP(M124,{12.5,15,20,30,45,60,75,105,115,150,200,225,250,600,1000},{50,55,60,62,65,68,70,72,75,80,82,85,87,90,95})+(M124-LOOKUP(M124,{12.5,15,20,30,45,60,75,105,115,150,200,225,250,600},{12.5,15,20,30,45,60,75,105,115,150,200,225,250,600}))/(LOOKUP(M124,{12.5,15,20,30,45,60,75,105,115,150,200,225,250,600,1000},{15,20,30,45,60,75,105,115,150,200,225,250,600,1000,1000})-LOOKUP(M124,{12.5,15,20,30,45,60,75,105,115,150,200,225,250,600},{12.5,15,20,30,45,60,75,105,115,150,200,225,250,600}))*(LOOKUP(M124,{12.5,15,20,30,45,60,75,105,115,150,200,225,250,600,1000},{55,60,62,65,68,70,72,75,80,82,85,87,90,95,95})-LOOKUP(M124,{12.5,15,20,30,45,60,75,105,115,150,200,225,250,600,1000},{50,55,60,62,65,68,70,72,75,80,82,85,87,90,95})))))</f>
        <v>60</v>
      </c>
      <c r="P124" s="2">
        <f t="shared" si="7"/>
        <v>16</v>
      </c>
      <c r="Q124" s="2">
        <f t="shared" si="8"/>
        <v>7</v>
      </c>
    </row>
    <row r="125" customHeight="1" spans="1:17">
      <c r="B125" s="2">
        <v>124</v>
      </c>
      <c r="C125" s="16">
        <f t="shared" si="9"/>
        <v>77.07</v>
      </c>
      <c r="D125" s="2" t="s">
        <v>299</v>
      </c>
      <c r="E125" s="10">
        <v>80</v>
      </c>
      <c r="F125" s="2">
        <v>54</v>
      </c>
      <c r="G125" s="2">
        <v>46</v>
      </c>
      <c r="H125" s="2" t="s">
        <v>300</v>
      </c>
      <c r="I125" s="2" t="s">
        <v>63</v>
      </c>
      <c r="J125" s="4" t="s">
        <v>34</v>
      </c>
      <c r="K125" s="2" t="s">
        <v>301</v>
      </c>
      <c r="M125" s="2">
        <f t="shared" si="5"/>
        <v>60</v>
      </c>
      <c r="N125" s="2">
        <f t="shared" si="6"/>
        <v>71.4</v>
      </c>
      <c r="O125" s="2">
        <f>IF(M125="","",IF(M125&gt;=1000,95,IF(M125&lt;=12.5,50,LOOKUP(M125,{12.5,15,20,30,45,60,75,105,115,150,200,225,250,600,1000},{50,55,60,62,65,68,70,72,75,80,82,85,87,90,95})+(M125-LOOKUP(M125,{12.5,15,20,30,45,60,75,105,115,150,200,225,250,600},{12.5,15,20,30,45,60,75,105,115,150,200,225,250,600}))/(LOOKUP(M125,{12.5,15,20,30,45,60,75,105,115,150,200,225,250,600,1000},{15,20,30,45,60,75,105,115,150,200,225,250,600,1000,1000})-LOOKUP(M125,{12.5,15,20,30,45,60,75,105,115,150,200,225,250,600},{12.5,15,20,30,45,60,75,105,115,150,200,225,250,600}))*(LOOKUP(M125,{12.5,15,20,30,45,60,75,105,115,150,200,225,250,600,1000},{55,60,62,65,68,70,72,75,80,82,85,87,90,95,95})-LOOKUP(M125,{12.5,15,20,30,45,60,75,105,115,150,200,225,250,600,1000},{50,55,60,62,65,68,70,72,75,80,82,85,87,90,95})))))</f>
        <v>68</v>
      </c>
      <c r="P125" s="2">
        <f t="shared" si="7"/>
        <v>12</v>
      </c>
      <c r="Q125" s="2">
        <f t="shared" si="8"/>
        <v>5.67</v>
      </c>
    </row>
    <row r="126" customHeight="1" spans="1:17">
      <c r="A126" s="2">
        <v>2026</v>
      </c>
      <c r="B126" s="2">
        <v>125</v>
      </c>
      <c r="C126" s="16">
        <f t="shared" si="9"/>
        <v>77.04</v>
      </c>
      <c r="D126" s="2" t="s">
        <v>302</v>
      </c>
      <c r="E126" s="9">
        <v>76</v>
      </c>
      <c r="F126" s="12">
        <v>65</v>
      </c>
      <c r="G126" s="2">
        <v>45</v>
      </c>
      <c r="H126" s="2" t="s">
        <v>54</v>
      </c>
      <c r="I126" s="2" t="s">
        <v>63</v>
      </c>
      <c r="J126" s="4" t="s">
        <v>88</v>
      </c>
      <c r="K126" s="2" t="s">
        <v>293</v>
      </c>
      <c r="M126" s="2">
        <f t="shared" si="5"/>
        <v>30</v>
      </c>
      <c r="N126" s="2">
        <f t="shared" si="6"/>
        <v>70.7</v>
      </c>
      <c r="O126" s="2">
        <f>IF(M126="","",IF(M126&gt;=1000,95,IF(M126&lt;=12.5,50,LOOKUP(M126,{12.5,15,20,30,45,60,75,105,115,150,200,225,250,600,1000},{50,55,60,62,65,68,70,72,75,80,82,85,87,90,95})+(M126-LOOKUP(M126,{12.5,15,20,30,45,60,75,105,115,150,200,225,250,600},{12.5,15,20,30,45,60,75,105,115,150,200,225,250,600}))/(LOOKUP(M126,{12.5,15,20,30,45,60,75,105,115,150,200,225,250,600,1000},{15,20,30,45,60,75,105,115,150,200,225,250,600,1000,1000})-LOOKUP(M126,{12.5,15,20,30,45,60,75,105,115,150,200,225,250,600},{12.5,15,20,30,45,60,75,105,115,150,200,225,250,600}))*(LOOKUP(M126,{12.5,15,20,30,45,60,75,105,115,150,200,225,250,600,1000},{55,60,62,65,68,70,72,75,80,82,85,87,90,95,95})-LOOKUP(M126,{12.5,15,20,30,45,60,75,105,115,150,200,225,250,600,1000},{50,55,60,62,65,68,70,72,75,80,82,85,87,90,95})))))</f>
        <v>62</v>
      </c>
      <c r="P126" s="2">
        <f t="shared" si="7"/>
        <v>14</v>
      </c>
      <c r="Q126" s="2">
        <f t="shared" si="8"/>
        <v>6.34</v>
      </c>
    </row>
    <row r="127" customHeight="1" spans="1:17">
      <c r="A127" s="2">
        <v>2026</v>
      </c>
      <c r="B127" s="2">
        <v>126</v>
      </c>
      <c r="C127" s="16">
        <f t="shared" si="9"/>
        <v>77.03</v>
      </c>
      <c r="D127" s="2" t="s">
        <v>303</v>
      </c>
      <c r="E127" s="9">
        <v>76</v>
      </c>
      <c r="F127" s="2">
        <v>50</v>
      </c>
      <c r="G127" s="2">
        <v>35</v>
      </c>
      <c r="H127" s="2" t="s">
        <v>91</v>
      </c>
      <c r="I127" s="2" t="s">
        <v>28</v>
      </c>
      <c r="J127" s="4" t="s">
        <v>77</v>
      </c>
      <c r="M127" s="2">
        <f t="shared" si="5"/>
        <v>12.5</v>
      </c>
      <c r="N127" s="2">
        <f t="shared" si="6"/>
        <v>66.7</v>
      </c>
      <c r="O127" s="2">
        <f>IF(M127="","",IF(M127&gt;=1000,95,IF(M127&lt;=12.5,50,LOOKUP(M127,{12.5,15,20,30,45,60,75,105,115,150,200,225,250,600,1000},{50,55,60,62,65,68,70,72,75,80,82,85,87,90,95})+(M127-LOOKUP(M127,{12.5,15,20,30,45,60,75,105,115,150,200,225,250,600},{12.5,15,20,30,45,60,75,105,115,150,200,225,250,600}))/(LOOKUP(M127,{12.5,15,20,30,45,60,75,105,115,150,200,225,250,600,1000},{15,20,30,45,60,75,105,115,150,200,225,250,600,1000,1000})-LOOKUP(M127,{12.5,15,20,30,45,60,75,105,115,150,200,225,250,600},{12.5,15,20,30,45,60,75,105,115,150,200,225,250,600}))*(LOOKUP(M127,{12.5,15,20,30,45,60,75,105,115,150,200,225,250,600,1000},{55,60,62,65,68,70,72,75,80,82,85,87,90,95,95})-LOOKUP(M127,{12.5,15,20,30,45,60,75,105,115,150,200,225,250,600,1000},{50,55,60,62,65,68,70,72,75,80,82,85,87,90,95})))))</f>
        <v>50</v>
      </c>
      <c r="P127" s="2">
        <f t="shared" si="7"/>
        <v>26</v>
      </c>
      <c r="Q127" s="2">
        <f t="shared" si="8"/>
        <v>10.33</v>
      </c>
    </row>
    <row r="128" customHeight="1" spans="1:17">
      <c r="B128" s="2">
        <v>127</v>
      </c>
      <c r="C128" s="16">
        <f t="shared" si="9"/>
        <v>77</v>
      </c>
      <c r="D128" s="2" t="s">
        <v>304</v>
      </c>
      <c r="E128" s="10">
        <v>80</v>
      </c>
      <c r="F128" s="10">
        <v>80</v>
      </c>
      <c r="G128" s="10">
        <v>85</v>
      </c>
      <c r="H128" s="2" t="s">
        <v>37</v>
      </c>
      <c r="I128" s="2" t="s">
        <v>305</v>
      </c>
      <c r="J128" s="4" t="s">
        <v>123</v>
      </c>
      <c r="K128" s="2" t="s">
        <v>306</v>
      </c>
      <c r="M128" s="2">
        <f t="shared" si="5"/>
        <v>250</v>
      </c>
      <c r="N128" s="2">
        <f t="shared" si="6"/>
        <v>80.5</v>
      </c>
      <c r="O128" s="2">
        <f>IF(M128="","",IF(M128&gt;=1000,95,IF(M128&lt;=12.5,50,LOOKUP(M128,{12.5,15,20,30,45,60,75,105,115,150,200,225,250,600,1000},{50,55,60,62,65,68,70,72,75,80,82,85,87,90,95})+(M128-LOOKUP(M128,{12.5,15,20,30,45,60,75,105,115,150,200,225,250,600},{12.5,15,20,30,45,60,75,105,115,150,200,225,250,600}))/(LOOKUP(M128,{12.5,15,20,30,45,60,75,105,115,150,200,225,250,600,1000},{15,20,30,45,60,75,105,115,150,200,225,250,600,1000,1000})-LOOKUP(M128,{12.5,15,20,30,45,60,75,105,115,150,200,225,250,600},{12.5,15,20,30,45,60,75,105,115,150,200,225,250,600}))*(LOOKUP(M128,{12.5,15,20,30,45,60,75,105,115,150,200,225,250,600,1000},{55,60,62,65,68,70,72,75,80,82,85,87,90,95,95})-LOOKUP(M128,{12.5,15,20,30,45,60,75,105,115,150,200,225,250,600,1000},{50,55,60,62,65,68,70,72,75,80,82,85,87,90,95})))))</f>
        <v>87</v>
      </c>
      <c r="P128" s="2">
        <f t="shared" si="7"/>
        <v>-7</v>
      </c>
      <c r="Q128" s="2">
        <f t="shared" si="8"/>
        <v>-3.5</v>
      </c>
    </row>
    <row r="129" customHeight="1" spans="1:17">
      <c r="B129" s="2">
        <v>128</v>
      </c>
      <c r="C129" s="16">
        <f t="shared" si="9"/>
        <v>77</v>
      </c>
      <c r="D129" s="2" t="s">
        <v>307</v>
      </c>
      <c r="E129" s="9">
        <v>77</v>
      </c>
      <c r="F129" s="9">
        <v>72</v>
      </c>
      <c r="G129" s="2">
        <v>52</v>
      </c>
      <c r="H129" s="2" t="s">
        <v>37</v>
      </c>
      <c r="I129" s="2" t="s">
        <v>183</v>
      </c>
      <c r="J129" s="4" t="s">
        <v>24</v>
      </c>
      <c r="K129" s="2" t="s">
        <v>308</v>
      </c>
      <c r="M129" s="2">
        <f t="shared" si="5"/>
        <v>75</v>
      </c>
      <c r="N129" s="2">
        <f t="shared" si="6"/>
        <v>73.5</v>
      </c>
      <c r="O129" s="2">
        <f>IF(M129="","",IF(M129&gt;=1000,95,IF(M129&lt;=12.5,50,LOOKUP(M129,{12.5,15,20,30,45,60,75,105,115,150,200,225,250,600,1000},{50,55,60,62,65,68,70,72,75,80,82,85,87,90,95})+(M129-LOOKUP(M129,{12.5,15,20,30,45,60,75,105,115,150,200,225,250,600},{12.5,15,20,30,45,60,75,105,115,150,200,225,250,600}))/(LOOKUP(M129,{12.5,15,20,30,45,60,75,105,115,150,200,225,250,600,1000},{15,20,30,45,60,75,105,115,150,200,225,250,600,1000,1000})-LOOKUP(M129,{12.5,15,20,30,45,60,75,105,115,150,200,225,250,600},{12.5,15,20,30,45,60,75,105,115,150,200,225,250,600}))*(LOOKUP(M129,{12.5,15,20,30,45,60,75,105,115,150,200,225,250,600,1000},{55,60,62,65,68,70,72,75,80,82,85,87,90,95,95})-LOOKUP(M129,{12.5,15,20,30,45,60,75,105,115,150,200,225,250,600,1000},{50,55,60,62,65,68,70,72,75,80,82,85,87,90,95})))))</f>
        <v>70</v>
      </c>
      <c r="P129" s="2">
        <f t="shared" si="7"/>
        <v>7</v>
      </c>
      <c r="Q129" s="2">
        <f t="shared" si="8"/>
        <v>3.5</v>
      </c>
    </row>
    <row r="130" customHeight="1" spans="1:17">
      <c r="A130" s="2">
        <v>2026</v>
      </c>
      <c r="B130" s="2">
        <v>129</v>
      </c>
      <c r="C130" s="16">
        <f t="shared" si="9"/>
        <v>77</v>
      </c>
      <c r="D130" s="2" t="s">
        <v>309</v>
      </c>
      <c r="E130" s="9">
        <v>78</v>
      </c>
      <c r="F130" s="2">
        <v>57</v>
      </c>
      <c r="G130" s="2">
        <v>40</v>
      </c>
      <c r="H130" s="2" t="s">
        <v>87</v>
      </c>
      <c r="I130" s="2" t="s">
        <v>63</v>
      </c>
      <c r="J130" s="4" t="s">
        <v>88</v>
      </c>
      <c r="K130" s="2" t="s">
        <v>310</v>
      </c>
      <c r="M130" s="2">
        <f t="shared" ref="M130:M193" si="10">IF(J130="1000+",1000,(LEFT(J130,FIND("-",J130)-1)+RIGHT(J130,LEN(J130)-FIND("-",J130)))/2)</f>
        <v>30</v>
      </c>
      <c r="N130" s="2">
        <f t="shared" ref="N130:N193" si="11">ROUND(E130*0.7+F130*0.2+G130*0.1,2)</f>
        <v>70</v>
      </c>
      <c r="O130" s="2">
        <f>IF(M130="","",IF(M130&gt;=1000,95,IF(M130&lt;=12.5,50,LOOKUP(M130,{12.5,15,20,30,45,60,75,105,115,150,200,225,250,600,1000},{50,55,60,62,65,68,70,72,75,80,82,85,87,90,95})+(M130-LOOKUP(M130,{12.5,15,20,30,45,60,75,105,115,150,200,225,250,600},{12.5,15,20,30,45,60,75,105,115,150,200,225,250,600}))/(LOOKUP(M130,{12.5,15,20,30,45,60,75,105,115,150,200,225,250,600,1000},{15,20,30,45,60,75,105,115,150,200,225,250,600,1000,1000})-LOOKUP(M130,{12.5,15,20,30,45,60,75,105,115,150,200,225,250,600},{12.5,15,20,30,45,60,75,105,115,150,200,225,250,600}))*(LOOKUP(M130,{12.5,15,20,30,45,60,75,105,115,150,200,225,250,600,1000},{55,60,62,65,68,70,72,75,80,82,85,87,90,95,95})-LOOKUP(M130,{12.5,15,20,30,45,60,75,105,115,150,200,225,250,600,1000},{50,55,60,62,65,68,70,72,75,80,82,85,87,90,95})))))</f>
        <v>62</v>
      </c>
      <c r="P130" s="2">
        <f>E130-O130</f>
        <v>16</v>
      </c>
      <c r="Q130" s="2">
        <f>ROUND(SIGN(P130)*IF(ABS(P130)&lt;=10,ABS(P130)*0.5,IF(ABS(P130)&lt;=15,5+(ABS(P130)-10)*(1.67/5),6.67+(ABS(P130)-15)*0.333)),2)</f>
        <v>7</v>
      </c>
    </row>
    <row r="131" customHeight="1" spans="1:17">
      <c r="B131" s="2">
        <v>130</v>
      </c>
      <c r="C131" s="16">
        <f t="shared" si="9"/>
        <v>76.9</v>
      </c>
      <c r="D131" s="2" t="s">
        <v>311</v>
      </c>
      <c r="E131" s="9">
        <v>78</v>
      </c>
      <c r="F131" s="12">
        <v>60</v>
      </c>
      <c r="G131" s="2">
        <v>53</v>
      </c>
      <c r="H131" s="2" t="s">
        <v>94</v>
      </c>
      <c r="I131" s="2" t="s">
        <v>33</v>
      </c>
      <c r="J131" s="4" t="s">
        <v>34</v>
      </c>
      <c r="K131" s="2" t="s">
        <v>312</v>
      </c>
      <c r="M131" s="2">
        <f t="shared" si="10"/>
        <v>60</v>
      </c>
      <c r="N131" s="2">
        <f t="shared" si="11"/>
        <v>71.9</v>
      </c>
      <c r="O131" s="2">
        <f>IF(M131="","",IF(M131&gt;=1000,95,IF(M131&lt;=12.5,50,LOOKUP(M131,{12.5,15,20,30,45,60,75,105,115,150,200,225,250,600,1000},{50,55,60,62,65,68,70,72,75,80,82,85,87,90,95})+(M131-LOOKUP(M131,{12.5,15,20,30,45,60,75,105,115,150,200,225,250,600},{12.5,15,20,30,45,60,75,105,115,150,200,225,250,600}))/(LOOKUP(M131,{12.5,15,20,30,45,60,75,105,115,150,200,225,250,600,1000},{15,20,30,45,60,75,105,115,150,200,225,250,600,1000,1000})-LOOKUP(M131,{12.5,15,20,30,45,60,75,105,115,150,200,225,250,600},{12.5,15,20,30,45,60,75,105,115,150,200,225,250,600}))*(LOOKUP(M131,{12.5,15,20,30,45,60,75,105,115,150,200,225,250,600,1000},{55,60,62,65,68,70,72,75,80,82,85,87,90,95,95})-LOOKUP(M131,{12.5,15,20,30,45,60,75,105,115,150,200,225,250,600,1000},{50,55,60,62,65,68,70,72,75,80,82,85,87,90,95})))))</f>
        <v>68</v>
      </c>
      <c r="P131" s="2">
        <f>E131-O131</f>
        <v>10</v>
      </c>
      <c r="Q131" s="2">
        <f>ROUND(SIGN(P131)*IF(ABS(P131)&lt;=10,ABS(P131)*0.5,IF(ABS(P131)&lt;=15,5+(ABS(P131)-10)*(1.67/5),6.67+(ABS(P131)-15)*0.333)),2)</f>
        <v>5</v>
      </c>
    </row>
    <row r="132" customHeight="1" spans="1:17">
      <c r="A132" s="2">
        <v>2026</v>
      </c>
      <c r="B132" s="2">
        <v>131</v>
      </c>
      <c r="C132" s="16">
        <f t="shared" si="9"/>
        <v>76.84</v>
      </c>
      <c r="D132" s="2" t="s">
        <v>313</v>
      </c>
      <c r="E132" s="9">
        <v>77</v>
      </c>
      <c r="F132" s="2">
        <v>52</v>
      </c>
      <c r="G132" s="2">
        <v>52</v>
      </c>
      <c r="H132" s="2" t="s">
        <v>54</v>
      </c>
      <c r="I132" s="2" t="s">
        <v>28</v>
      </c>
      <c r="J132" s="4" t="s">
        <v>140</v>
      </c>
      <c r="K132" s="2" t="s">
        <v>208</v>
      </c>
      <c r="M132" s="2">
        <f t="shared" si="10"/>
        <v>20</v>
      </c>
      <c r="N132" s="2">
        <f t="shared" si="11"/>
        <v>69.5</v>
      </c>
      <c r="O132" s="2">
        <f>IF(M132="","",IF(M132&gt;=1000,95,IF(M132&lt;=12.5,50,LOOKUP(M132,{12.5,15,20,30,45,60,75,105,115,150,200,225,250,600,1000},{50,55,60,62,65,68,70,72,75,80,82,85,87,90,95})+(M132-LOOKUP(M132,{12.5,15,20,30,45,60,75,105,115,150,200,225,250,600},{12.5,15,20,30,45,60,75,105,115,150,200,225,250,600}))/(LOOKUP(M132,{12.5,15,20,30,45,60,75,105,115,150,200,225,250,600,1000},{15,20,30,45,60,75,105,115,150,200,225,250,600,1000,1000})-LOOKUP(M132,{12.5,15,20,30,45,60,75,105,115,150,200,225,250,600},{12.5,15,20,30,45,60,75,105,115,150,200,225,250,600}))*(LOOKUP(M132,{12.5,15,20,30,45,60,75,105,115,150,200,225,250,600,1000},{55,60,62,65,68,70,72,75,80,82,85,87,90,95,95})-LOOKUP(M132,{12.5,15,20,30,45,60,75,105,115,150,200,225,250,600,1000},{50,55,60,62,65,68,70,72,75,80,82,85,87,90,95})))))</f>
        <v>60</v>
      </c>
      <c r="P132" s="2">
        <f>E132-O132</f>
        <v>17</v>
      </c>
      <c r="Q132" s="2">
        <f>ROUND(SIGN(P132)*IF(ABS(P132)&lt;=10,ABS(P132)*0.5,IF(ABS(P132)&lt;=15,5+(ABS(P132)-10)*(1.67/5),6.67+(ABS(P132)-15)*0.333)),2)</f>
        <v>7.34</v>
      </c>
    </row>
    <row r="133" customHeight="1" spans="1:17">
      <c r="A133" s="2">
        <v>2026</v>
      </c>
      <c r="B133" s="2">
        <v>132</v>
      </c>
      <c r="C133" s="16">
        <f t="shared" ref="C133:C196" si="12">ROUND(MAX(MIN(N133+Q133,100),0),2)</f>
        <v>76.8</v>
      </c>
      <c r="D133" s="2" t="s">
        <v>314</v>
      </c>
      <c r="E133" s="9">
        <v>76</v>
      </c>
      <c r="F133" s="9">
        <v>78</v>
      </c>
      <c r="G133" s="10">
        <v>80</v>
      </c>
      <c r="H133" s="2" t="s">
        <v>87</v>
      </c>
      <c r="I133" s="2" t="s">
        <v>104</v>
      </c>
      <c r="J133" s="4" t="s">
        <v>51</v>
      </c>
      <c r="M133" s="2">
        <f t="shared" si="10"/>
        <v>200</v>
      </c>
      <c r="N133" s="2">
        <f t="shared" si="11"/>
        <v>76.8</v>
      </c>
    </row>
    <row r="134" customHeight="1" spans="1:17">
      <c r="B134" s="2">
        <v>133</v>
      </c>
      <c r="C134" s="16">
        <f t="shared" si="12"/>
        <v>76.7</v>
      </c>
      <c r="D134" s="2" t="s">
        <v>315</v>
      </c>
      <c r="E134" s="10">
        <v>81</v>
      </c>
      <c r="F134" s="12">
        <v>60</v>
      </c>
      <c r="G134" s="2">
        <v>35</v>
      </c>
      <c r="H134" s="2" t="s">
        <v>17</v>
      </c>
      <c r="I134" s="2" t="s">
        <v>23</v>
      </c>
      <c r="J134" s="4" t="s">
        <v>105</v>
      </c>
      <c r="K134" s="2" t="s">
        <v>316</v>
      </c>
      <c r="M134" s="2">
        <f t="shared" si="10"/>
        <v>105</v>
      </c>
      <c r="N134" s="2">
        <f t="shared" si="11"/>
        <v>72.2</v>
      </c>
      <c r="O134" s="2">
        <f>IF(M134="","",IF(M134&gt;=1000,95,IF(M134&lt;=12.5,50,LOOKUP(M134,{12.5,15,20,30,45,60,75,105,115,150,200,225,250,600,1000},{50,55,60,62,65,68,70,72,75,80,82,85,87,90,95})+(M134-LOOKUP(M134,{12.5,15,20,30,45,60,75,105,115,150,200,225,250,600},{12.5,15,20,30,45,60,75,105,115,150,200,225,250,600}))/(LOOKUP(M134,{12.5,15,20,30,45,60,75,105,115,150,200,225,250,600,1000},{15,20,30,45,60,75,105,115,150,200,225,250,600,1000,1000})-LOOKUP(M134,{12.5,15,20,30,45,60,75,105,115,150,200,225,250,600},{12.5,15,20,30,45,60,75,105,115,150,200,225,250,600}))*(LOOKUP(M134,{12.5,15,20,30,45,60,75,105,115,150,200,225,250,600,1000},{55,60,62,65,68,70,72,75,80,82,85,87,90,95,95})-LOOKUP(M134,{12.5,15,20,30,45,60,75,105,115,150,200,225,250,600,1000},{50,55,60,62,65,68,70,72,75,80,82,85,87,90,95})))))</f>
        <v>72</v>
      </c>
      <c r="P134" s="2">
        <f t="shared" ref="P134:P197" si="13">E134-O134</f>
        <v>9</v>
      </c>
      <c r="Q134" s="2">
        <f t="shared" ref="Q134:Q197" si="14">ROUND(SIGN(P134)*IF(ABS(P134)&lt;=10,ABS(P134)*0.5,IF(ABS(P134)&lt;=15,5+(ABS(P134)-10)*(1.67/5),6.67+(ABS(P134)-15)*0.333)),2)</f>
        <v>4.5</v>
      </c>
    </row>
    <row r="135" customHeight="1" spans="1:17">
      <c r="A135" s="2">
        <v>2026</v>
      </c>
      <c r="B135" s="2">
        <v>134</v>
      </c>
      <c r="C135" s="16">
        <f t="shared" si="12"/>
        <v>76.63</v>
      </c>
      <c r="D135" s="2" t="s">
        <v>317</v>
      </c>
      <c r="E135" s="10">
        <v>80</v>
      </c>
      <c r="F135" s="8">
        <v>94</v>
      </c>
      <c r="G135" s="10">
        <v>85</v>
      </c>
      <c r="H135" s="2" t="s">
        <v>119</v>
      </c>
      <c r="I135" s="2" t="s">
        <v>50</v>
      </c>
      <c r="J135" s="4" t="s">
        <v>43</v>
      </c>
      <c r="K135" s="2" t="s">
        <v>318</v>
      </c>
      <c r="M135" s="2">
        <f t="shared" si="10"/>
        <v>1000</v>
      </c>
      <c r="N135" s="2">
        <f t="shared" si="11"/>
        <v>83.3</v>
      </c>
      <c r="O135" s="2">
        <f>IF(M135="","",IF(M135&gt;=1000,95,IF(M135&lt;=12.5,50,LOOKUP(M135,{12.5,15,20,30,45,60,75,105,115,150,200,225,250,600,1000},{50,55,60,62,65,68,70,72,75,80,82,85,87,90,95})+(M135-LOOKUP(M135,{12.5,15,20,30,45,60,75,105,115,150,200,225,250,600},{12.5,15,20,30,45,60,75,105,115,150,200,225,250,600}))/(LOOKUP(M135,{12.5,15,20,30,45,60,75,105,115,150,200,225,250,600,1000},{15,20,30,45,60,75,105,115,150,200,225,250,600,1000,1000})-LOOKUP(M135,{12.5,15,20,30,45,60,75,105,115,150,200,225,250,600},{12.5,15,20,30,45,60,75,105,115,150,200,225,250,600}))*(LOOKUP(M135,{12.5,15,20,30,45,60,75,105,115,150,200,225,250,600,1000},{55,60,62,65,68,70,72,75,80,82,85,87,90,95,95})-LOOKUP(M135,{12.5,15,20,30,45,60,75,105,115,150,200,225,250,600,1000},{50,55,60,62,65,68,70,72,75,80,82,85,87,90,95})))))</f>
        <v>95</v>
      </c>
      <c r="P135" s="2">
        <f t="shared" si="13"/>
        <v>-15</v>
      </c>
      <c r="Q135" s="2">
        <f t="shared" si="14"/>
        <v>-6.67</v>
      </c>
    </row>
    <row r="136" customHeight="1" spans="1:17">
      <c r="A136" s="2">
        <v>2026</v>
      </c>
      <c r="B136" s="2">
        <v>135</v>
      </c>
      <c r="C136" s="16">
        <f t="shared" si="12"/>
        <v>76.6</v>
      </c>
      <c r="D136" s="2" t="s">
        <v>319</v>
      </c>
      <c r="E136" s="9">
        <v>75</v>
      </c>
      <c r="F136" s="9">
        <v>75</v>
      </c>
      <c r="G136" s="9">
        <v>76</v>
      </c>
      <c r="H136" s="2" t="s">
        <v>87</v>
      </c>
      <c r="I136" s="2" t="s">
        <v>104</v>
      </c>
      <c r="J136" s="4" t="s">
        <v>105</v>
      </c>
      <c r="M136" s="2">
        <f t="shared" si="10"/>
        <v>105</v>
      </c>
      <c r="N136" s="2">
        <f t="shared" si="11"/>
        <v>75.1</v>
      </c>
      <c r="O136" s="2">
        <f>IF(M136="","",IF(M136&gt;=1000,95,IF(M136&lt;=12.5,50,LOOKUP(M136,{12.5,15,20,30,45,60,75,105,115,150,200,225,250,600,1000},{50,55,60,62,65,68,70,72,75,80,82,85,87,90,95})+(M136-LOOKUP(M136,{12.5,15,20,30,45,60,75,105,115,150,200,225,250,600},{12.5,15,20,30,45,60,75,105,115,150,200,225,250,600}))/(LOOKUP(M136,{12.5,15,20,30,45,60,75,105,115,150,200,225,250,600,1000},{15,20,30,45,60,75,105,115,150,200,225,250,600,1000,1000})-LOOKUP(M136,{12.5,15,20,30,45,60,75,105,115,150,200,225,250,600},{12.5,15,20,30,45,60,75,105,115,150,200,225,250,600}))*(LOOKUP(M136,{12.5,15,20,30,45,60,75,105,115,150,200,225,250,600,1000},{55,60,62,65,68,70,72,75,80,82,85,87,90,95,95})-LOOKUP(M136,{12.5,15,20,30,45,60,75,105,115,150,200,225,250,600,1000},{50,55,60,62,65,68,70,72,75,80,82,85,87,90,95})))))</f>
        <v>72</v>
      </c>
      <c r="P136" s="2">
        <f t="shared" si="13"/>
        <v>3</v>
      </c>
      <c r="Q136" s="2">
        <f t="shared" si="14"/>
        <v>1.5</v>
      </c>
    </row>
    <row r="137" customHeight="1" spans="1:17">
      <c r="A137" s="2">
        <v>2026</v>
      </c>
      <c r="B137" s="2">
        <v>136</v>
      </c>
      <c r="C137" s="16">
        <f t="shared" si="12"/>
        <v>76.54</v>
      </c>
      <c r="D137" s="2" t="s">
        <v>320</v>
      </c>
      <c r="E137" s="9">
        <v>79</v>
      </c>
      <c r="F137" s="2">
        <v>52</v>
      </c>
      <c r="G137" s="2">
        <v>45</v>
      </c>
      <c r="H137" s="2" t="s">
        <v>54</v>
      </c>
      <c r="I137" s="2" t="s">
        <v>321</v>
      </c>
      <c r="J137" s="4" t="s">
        <v>38</v>
      </c>
      <c r="K137" s="2" t="s">
        <v>322</v>
      </c>
      <c r="M137" s="2">
        <f t="shared" si="10"/>
        <v>45</v>
      </c>
      <c r="N137" s="2">
        <f t="shared" si="11"/>
        <v>70.2</v>
      </c>
      <c r="O137" s="2">
        <f>IF(M137="","",IF(M137&gt;=1000,95,IF(M137&lt;=12.5,50,LOOKUP(M137,{12.5,15,20,30,45,60,75,105,115,150,200,225,250,600,1000},{50,55,60,62,65,68,70,72,75,80,82,85,87,90,95})+(M137-LOOKUP(M137,{12.5,15,20,30,45,60,75,105,115,150,200,225,250,600},{12.5,15,20,30,45,60,75,105,115,150,200,225,250,600}))/(LOOKUP(M137,{12.5,15,20,30,45,60,75,105,115,150,200,225,250,600,1000},{15,20,30,45,60,75,105,115,150,200,225,250,600,1000,1000})-LOOKUP(M137,{12.5,15,20,30,45,60,75,105,115,150,200,225,250,600},{12.5,15,20,30,45,60,75,105,115,150,200,225,250,600}))*(LOOKUP(M137,{12.5,15,20,30,45,60,75,105,115,150,200,225,250,600,1000},{55,60,62,65,68,70,72,75,80,82,85,87,90,95,95})-LOOKUP(M137,{12.5,15,20,30,45,60,75,105,115,150,200,225,250,600,1000},{50,55,60,62,65,68,70,72,75,80,82,85,87,90,95})))))</f>
        <v>65</v>
      </c>
      <c r="P137" s="2">
        <f t="shared" si="13"/>
        <v>14</v>
      </c>
      <c r="Q137" s="2">
        <f t="shared" si="14"/>
        <v>6.34</v>
      </c>
    </row>
    <row r="138" customHeight="1" spans="1:17">
      <c r="A138" s="2">
        <v>2026</v>
      </c>
      <c r="B138" s="2">
        <v>137</v>
      </c>
      <c r="C138" s="16">
        <f t="shared" si="12"/>
        <v>76.5</v>
      </c>
      <c r="D138" s="2" t="s">
        <v>323</v>
      </c>
      <c r="E138" s="9">
        <v>78</v>
      </c>
      <c r="F138" s="8">
        <v>90</v>
      </c>
      <c r="G138" s="2">
        <v>59</v>
      </c>
      <c r="H138" s="2" t="s">
        <v>37</v>
      </c>
      <c r="I138" s="2" t="s">
        <v>159</v>
      </c>
      <c r="J138" s="4" t="s">
        <v>51</v>
      </c>
      <c r="K138" s="2" t="s">
        <v>324</v>
      </c>
      <c r="M138" s="2">
        <f t="shared" si="10"/>
        <v>200</v>
      </c>
      <c r="N138" s="2">
        <f t="shared" si="11"/>
        <v>78.5</v>
      </c>
      <c r="O138" s="2">
        <f>IF(M138="","",IF(M138&gt;=1000,95,IF(M138&lt;=12.5,50,LOOKUP(M138,{12.5,15,20,30,45,60,75,105,115,150,200,225,250,600,1000},{50,55,60,62,65,68,70,72,75,80,82,85,87,90,95})+(M138-LOOKUP(M138,{12.5,15,20,30,45,60,75,105,115,150,200,225,250,600},{12.5,15,20,30,45,60,75,105,115,150,200,225,250,600}))/(LOOKUP(M138,{12.5,15,20,30,45,60,75,105,115,150,200,225,250,600,1000},{15,20,30,45,60,75,105,115,150,200,225,250,600,1000,1000})-LOOKUP(M138,{12.5,15,20,30,45,60,75,105,115,150,200,225,250,600},{12.5,15,20,30,45,60,75,105,115,150,200,225,250,600}))*(LOOKUP(M138,{12.5,15,20,30,45,60,75,105,115,150,200,225,250,600,1000},{55,60,62,65,68,70,72,75,80,82,85,87,90,95,95})-LOOKUP(M138,{12.5,15,20,30,45,60,75,105,115,150,200,225,250,600,1000},{50,55,60,62,65,68,70,72,75,80,82,85,87,90,95})))))</f>
        <v>82</v>
      </c>
      <c r="P138" s="2">
        <f t="shared" si="13"/>
        <v>-4</v>
      </c>
      <c r="Q138" s="2">
        <f t="shared" si="14"/>
        <v>-2</v>
      </c>
    </row>
    <row r="139" customHeight="1" spans="1:17">
      <c r="B139" s="2">
        <v>138</v>
      </c>
      <c r="C139" s="16">
        <f t="shared" si="12"/>
        <v>76.5</v>
      </c>
      <c r="D139" s="2" t="s">
        <v>325</v>
      </c>
      <c r="E139" s="9">
        <v>74</v>
      </c>
      <c r="F139" s="9">
        <v>75</v>
      </c>
      <c r="G139" s="9">
        <v>77</v>
      </c>
      <c r="H139" s="2" t="s">
        <v>326</v>
      </c>
      <c r="I139" s="2" t="s">
        <v>23</v>
      </c>
      <c r="J139" s="4" t="s">
        <v>24</v>
      </c>
      <c r="K139" s="2" t="s">
        <v>327</v>
      </c>
      <c r="M139" s="2">
        <f t="shared" si="10"/>
        <v>75</v>
      </c>
      <c r="N139" s="2">
        <f t="shared" si="11"/>
        <v>74.5</v>
      </c>
      <c r="O139" s="2">
        <f>IF(M139="","",IF(M139&gt;=1000,95,IF(M139&lt;=12.5,50,LOOKUP(M139,{12.5,15,20,30,45,60,75,105,115,150,200,225,250,600,1000},{50,55,60,62,65,68,70,72,75,80,82,85,87,90,95})+(M139-LOOKUP(M139,{12.5,15,20,30,45,60,75,105,115,150,200,225,250,600},{12.5,15,20,30,45,60,75,105,115,150,200,225,250,600}))/(LOOKUP(M139,{12.5,15,20,30,45,60,75,105,115,150,200,225,250,600,1000},{15,20,30,45,60,75,105,115,150,200,225,250,600,1000,1000})-LOOKUP(M139,{12.5,15,20,30,45,60,75,105,115,150,200,225,250,600},{12.5,15,20,30,45,60,75,105,115,150,200,225,250,600}))*(LOOKUP(M139,{12.5,15,20,30,45,60,75,105,115,150,200,225,250,600,1000},{55,60,62,65,68,70,72,75,80,82,85,87,90,95,95})-LOOKUP(M139,{12.5,15,20,30,45,60,75,105,115,150,200,225,250,600,1000},{50,55,60,62,65,68,70,72,75,80,82,85,87,90,95})))))</f>
        <v>70</v>
      </c>
      <c r="P139" s="2">
        <f t="shared" si="13"/>
        <v>4</v>
      </c>
      <c r="Q139" s="2">
        <f t="shared" si="14"/>
        <v>2</v>
      </c>
    </row>
    <row r="140" customHeight="1" spans="1:17">
      <c r="B140" s="2">
        <v>139</v>
      </c>
      <c r="C140" s="16">
        <f t="shared" si="12"/>
        <v>76.5</v>
      </c>
      <c r="D140" s="2" t="s">
        <v>328</v>
      </c>
      <c r="E140" s="9">
        <v>76</v>
      </c>
      <c r="F140" s="9">
        <v>71</v>
      </c>
      <c r="G140" s="2">
        <v>51</v>
      </c>
      <c r="H140" s="2" t="s">
        <v>329</v>
      </c>
      <c r="I140" s="2" t="s">
        <v>33</v>
      </c>
      <c r="J140" s="4" t="s">
        <v>34</v>
      </c>
      <c r="K140" s="2" t="s">
        <v>330</v>
      </c>
      <c r="M140" s="2">
        <f t="shared" si="10"/>
        <v>60</v>
      </c>
      <c r="N140" s="2">
        <f t="shared" si="11"/>
        <v>72.5</v>
      </c>
      <c r="O140" s="2">
        <f>IF(M140="","",IF(M140&gt;=1000,95,IF(M140&lt;=12.5,50,LOOKUP(M140,{12.5,15,20,30,45,60,75,105,115,150,200,225,250,600,1000},{50,55,60,62,65,68,70,72,75,80,82,85,87,90,95})+(M140-LOOKUP(M140,{12.5,15,20,30,45,60,75,105,115,150,200,225,250,600},{12.5,15,20,30,45,60,75,105,115,150,200,225,250,600}))/(LOOKUP(M140,{12.5,15,20,30,45,60,75,105,115,150,200,225,250,600,1000},{15,20,30,45,60,75,105,115,150,200,225,250,600,1000,1000})-LOOKUP(M140,{12.5,15,20,30,45,60,75,105,115,150,200,225,250,600},{12.5,15,20,30,45,60,75,105,115,150,200,225,250,600}))*(LOOKUP(M140,{12.5,15,20,30,45,60,75,105,115,150,200,225,250,600,1000},{55,60,62,65,68,70,72,75,80,82,85,87,90,95,95})-LOOKUP(M140,{12.5,15,20,30,45,60,75,105,115,150,200,225,250,600,1000},{50,55,60,62,65,68,70,72,75,80,82,85,87,90,95})))))</f>
        <v>68</v>
      </c>
      <c r="P140" s="2">
        <f t="shared" si="13"/>
        <v>8</v>
      </c>
      <c r="Q140" s="2">
        <f t="shared" si="14"/>
        <v>4</v>
      </c>
    </row>
    <row r="141" customHeight="1" spans="1:17">
      <c r="A141" s="2">
        <v>2026</v>
      </c>
      <c r="B141" s="2">
        <v>140</v>
      </c>
      <c r="C141" s="16">
        <f t="shared" si="12"/>
        <v>76.5</v>
      </c>
      <c r="D141" s="2" t="s">
        <v>331</v>
      </c>
      <c r="E141" s="9">
        <v>76</v>
      </c>
      <c r="F141" s="2">
        <v>58</v>
      </c>
      <c r="G141" s="2">
        <v>47</v>
      </c>
      <c r="H141" s="2" t="s">
        <v>54</v>
      </c>
      <c r="I141" s="2" t="s">
        <v>28</v>
      </c>
      <c r="J141" s="4" t="s">
        <v>140</v>
      </c>
      <c r="K141" s="2" t="s">
        <v>332</v>
      </c>
      <c r="M141" s="2">
        <f t="shared" si="10"/>
        <v>20</v>
      </c>
      <c r="N141" s="2">
        <f t="shared" si="11"/>
        <v>69.5</v>
      </c>
      <c r="O141" s="2">
        <f>IF(M141="","",IF(M141&gt;=1000,95,IF(M141&lt;=12.5,50,LOOKUP(M141,{12.5,15,20,30,45,60,75,105,115,150,200,225,250,600,1000},{50,55,60,62,65,68,70,72,75,80,82,85,87,90,95})+(M141-LOOKUP(M141,{12.5,15,20,30,45,60,75,105,115,150,200,225,250,600},{12.5,15,20,30,45,60,75,105,115,150,200,225,250,600}))/(LOOKUP(M141,{12.5,15,20,30,45,60,75,105,115,150,200,225,250,600,1000},{15,20,30,45,60,75,105,115,150,200,225,250,600,1000,1000})-LOOKUP(M141,{12.5,15,20,30,45,60,75,105,115,150,200,225,250,600},{12.5,15,20,30,45,60,75,105,115,150,200,225,250,600}))*(LOOKUP(M141,{12.5,15,20,30,45,60,75,105,115,150,200,225,250,600,1000},{55,60,62,65,68,70,72,75,80,82,85,87,90,95,95})-LOOKUP(M141,{12.5,15,20,30,45,60,75,105,115,150,200,225,250,600,1000},{50,55,60,62,65,68,70,72,75,80,82,85,87,90,95})))))</f>
        <v>60</v>
      </c>
      <c r="P141" s="2">
        <f t="shared" si="13"/>
        <v>16</v>
      </c>
      <c r="Q141" s="2">
        <f t="shared" si="14"/>
        <v>7</v>
      </c>
    </row>
    <row r="142" customHeight="1" spans="1:17">
      <c r="A142" s="2">
        <v>2026</v>
      </c>
      <c r="B142" s="2">
        <v>141</v>
      </c>
      <c r="C142" s="16">
        <f t="shared" si="12"/>
        <v>76.5</v>
      </c>
      <c r="D142" s="2" t="s">
        <v>333</v>
      </c>
      <c r="E142" s="10">
        <v>81</v>
      </c>
      <c r="F142" s="2">
        <v>56</v>
      </c>
      <c r="G142" s="2">
        <v>56</v>
      </c>
      <c r="H142" s="2" t="s">
        <v>87</v>
      </c>
      <c r="I142" s="2" t="s">
        <v>104</v>
      </c>
      <c r="J142" s="4" t="s">
        <v>148</v>
      </c>
      <c r="K142" s="2" t="s">
        <v>223</v>
      </c>
      <c r="M142" s="2">
        <f t="shared" si="10"/>
        <v>115</v>
      </c>
      <c r="N142" s="2">
        <f t="shared" si="11"/>
        <v>73.5</v>
      </c>
      <c r="O142" s="2">
        <f>IF(M142="","",IF(M142&gt;=1000,95,IF(M142&lt;=12.5,50,LOOKUP(M142,{12.5,15,20,30,45,60,75,105,115,150,200,225,250,600,1000},{50,55,60,62,65,68,70,72,75,80,82,85,87,90,95})+(M142-LOOKUP(M142,{12.5,15,20,30,45,60,75,105,115,150,200,225,250,600},{12.5,15,20,30,45,60,75,105,115,150,200,225,250,600}))/(LOOKUP(M142,{12.5,15,20,30,45,60,75,105,115,150,200,225,250,600,1000},{15,20,30,45,60,75,105,115,150,200,225,250,600,1000,1000})-LOOKUP(M142,{12.5,15,20,30,45,60,75,105,115,150,200,225,250,600},{12.5,15,20,30,45,60,75,105,115,150,200,225,250,600}))*(LOOKUP(M142,{12.5,15,20,30,45,60,75,105,115,150,200,225,250,600,1000},{55,60,62,65,68,70,72,75,80,82,85,87,90,95,95})-LOOKUP(M142,{12.5,15,20,30,45,60,75,105,115,150,200,225,250,600,1000},{50,55,60,62,65,68,70,72,75,80,82,85,87,90,95})))))</f>
        <v>75</v>
      </c>
      <c r="P142" s="2">
        <f t="shared" si="13"/>
        <v>6</v>
      </c>
      <c r="Q142" s="2">
        <f t="shared" si="14"/>
        <v>3</v>
      </c>
    </row>
    <row r="143" customHeight="1" spans="1:17">
      <c r="A143" s="2">
        <v>2026</v>
      </c>
      <c r="B143" s="2">
        <v>142</v>
      </c>
      <c r="C143" s="16">
        <f t="shared" si="12"/>
        <v>76.37</v>
      </c>
      <c r="D143" s="2" t="s">
        <v>334</v>
      </c>
      <c r="E143" s="9">
        <v>78</v>
      </c>
      <c r="F143" s="2">
        <v>53</v>
      </c>
      <c r="G143" s="2">
        <v>35</v>
      </c>
      <c r="H143" s="2" t="s">
        <v>54</v>
      </c>
      <c r="I143" s="2" t="s">
        <v>28</v>
      </c>
      <c r="J143" s="4" t="s">
        <v>140</v>
      </c>
      <c r="K143" s="2" t="s">
        <v>335</v>
      </c>
      <c r="M143" s="2">
        <f t="shared" si="10"/>
        <v>20</v>
      </c>
      <c r="N143" s="2">
        <f t="shared" si="11"/>
        <v>68.7</v>
      </c>
      <c r="O143" s="2">
        <f>IF(M143="","",IF(M143&gt;=1000,95,IF(M143&lt;=12.5,50,LOOKUP(M143,{12.5,15,20,30,45,60,75,105,115,150,200,225,250,600,1000},{50,55,60,62,65,68,70,72,75,80,82,85,87,90,95})+(M143-LOOKUP(M143,{12.5,15,20,30,45,60,75,105,115,150,200,225,250,600},{12.5,15,20,30,45,60,75,105,115,150,200,225,250,600}))/(LOOKUP(M143,{12.5,15,20,30,45,60,75,105,115,150,200,225,250,600,1000},{15,20,30,45,60,75,105,115,150,200,225,250,600,1000,1000})-LOOKUP(M143,{12.5,15,20,30,45,60,75,105,115,150,200,225,250,600},{12.5,15,20,30,45,60,75,105,115,150,200,225,250,600}))*(LOOKUP(M143,{12.5,15,20,30,45,60,75,105,115,150,200,225,250,600,1000},{55,60,62,65,68,70,72,75,80,82,85,87,90,95,95})-LOOKUP(M143,{12.5,15,20,30,45,60,75,105,115,150,200,225,250,600,1000},{50,55,60,62,65,68,70,72,75,80,82,85,87,90,95})))))</f>
        <v>60</v>
      </c>
      <c r="P143" s="2">
        <f t="shared" si="13"/>
        <v>18</v>
      </c>
      <c r="Q143" s="2">
        <f t="shared" si="14"/>
        <v>7.67</v>
      </c>
    </row>
    <row r="144" customHeight="1" spans="1:17">
      <c r="B144" s="2">
        <v>143</v>
      </c>
      <c r="C144" s="16">
        <f t="shared" si="12"/>
        <v>76.37</v>
      </c>
      <c r="D144" s="2" t="s">
        <v>336</v>
      </c>
      <c r="E144" s="10">
        <v>86</v>
      </c>
      <c r="F144" s="2">
        <v>20</v>
      </c>
      <c r="G144" s="2">
        <v>25</v>
      </c>
      <c r="H144" s="2" t="s">
        <v>122</v>
      </c>
      <c r="I144" s="2" t="s">
        <v>28</v>
      </c>
      <c r="J144" s="4" t="s">
        <v>88</v>
      </c>
      <c r="K144" s="2" t="s">
        <v>337</v>
      </c>
      <c r="M144" s="2">
        <f t="shared" si="10"/>
        <v>30</v>
      </c>
      <c r="N144" s="2">
        <f t="shared" si="11"/>
        <v>66.7</v>
      </c>
      <c r="O144" s="2">
        <f>IF(M144="","",IF(M144&gt;=1000,95,IF(M144&lt;=12.5,50,LOOKUP(M144,{12.5,15,20,30,45,60,75,105,115,150,200,225,250,600,1000},{50,55,60,62,65,68,70,72,75,80,82,85,87,90,95})+(M144-LOOKUP(M144,{12.5,15,20,30,45,60,75,105,115,150,200,225,250,600},{12.5,15,20,30,45,60,75,105,115,150,200,225,250,600}))/(LOOKUP(M144,{12.5,15,20,30,45,60,75,105,115,150,200,225,250,600,1000},{15,20,30,45,60,75,105,115,150,200,225,250,600,1000,1000})-LOOKUP(M144,{12.5,15,20,30,45,60,75,105,115,150,200,225,250,600},{12.5,15,20,30,45,60,75,105,115,150,200,225,250,600}))*(LOOKUP(M144,{12.5,15,20,30,45,60,75,105,115,150,200,225,250,600,1000},{55,60,62,65,68,70,72,75,80,82,85,87,90,95,95})-LOOKUP(M144,{12.5,15,20,30,45,60,75,105,115,150,200,225,250,600,1000},{50,55,60,62,65,68,70,72,75,80,82,85,87,90,95})))))</f>
        <v>62</v>
      </c>
      <c r="P144" s="2">
        <f t="shared" si="13"/>
        <v>24</v>
      </c>
      <c r="Q144" s="2">
        <f t="shared" si="14"/>
        <v>9.67</v>
      </c>
    </row>
    <row r="145" customHeight="1" spans="1:17">
      <c r="B145" s="2">
        <v>144</v>
      </c>
      <c r="C145" s="16">
        <f t="shared" si="12"/>
        <v>76.3</v>
      </c>
      <c r="D145" s="2" t="s">
        <v>338</v>
      </c>
      <c r="E145" s="10">
        <v>82</v>
      </c>
      <c r="F145" s="2">
        <v>56</v>
      </c>
      <c r="G145" s="2">
        <v>27</v>
      </c>
      <c r="H145" s="2" t="s">
        <v>339</v>
      </c>
      <c r="I145" s="2" t="s">
        <v>28</v>
      </c>
      <c r="J145" s="4" t="s">
        <v>105</v>
      </c>
      <c r="K145" s="2" t="s">
        <v>340</v>
      </c>
      <c r="M145" s="2">
        <f t="shared" si="10"/>
        <v>105</v>
      </c>
      <c r="N145" s="2">
        <f t="shared" si="11"/>
        <v>71.3</v>
      </c>
      <c r="O145" s="2">
        <f>IF(M145="","",IF(M145&gt;=1000,95,IF(M145&lt;=12.5,50,LOOKUP(M145,{12.5,15,20,30,45,60,75,105,115,150,200,225,250,600,1000},{50,55,60,62,65,68,70,72,75,80,82,85,87,90,95})+(M145-LOOKUP(M145,{12.5,15,20,30,45,60,75,105,115,150,200,225,250,600},{12.5,15,20,30,45,60,75,105,115,150,200,225,250,600}))/(LOOKUP(M145,{12.5,15,20,30,45,60,75,105,115,150,200,225,250,600,1000},{15,20,30,45,60,75,105,115,150,200,225,250,600,1000,1000})-LOOKUP(M145,{12.5,15,20,30,45,60,75,105,115,150,200,225,250,600},{12.5,15,20,30,45,60,75,105,115,150,200,225,250,600}))*(LOOKUP(M145,{12.5,15,20,30,45,60,75,105,115,150,200,225,250,600,1000},{55,60,62,65,68,70,72,75,80,82,85,87,90,95,95})-LOOKUP(M145,{12.5,15,20,30,45,60,75,105,115,150,200,225,250,600,1000},{50,55,60,62,65,68,70,72,75,80,82,85,87,90,95})))))</f>
        <v>72</v>
      </c>
      <c r="P145" s="2">
        <f t="shared" si="13"/>
        <v>10</v>
      </c>
      <c r="Q145" s="2">
        <f t="shared" si="14"/>
        <v>5</v>
      </c>
    </row>
    <row r="146" customHeight="1" spans="1:17">
      <c r="B146" s="2">
        <v>145</v>
      </c>
      <c r="C146" s="16">
        <f t="shared" si="12"/>
        <v>76.2</v>
      </c>
      <c r="D146" s="2" t="s">
        <v>341</v>
      </c>
      <c r="E146" s="9">
        <v>74</v>
      </c>
      <c r="F146" s="9">
        <v>72</v>
      </c>
      <c r="G146" s="8">
        <v>90</v>
      </c>
      <c r="H146" s="2" t="s">
        <v>342</v>
      </c>
      <c r="I146" s="2" t="s">
        <v>63</v>
      </c>
      <c r="J146" s="4" t="s">
        <v>105</v>
      </c>
      <c r="M146" s="2">
        <f t="shared" si="10"/>
        <v>105</v>
      </c>
      <c r="N146" s="2">
        <f t="shared" si="11"/>
        <v>75.2</v>
      </c>
      <c r="O146" s="2">
        <f>IF(M146="","",IF(M146&gt;=1000,95,IF(M146&lt;=12.5,50,LOOKUP(M146,{12.5,15,20,30,45,60,75,105,115,150,200,225,250,600,1000},{50,55,60,62,65,68,70,72,75,80,82,85,87,90,95})+(M146-LOOKUP(M146,{12.5,15,20,30,45,60,75,105,115,150,200,225,250,600},{12.5,15,20,30,45,60,75,105,115,150,200,225,250,600}))/(LOOKUP(M146,{12.5,15,20,30,45,60,75,105,115,150,200,225,250,600,1000},{15,20,30,45,60,75,105,115,150,200,225,250,600,1000,1000})-LOOKUP(M146,{12.5,15,20,30,45,60,75,105,115,150,200,225,250,600},{12.5,15,20,30,45,60,75,105,115,150,200,225,250,600}))*(LOOKUP(M146,{12.5,15,20,30,45,60,75,105,115,150,200,225,250,600,1000},{55,60,62,65,68,70,72,75,80,82,85,87,90,95,95})-LOOKUP(M146,{12.5,15,20,30,45,60,75,105,115,150,200,225,250,600,1000},{50,55,60,62,65,68,70,72,75,80,82,85,87,90,95})))))</f>
        <v>72</v>
      </c>
      <c r="P146" s="2">
        <f t="shared" si="13"/>
        <v>2</v>
      </c>
      <c r="Q146" s="2">
        <f t="shared" si="14"/>
        <v>1</v>
      </c>
    </row>
    <row r="147" customHeight="1" spans="1:17">
      <c r="A147" s="2">
        <v>2026</v>
      </c>
      <c r="B147" s="2">
        <v>146</v>
      </c>
      <c r="C147" s="16">
        <f t="shared" si="12"/>
        <v>76.2</v>
      </c>
      <c r="D147" s="2" t="s">
        <v>343</v>
      </c>
      <c r="E147" s="9">
        <v>78</v>
      </c>
      <c r="F147" s="2">
        <v>52</v>
      </c>
      <c r="G147" s="2">
        <v>42</v>
      </c>
      <c r="H147" s="2" t="s">
        <v>87</v>
      </c>
      <c r="I147" s="2" t="s">
        <v>63</v>
      </c>
      <c r="J147" s="4" t="s">
        <v>88</v>
      </c>
      <c r="K147" s="2" t="s">
        <v>215</v>
      </c>
      <c r="M147" s="2">
        <f t="shared" si="10"/>
        <v>30</v>
      </c>
      <c r="N147" s="2">
        <f t="shared" si="11"/>
        <v>69.2</v>
      </c>
      <c r="O147" s="2">
        <f>IF(M147="","",IF(M147&gt;=1000,95,IF(M147&lt;=12.5,50,LOOKUP(M147,{12.5,15,20,30,45,60,75,105,115,150,200,225,250,600,1000},{50,55,60,62,65,68,70,72,75,80,82,85,87,90,95})+(M147-LOOKUP(M147,{12.5,15,20,30,45,60,75,105,115,150,200,225,250,600},{12.5,15,20,30,45,60,75,105,115,150,200,225,250,600}))/(LOOKUP(M147,{12.5,15,20,30,45,60,75,105,115,150,200,225,250,600,1000},{15,20,30,45,60,75,105,115,150,200,225,250,600,1000,1000})-LOOKUP(M147,{12.5,15,20,30,45,60,75,105,115,150,200,225,250,600},{12.5,15,20,30,45,60,75,105,115,150,200,225,250,600}))*(LOOKUP(M147,{12.5,15,20,30,45,60,75,105,115,150,200,225,250,600,1000},{55,60,62,65,68,70,72,75,80,82,85,87,90,95,95})-LOOKUP(M147,{12.5,15,20,30,45,60,75,105,115,150,200,225,250,600,1000},{50,55,60,62,65,68,70,72,75,80,82,85,87,90,95})))))</f>
        <v>62</v>
      </c>
      <c r="P147" s="2">
        <f t="shared" si="13"/>
        <v>16</v>
      </c>
      <c r="Q147" s="2">
        <f t="shared" si="14"/>
        <v>7</v>
      </c>
    </row>
    <row r="148" customHeight="1" spans="1:17">
      <c r="A148" s="2">
        <v>2026</v>
      </c>
      <c r="B148" s="2">
        <v>147</v>
      </c>
      <c r="C148" s="16">
        <f t="shared" si="12"/>
        <v>76.2</v>
      </c>
      <c r="D148" s="2" t="s">
        <v>344</v>
      </c>
      <c r="E148" s="10">
        <v>82</v>
      </c>
      <c r="F148" s="12">
        <v>64</v>
      </c>
      <c r="G148" s="9">
        <v>75</v>
      </c>
      <c r="H148" s="2" t="s">
        <v>94</v>
      </c>
      <c r="I148" s="2" t="s">
        <v>50</v>
      </c>
      <c r="J148" s="4" t="s">
        <v>19</v>
      </c>
      <c r="K148" s="2" t="s">
        <v>345</v>
      </c>
      <c r="M148" s="2">
        <f t="shared" si="10"/>
        <v>225</v>
      </c>
      <c r="N148" s="2">
        <f t="shared" si="11"/>
        <v>77.7</v>
      </c>
      <c r="O148" s="2">
        <f>IF(M148="","",IF(M148&gt;=1000,95,IF(M148&lt;=12.5,50,LOOKUP(M148,{12.5,15,20,30,45,60,75,105,115,150,200,225,250,600,1000},{50,55,60,62,65,68,70,72,75,80,82,85,87,90,95})+(M148-LOOKUP(M148,{12.5,15,20,30,45,60,75,105,115,150,200,225,250,600},{12.5,15,20,30,45,60,75,105,115,150,200,225,250,600}))/(LOOKUP(M148,{12.5,15,20,30,45,60,75,105,115,150,200,225,250,600,1000},{15,20,30,45,60,75,105,115,150,200,225,250,600,1000,1000})-LOOKUP(M148,{12.5,15,20,30,45,60,75,105,115,150,200,225,250,600},{12.5,15,20,30,45,60,75,105,115,150,200,225,250,600}))*(LOOKUP(M148,{12.5,15,20,30,45,60,75,105,115,150,200,225,250,600,1000},{55,60,62,65,68,70,72,75,80,82,85,87,90,95,95})-LOOKUP(M148,{12.5,15,20,30,45,60,75,105,115,150,200,225,250,600,1000},{50,55,60,62,65,68,70,72,75,80,82,85,87,90,95})))))</f>
        <v>85</v>
      </c>
      <c r="P148" s="2">
        <f t="shared" si="13"/>
        <v>-3</v>
      </c>
      <c r="Q148" s="2">
        <f t="shared" si="14"/>
        <v>-1.5</v>
      </c>
    </row>
    <row r="149" customHeight="1" spans="1:17">
      <c r="A149" s="2">
        <v>2026</v>
      </c>
      <c r="B149" s="2">
        <v>148</v>
      </c>
      <c r="C149" s="16">
        <f t="shared" si="12"/>
        <v>76.1</v>
      </c>
      <c r="D149" s="2" t="s">
        <v>346</v>
      </c>
      <c r="E149" s="10">
        <v>84</v>
      </c>
      <c r="F149" s="12">
        <v>60</v>
      </c>
      <c r="G149" s="2">
        <v>58</v>
      </c>
      <c r="H149" s="2" t="s">
        <v>347</v>
      </c>
      <c r="I149" s="2" t="s">
        <v>104</v>
      </c>
      <c r="J149" s="4" t="s">
        <v>19</v>
      </c>
      <c r="K149" s="2" t="s">
        <v>348</v>
      </c>
      <c r="M149" s="2">
        <f t="shared" si="10"/>
        <v>225</v>
      </c>
      <c r="N149" s="2">
        <f t="shared" si="11"/>
        <v>76.6</v>
      </c>
      <c r="O149" s="2">
        <f>IF(M149="","",IF(M149&gt;=1000,95,IF(M149&lt;=12.5,50,LOOKUP(M149,{12.5,15,20,30,45,60,75,105,115,150,200,225,250,600,1000},{50,55,60,62,65,68,70,72,75,80,82,85,87,90,95})+(M149-LOOKUP(M149,{12.5,15,20,30,45,60,75,105,115,150,200,225,250,600},{12.5,15,20,30,45,60,75,105,115,150,200,225,250,600}))/(LOOKUP(M149,{12.5,15,20,30,45,60,75,105,115,150,200,225,250,600,1000},{15,20,30,45,60,75,105,115,150,200,225,250,600,1000,1000})-LOOKUP(M149,{12.5,15,20,30,45,60,75,105,115,150,200,225,250,600},{12.5,15,20,30,45,60,75,105,115,150,200,225,250,600}))*(LOOKUP(M149,{12.5,15,20,30,45,60,75,105,115,150,200,225,250,600,1000},{55,60,62,65,68,70,72,75,80,82,85,87,90,95,95})-LOOKUP(M149,{12.5,15,20,30,45,60,75,105,115,150,200,225,250,600,1000},{50,55,60,62,65,68,70,72,75,80,82,85,87,90,95})))))</f>
        <v>85</v>
      </c>
      <c r="P149" s="2">
        <f t="shared" si="13"/>
        <v>-1</v>
      </c>
      <c r="Q149" s="2">
        <f t="shared" si="14"/>
        <v>-0.5</v>
      </c>
    </row>
    <row r="150" customHeight="1" spans="1:17">
      <c r="B150" s="2">
        <v>149</v>
      </c>
      <c r="C150" s="16">
        <f t="shared" si="12"/>
        <v>76</v>
      </c>
      <c r="D150" s="2" t="s">
        <v>349</v>
      </c>
      <c r="E150" s="9">
        <v>75</v>
      </c>
      <c r="F150" s="9">
        <v>76</v>
      </c>
      <c r="G150" s="12">
        <v>68</v>
      </c>
      <c r="H150" s="2" t="s">
        <v>91</v>
      </c>
      <c r="I150" s="2" t="s">
        <v>350</v>
      </c>
      <c r="J150" s="4" t="s">
        <v>105</v>
      </c>
      <c r="K150" s="2" t="s">
        <v>351</v>
      </c>
      <c r="M150" s="2">
        <f t="shared" si="10"/>
        <v>105</v>
      </c>
      <c r="N150" s="2">
        <f t="shared" si="11"/>
        <v>74.5</v>
      </c>
      <c r="O150" s="2">
        <f>IF(M150="","",IF(M150&gt;=1000,95,IF(M150&lt;=12.5,50,LOOKUP(M150,{12.5,15,20,30,45,60,75,105,115,150,200,225,250,600,1000},{50,55,60,62,65,68,70,72,75,80,82,85,87,90,95})+(M150-LOOKUP(M150,{12.5,15,20,30,45,60,75,105,115,150,200,225,250,600},{12.5,15,20,30,45,60,75,105,115,150,200,225,250,600}))/(LOOKUP(M150,{12.5,15,20,30,45,60,75,105,115,150,200,225,250,600,1000},{15,20,30,45,60,75,105,115,150,200,225,250,600,1000,1000})-LOOKUP(M150,{12.5,15,20,30,45,60,75,105,115,150,200,225,250,600},{12.5,15,20,30,45,60,75,105,115,150,200,225,250,600}))*(LOOKUP(M150,{12.5,15,20,30,45,60,75,105,115,150,200,225,250,600,1000},{55,60,62,65,68,70,72,75,80,82,85,87,90,95,95})-LOOKUP(M150,{12.5,15,20,30,45,60,75,105,115,150,200,225,250,600,1000},{50,55,60,62,65,68,70,72,75,80,82,85,87,90,95})))))</f>
        <v>72</v>
      </c>
      <c r="P150" s="2">
        <f t="shared" si="13"/>
        <v>3</v>
      </c>
      <c r="Q150" s="2">
        <f t="shared" si="14"/>
        <v>1.5</v>
      </c>
    </row>
    <row r="151" customHeight="1" spans="1:17">
      <c r="B151" s="2">
        <v>150</v>
      </c>
      <c r="C151" s="16">
        <f t="shared" si="12"/>
        <v>76</v>
      </c>
      <c r="D151" s="2" t="s">
        <v>352</v>
      </c>
      <c r="E151" s="9">
        <v>75</v>
      </c>
      <c r="F151" s="9">
        <v>78</v>
      </c>
      <c r="G151" s="12">
        <v>64</v>
      </c>
      <c r="H151" s="2" t="s">
        <v>353</v>
      </c>
      <c r="I151" s="2" t="s">
        <v>354</v>
      </c>
      <c r="J151" s="4" t="s">
        <v>105</v>
      </c>
      <c r="K151" s="2" t="s">
        <v>355</v>
      </c>
      <c r="M151" s="2">
        <f t="shared" si="10"/>
        <v>105</v>
      </c>
      <c r="N151" s="2">
        <f t="shared" si="11"/>
        <v>74.5</v>
      </c>
      <c r="O151" s="2">
        <f>IF(M151="","",IF(M151&gt;=1000,95,IF(M151&lt;=12.5,50,LOOKUP(M151,{12.5,15,20,30,45,60,75,105,115,150,200,225,250,600,1000},{50,55,60,62,65,68,70,72,75,80,82,85,87,90,95})+(M151-LOOKUP(M151,{12.5,15,20,30,45,60,75,105,115,150,200,225,250,600},{12.5,15,20,30,45,60,75,105,115,150,200,225,250,600}))/(LOOKUP(M151,{12.5,15,20,30,45,60,75,105,115,150,200,225,250,600,1000},{15,20,30,45,60,75,105,115,150,200,225,250,600,1000,1000})-LOOKUP(M151,{12.5,15,20,30,45,60,75,105,115,150,200,225,250,600},{12.5,15,20,30,45,60,75,105,115,150,200,225,250,600}))*(LOOKUP(M151,{12.5,15,20,30,45,60,75,105,115,150,200,225,250,600,1000},{55,60,62,65,68,70,72,75,80,82,85,87,90,95,95})-LOOKUP(M151,{12.5,15,20,30,45,60,75,105,115,150,200,225,250,600,1000},{50,55,60,62,65,68,70,72,75,80,82,85,87,90,95})))))</f>
        <v>72</v>
      </c>
      <c r="P151" s="2">
        <f t="shared" si="13"/>
        <v>3</v>
      </c>
      <c r="Q151" s="2">
        <f t="shared" si="14"/>
        <v>1.5</v>
      </c>
    </row>
    <row r="152" customHeight="1" spans="1:17">
      <c r="A152" s="2">
        <v>2026</v>
      </c>
      <c r="B152" s="2">
        <v>151</v>
      </c>
      <c r="C152" s="16">
        <f t="shared" si="12"/>
        <v>76</v>
      </c>
      <c r="D152" s="2" t="s">
        <v>356</v>
      </c>
      <c r="E152" s="9">
        <v>76</v>
      </c>
      <c r="F152" s="2">
        <v>56</v>
      </c>
      <c r="G152" s="2">
        <v>46</v>
      </c>
      <c r="H152" s="2" t="s">
        <v>54</v>
      </c>
      <c r="I152" s="2" t="s">
        <v>28</v>
      </c>
      <c r="J152" s="4" t="s">
        <v>140</v>
      </c>
      <c r="K152" s="2" t="s">
        <v>357</v>
      </c>
      <c r="M152" s="2">
        <f t="shared" si="10"/>
        <v>20</v>
      </c>
      <c r="N152" s="2">
        <f t="shared" si="11"/>
        <v>69</v>
      </c>
      <c r="O152" s="2">
        <f>IF(M152="","",IF(M152&gt;=1000,95,IF(M152&lt;=12.5,50,LOOKUP(M152,{12.5,15,20,30,45,60,75,105,115,150,200,225,250,600,1000},{50,55,60,62,65,68,70,72,75,80,82,85,87,90,95})+(M152-LOOKUP(M152,{12.5,15,20,30,45,60,75,105,115,150,200,225,250,600},{12.5,15,20,30,45,60,75,105,115,150,200,225,250,600}))/(LOOKUP(M152,{12.5,15,20,30,45,60,75,105,115,150,200,225,250,600,1000},{15,20,30,45,60,75,105,115,150,200,225,250,600,1000,1000})-LOOKUP(M152,{12.5,15,20,30,45,60,75,105,115,150,200,225,250,600},{12.5,15,20,30,45,60,75,105,115,150,200,225,250,600}))*(LOOKUP(M152,{12.5,15,20,30,45,60,75,105,115,150,200,225,250,600,1000},{55,60,62,65,68,70,72,75,80,82,85,87,90,95,95})-LOOKUP(M152,{12.5,15,20,30,45,60,75,105,115,150,200,225,250,600,1000},{50,55,60,62,65,68,70,72,75,80,82,85,87,90,95})))))</f>
        <v>60</v>
      </c>
      <c r="P152" s="2">
        <f t="shared" si="13"/>
        <v>16</v>
      </c>
      <c r="Q152" s="2">
        <f t="shared" si="14"/>
        <v>7</v>
      </c>
    </row>
    <row r="153" customHeight="1" spans="1:17">
      <c r="A153" s="2">
        <v>2026</v>
      </c>
      <c r="B153" s="2">
        <v>152</v>
      </c>
      <c r="C153" s="16">
        <f t="shared" si="12"/>
        <v>75.97</v>
      </c>
      <c r="D153" s="2" t="s">
        <v>358</v>
      </c>
      <c r="E153" s="9">
        <v>75</v>
      </c>
      <c r="F153" s="12">
        <v>60</v>
      </c>
      <c r="G153" s="2">
        <v>48</v>
      </c>
      <c r="H153" s="2" t="s">
        <v>54</v>
      </c>
      <c r="I153" s="2" t="s">
        <v>28</v>
      </c>
      <c r="J153" s="4" t="s">
        <v>140</v>
      </c>
      <c r="M153" s="2">
        <f t="shared" si="10"/>
        <v>20</v>
      </c>
      <c r="N153" s="2">
        <f t="shared" si="11"/>
        <v>69.3</v>
      </c>
      <c r="O153" s="2">
        <f>IF(M153="","",IF(M153&gt;=1000,95,IF(M153&lt;=12.5,50,LOOKUP(M153,{12.5,15,20,30,45,60,75,105,115,150,200,225,250,600,1000},{50,55,60,62,65,68,70,72,75,80,82,85,87,90,95})+(M153-LOOKUP(M153,{12.5,15,20,30,45,60,75,105,115,150,200,225,250,600},{12.5,15,20,30,45,60,75,105,115,150,200,225,250,600}))/(LOOKUP(M153,{12.5,15,20,30,45,60,75,105,115,150,200,225,250,600,1000},{15,20,30,45,60,75,105,115,150,200,225,250,600,1000,1000})-LOOKUP(M153,{12.5,15,20,30,45,60,75,105,115,150,200,225,250,600},{12.5,15,20,30,45,60,75,105,115,150,200,225,250,600}))*(LOOKUP(M153,{12.5,15,20,30,45,60,75,105,115,150,200,225,250,600,1000},{55,60,62,65,68,70,72,75,80,82,85,87,90,95,95})-LOOKUP(M153,{12.5,15,20,30,45,60,75,105,115,150,200,225,250,600,1000},{50,55,60,62,65,68,70,72,75,80,82,85,87,90,95})))))</f>
        <v>60</v>
      </c>
      <c r="P153" s="2">
        <f t="shared" si="13"/>
        <v>15</v>
      </c>
      <c r="Q153" s="2">
        <f t="shared" si="14"/>
        <v>6.67</v>
      </c>
    </row>
    <row r="154" customHeight="1" spans="1:17">
      <c r="A154" s="2">
        <v>2026</v>
      </c>
      <c r="B154" s="2">
        <v>153</v>
      </c>
      <c r="C154" s="16">
        <f t="shared" si="12"/>
        <v>75.94</v>
      </c>
      <c r="D154" s="2" t="s">
        <v>359</v>
      </c>
      <c r="E154" s="9">
        <v>76</v>
      </c>
      <c r="F154" s="2">
        <v>58</v>
      </c>
      <c r="G154" s="2">
        <v>48</v>
      </c>
      <c r="H154" s="2" t="s">
        <v>76</v>
      </c>
      <c r="I154" s="2" t="s">
        <v>28</v>
      </c>
      <c r="J154" s="4" t="s">
        <v>88</v>
      </c>
      <c r="K154" s="2" t="s">
        <v>360</v>
      </c>
      <c r="M154" s="2">
        <f t="shared" si="10"/>
        <v>30</v>
      </c>
      <c r="N154" s="2">
        <f t="shared" si="11"/>
        <v>69.6</v>
      </c>
      <c r="O154" s="2">
        <f>IF(M154="","",IF(M154&gt;=1000,95,IF(M154&lt;=12.5,50,LOOKUP(M154,{12.5,15,20,30,45,60,75,105,115,150,200,225,250,600,1000},{50,55,60,62,65,68,70,72,75,80,82,85,87,90,95})+(M154-LOOKUP(M154,{12.5,15,20,30,45,60,75,105,115,150,200,225,250,600},{12.5,15,20,30,45,60,75,105,115,150,200,225,250,600}))/(LOOKUP(M154,{12.5,15,20,30,45,60,75,105,115,150,200,225,250,600,1000},{15,20,30,45,60,75,105,115,150,200,225,250,600,1000,1000})-LOOKUP(M154,{12.5,15,20,30,45,60,75,105,115,150,200,225,250,600},{12.5,15,20,30,45,60,75,105,115,150,200,225,250,600}))*(LOOKUP(M154,{12.5,15,20,30,45,60,75,105,115,150,200,225,250,600,1000},{55,60,62,65,68,70,72,75,80,82,85,87,90,95,95})-LOOKUP(M154,{12.5,15,20,30,45,60,75,105,115,150,200,225,250,600,1000},{50,55,60,62,65,68,70,72,75,80,82,85,87,90,95})))))</f>
        <v>62</v>
      </c>
      <c r="P154" s="2">
        <f t="shared" si="13"/>
        <v>14</v>
      </c>
      <c r="Q154" s="2">
        <f t="shared" si="14"/>
        <v>6.34</v>
      </c>
    </row>
    <row r="155" customHeight="1" spans="1:17">
      <c r="A155" s="2">
        <v>2026</v>
      </c>
      <c r="B155" s="2">
        <v>154</v>
      </c>
      <c r="C155" s="16">
        <f t="shared" si="12"/>
        <v>75.9</v>
      </c>
      <c r="D155" s="2" t="s">
        <v>361</v>
      </c>
      <c r="E155" s="9">
        <v>79</v>
      </c>
      <c r="F155" s="2">
        <v>57</v>
      </c>
      <c r="G155" s="2">
        <v>57</v>
      </c>
      <c r="H155" s="2" t="s">
        <v>54</v>
      </c>
      <c r="I155" s="2" t="s">
        <v>183</v>
      </c>
      <c r="J155" s="4" t="s">
        <v>105</v>
      </c>
      <c r="K155" s="2" t="s">
        <v>362</v>
      </c>
      <c r="M155" s="2">
        <f t="shared" si="10"/>
        <v>105</v>
      </c>
      <c r="N155" s="2">
        <f t="shared" si="11"/>
        <v>72.4</v>
      </c>
      <c r="O155" s="2">
        <f>IF(M155="","",IF(M155&gt;=1000,95,IF(M155&lt;=12.5,50,LOOKUP(M155,{12.5,15,20,30,45,60,75,105,115,150,200,225,250,600,1000},{50,55,60,62,65,68,70,72,75,80,82,85,87,90,95})+(M155-LOOKUP(M155,{12.5,15,20,30,45,60,75,105,115,150,200,225,250,600},{12.5,15,20,30,45,60,75,105,115,150,200,225,250,600}))/(LOOKUP(M155,{12.5,15,20,30,45,60,75,105,115,150,200,225,250,600,1000},{15,20,30,45,60,75,105,115,150,200,225,250,600,1000,1000})-LOOKUP(M155,{12.5,15,20,30,45,60,75,105,115,150,200,225,250,600},{12.5,15,20,30,45,60,75,105,115,150,200,225,250,600}))*(LOOKUP(M155,{12.5,15,20,30,45,60,75,105,115,150,200,225,250,600,1000},{55,60,62,65,68,70,72,75,80,82,85,87,90,95,95})-LOOKUP(M155,{12.5,15,20,30,45,60,75,105,115,150,200,225,250,600,1000},{50,55,60,62,65,68,70,72,75,80,82,85,87,90,95})))))</f>
        <v>72</v>
      </c>
      <c r="P155" s="2">
        <f t="shared" si="13"/>
        <v>7</v>
      </c>
      <c r="Q155" s="2">
        <f t="shared" si="14"/>
        <v>3.5</v>
      </c>
    </row>
    <row r="156" customHeight="1" spans="1:17">
      <c r="A156" s="2">
        <v>2026</v>
      </c>
      <c r="B156" s="2">
        <v>155</v>
      </c>
      <c r="C156" s="16">
        <f t="shared" si="12"/>
        <v>75.87</v>
      </c>
      <c r="D156" s="2" t="s">
        <v>363</v>
      </c>
      <c r="E156" s="9">
        <v>74</v>
      </c>
      <c r="F156" s="12">
        <v>64</v>
      </c>
      <c r="G156" s="2">
        <v>56</v>
      </c>
      <c r="H156" s="2" t="s">
        <v>54</v>
      </c>
      <c r="I156" s="2" t="s">
        <v>28</v>
      </c>
      <c r="J156" s="4" t="s">
        <v>88</v>
      </c>
      <c r="M156" s="2">
        <f t="shared" si="10"/>
        <v>30</v>
      </c>
      <c r="N156" s="2">
        <f t="shared" si="11"/>
        <v>70.2</v>
      </c>
      <c r="O156" s="2">
        <f>IF(M156="","",IF(M156&gt;=1000,95,IF(M156&lt;=12.5,50,LOOKUP(M156,{12.5,15,20,30,45,60,75,105,115,150,200,225,250,600,1000},{50,55,60,62,65,68,70,72,75,80,82,85,87,90,95})+(M156-LOOKUP(M156,{12.5,15,20,30,45,60,75,105,115,150,200,225,250,600},{12.5,15,20,30,45,60,75,105,115,150,200,225,250,600}))/(LOOKUP(M156,{12.5,15,20,30,45,60,75,105,115,150,200,225,250,600,1000},{15,20,30,45,60,75,105,115,150,200,225,250,600,1000,1000})-LOOKUP(M156,{12.5,15,20,30,45,60,75,105,115,150,200,225,250,600},{12.5,15,20,30,45,60,75,105,115,150,200,225,250,600}))*(LOOKUP(M156,{12.5,15,20,30,45,60,75,105,115,150,200,225,250,600,1000},{55,60,62,65,68,70,72,75,80,82,85,87,90,95,95})-LOOKUP(M156,{12.5,15,20,30,45,60,75,105,115,150,200,225,250,600,1000},{50,55,60,62,65,68,70,72,75,80,82,85,87,90,95})))))</f>
        <v>62</v>
      </c>
      <c r="P156" s="2">
        <f t="shared" si="13"/>
        <v>12</v>
      </c>
      <c r="Q156" s="2">
        <f t="shared" si="14"/>
        <v>5.67</v>
      </c>
    </row>
    <row r="157" customHeight="1" spans="1:17">
      <c r="A157" s="2">
        <v>2026</v>
      </c>
      <c r="B157" s="2">
        <v>156</v>
      </c>
      <c r="C157" s="16">
        <f t="shared" si="12"/>
        <v>75.8</v>
      </c>
      <c r="D157" s="2" t="s">
        <v>364</v>
      </c>
      <c r="E157" s="9">
        <v>79</v>
      </c>
      <c r="F157" s="10">
        <v>81</v>
      </c>
      <c r="G157" s="2">
        <v>58</v>
      </c>
      <c r="H157" s="2" t="s">
        <v>41</v>
      </c>
      <c r="I157" s="2" t="s">
        <v>350</v>
      </c>
      <c r="J157" s="4" t="s">
        <v>51</v>
      </c>
      <c r="M157" s="2">
        <f t="shared" si="10"/>
        <v>200</v>
      </c>
      <c r="N157" s="2">
        <f t="shared" si="11"/>
        <v>77.3</v>
      </c>
      <c r="O157" s="2">
        <f>IF(M157="","",IF(M157&gt;=1000,95,IF(M157&lt;=12.5,50,LOOKUP(M157,{12.5,15,20,30,45,60,75,105,115,150,200,225,250,600,1000},{50,55,60,62,65,68,70,72,75,80,82,85,87,90,95})+(M157-LOOKUP(M157,{12.5,15,20,30,45,60,75,105,115,150,200,225,250,600},{12.5,15,20,30,45,60,75,105,115,150,200,225,250,600}))/(LOOKUP(M157,{12.5,15,20,30,45,60,75,105,115,150,200,225,250,600,1000},{15,20,30,45,60,75,105,115,150,200,225,250,600,1000,1000})-LOOKUP(M157,{12.5,15,20,30,45,60,75,105,115,150,200,225,250,600},{12.5,15,20,30,45,60,75,105,115,150,200,225,250,600}))*(LOOKUP(M157,{12.5,15,20,30,45,60,75,105,115,150,200,225,250,600,1000},{55,60,62,65,68,70,72,75,80,82,85,87,90,95,95})-LOOKUP(M157,{12.5,15,20,30,45,60,75,105,115,150,200,225,250,600,1000},{50,55,60,62,65,68,70,72,75,80,82,85,87,90,95})))))</f>
        <v>82</v>
      </c>
      <c r="P157" s="2">
        <f t="shared" si="13"/>
        <v>-3</v>
      </c>
      <c r="Q157" s="2">
        <f t="shared" si="14"/>
        <v>-1.5</v>
      </c>
    </row>
    <row r="158" customHeight="1" spans="1:17">
      <c r="A158" s="2">
        <v>2026</v>
      </c>
      <c r="B158" s="2">
        <v>157</v>
      </c>
      <c r="C158" s="16">
        <f t="shared" si="12"/>
        <v>75.8</v>
      </c>
      <c r="D158" s="2" t="s">
        <v>365</v>
      </c>
      <c r="E158" s="9">
        <v>76</v>
      </c>
      <c r="F158" s="12">
        <v>69</v>
      </c>
      <c r="G158" s="12">
        <v>68</v>
      </c>
      <c r="H158" s="2" t="s">
        <v>102</v>
      </c>
      <c r="I158" s="2" t="s">
        <v>104</v>
      </c>
      <c r="J158" s="4" t="s">
        <v>105</v>
      </c>
      <c r="M158" s="2">
        <f t="shared" si="10"/>
        <v>105</v>
      </c>
      <c r="N158" s="2">
        <f t="shared" si="11"/>
        <v>73.8</v>
      </c>
      <c r="O158" s="2">
        <f>IF(M158="","",IF(M158&gt;=1000,95,IF(M158&lt;=12.5,50,LOOKUP(M158,{12.5,15,20,30,45,60,75,105,115,150,200,225,250,600,1000},{50,55,60,62,65,68,70,72,75,80,82,85,87,90,95})+(M158-LOOKUP(M158,{12.5,15,20,30,45,60,75,105,115,150,200,225,250,600},{12.5,15,20,30,45,60,75,105,115,150,200,225,250,600}))/(LOOKUP(M158,{12.5,15,20,30,45,60,75,105,115,150,200,225,250,600,1000},{15,20,30,45,60,75,105,115,150,200,225,250,600,1000,1000})-LOOKUP(M158,{12.5,15,20,30,45,60,75,105,115,150,200,225,250,600},{12.5,15,20,30,45,60,75,105,115,150,200,225,250,600}))*(LOOKUP(M158,{12.5,15,20,30,45,60,75,105,115,150,200,225,250,600,1000},{55,60,62,65,68,70,72,75,80,82,85,87,90,95,95})-LOOKUP(M158,{12.5,15,20,30,45,60,75,105,115,150,200,225,250,600,1000},{50,55,60,62,65,68,70,72,75,80,82,85,87,90,95})))))</f>
        <v>72</v>
      </c>
      <c r="P158" s="2">
        <f t="shared" si="13"/>
        <v>4</v>
      </c>
      <c r="Q158" s="2">
        <f t="shared" si="14"/>
        <v>2</v>
      </c>
    </row>
    <row r="159" customHeight="1" spans="1:17">
      <c r="B159" s="2">
        <v>158</v>
      </c>
      <c r="C159" s="16">
        <f t="shared" si="12"/>
        <v>75.8</v>
      </c>
      <c r="D159" s="2" t="s">
        <v>366</v>
      </c>
      <c r="E159" s="9">
        <v>73</v>
      </c>
      <c r="F159" s="9">
        <v>70</v>
      </c>
      <c r="G159" s="12">
        <v>67</v>
      </c>
      <c r="H159" s="2" t="s">
        <v>367</v>
      </c>
      <c r="I159" s="2" t="s">
        <v>128</v>
      </c>
      <c r="J159" s="4" t="s">
        <v>38</v>
      </c>
      <c r="M159" s="2">
        <f t="shared" si="10"/>
        <v>45</v>
      </c>
      <c r="N159" s="2">
        <f t="shared" si="11"/>
        <v>71.8</v>
      </c>
      <c r="O159" s="2">
        <f>IF(M159="","",IF(M159&gt;=1000,95,IF(M159&lt;=12.5,50,LOOKUP(M159,{12.5,15,20,30,45,60,75,105,115,150,200,225,250,600,1000},{50,55,60,62,65,68,70,72,75,80,82,85,87,90,95})+(M159-LOOKUP(M159,{12.5,15,20,30,45,60,75,105,115,150,200,225,250,600},{12.5,15,20,30,45,60,75,105,115,150,200,225,250,600}))/(LOOKUP(M159,{12.5,15,20,30,45,60,75,105,115,150,200,225,250,600,1000},{15,20,30,45,60,75,105,115,150,200,225,250,600,1000,1000})-LOOKUP(M159,{12.5,15,20,30,45,60,75,105,115,150,200,225,250,600},{12.5,15,20,30,45,60,75,105,115,150,200,225,250,600}))*(LOOKUP(M159,{12.5,15,20,30,45,60,75,105,115,150,200,225,250,600,1000},{55,60,62,65,68,70,72,75,80,82,85,87,90,95,95})-LOOKUP(M159,{12.5,15,20,30,45,60,75,105,115,150,200,225,250,600,1000},{50,55,60,62,65,68,70,72,75,80,82,85,87,90,95})))))</f>
        <v>65</v>
      </c>
      <c r="P159" s="2">
        <f t="shared" si="13"/>
        <v>8</v>
      </c>
      <c r="Q159" s="2">
        <f t="shared" si="14"/>
        <v>4</v>
      </c>
    </row>
    <row r="160" customHeight="1" spans="1:17">
      <c r="A160" s="2">
        <v>2026</v>
      </c>
      <c r="B160" s="2">
        <v>159</v>
      </c>
      <c r="C160" s="16">
        <f t="shared" si="12"/>
        <v>75.77</v>
      </c>
      <c r="D160" s="2" t="s">
        <v>368</v>
      </c>
      <c r="E160" s="9">
        <v>75</v>
      </c>
      <c r="F160" s="2">
        <v>54</v>
      </c>
      <c r="G160" s="2">
        <v>58</v>
      </c>
      <c r="H160" s="2" t="s">
        <v>91</v>
      </c>
      <c r="I160" s="2" t="s">
        <v>28</v>
      </c>
      <c r="J160" s="4" t="s">
        <v>140</v>
      </c>
      <c r="K160" s="2" t="s">
        <v>92</v>
      </c>
      <c r="M160" s="2">
        <f t="shared" si="10"/>
        <v>20</v>
      </c>
      <c r="N160" s="2">
        <f t="shared" si="11"/>
        <v>69.1</v>
      </c>
      <c r="O160" s="2">
        <f>IF(M160="","",IF(M160&gt;=1000,95,IF(M160&lt;=12.5,50,LOOKUP(M160,{12.5,15,20,30,45,60,75,105,115,150,200,225,250,600,1000},{50,55,60,62,65,68,70,72,75,80,82,85,87,90,95})+(M160-LOOKUP(M160,{12.5,15,20,30,45,60,75,105,115,150,200,225,250,600},{12.5,15,20,30,45,60,75,105,115,150,200,225,250,600}))/(LOOKUP(M160,{12.5,15,20,30,45,60,75,105,115,150,200,225,250,600,1000},{15,20,30,45,60,75,105,115,150,200,225,250,600,1000,1000})-LOOKUP(M160,{12.5,15,20,30,45,60,75,105,115,150,200,225,250,600},{12.5,15,20,30,45,60,75,105,115,150,200,225,250,600}))*(LOOKUP(M160,{12.5,15,20,30,45,60,75,105,115,150,200,225,250,600,1000},{55,60,62,65,68,70,72,75,80,82,85,87,90,95,95})-LOOKUP(M160,{12.5,15,20,30,45,60,75,105,115,150,200,225,250,600,1000},{50,55,60,62,65,68,70,72,75,80,82,85,87,90,95})))))</f>
        <v>60</v>
      </c>
      <c r="P160" s="2">
        <f t="shared" si="13"/>
        <v>15</v>
      </c>
      <c r="Q160" s="2">
        <f t="shared" si="14"/>
        <v>6.67</v>
      </c>
    </row>
    <row r="161" customHeight="1" spans="1:17">
      <c r="A161" s="2">
        <v>2026</v>
      </c>
      <c r="B161" s="2">
        <v>160</v>
      </c>
      <c r="C161" s="16">
        <f t="shared" si="12"/>
        <v>75.7</v>
      </c>
      <c r="D161" s="2" t="s">
        <v>369</v>
      </c>
      <c r="E161" s="9">
        <v>75</v>
      </c>
      <c r="F161" s="2">
        <v>56</v>
      </c>
      <c r="G161" s="2">
        <v>20</v>
      </c>
      <c r="H161" s="2" t="s">
        <v>102</v>
      </c>
      <c r="I161" s="2" t="s">
        <v>63</v>
      </c>
      <c r="J161" s="4" t="s">
        <v>77</v>
      </c>
      <c r="M161" s="2">
        <f t="shared" si="10"/>
        <v>12.5</v>
      </c>
      <c r="N161" s="2">
        <f t="shared" si="11"/>
        <v>65.7</v>
      </c>
      <c r="O161" s="2">
        <f>IF(M161="","",IF(M161&gt;=1000,95,IF(M161&lt;=12.5,50,LOOKUP(M161,{12.5,15,20,30,45,60,75,105,115,150,200,225,250,600,1000},{50,55,60,62,65,68,70,72,75,80,82,85,87,90,95})+(M161-LOOKUP(M161,{12.5,15,20,30,45,60,75,105,115,150,200,225,250,600},{12.5,15,20,30,45,60,75,105,115,150,200,225,250,600}))/(LOOKUP(M161,{12.5,15,20,30,45,60,75,105,115,150,200,225,250,600,1000},{15,20,30,45,60,75,105,115,150,200,225,250,600,1000,1000})-LOOKUP(M161,{12.5,15,20,30,45,60,75,105,115,150,200,225,250,600},{12.5,15,20,30,45,60,75,105,115,150,200,225,250,600}))*(LOOKUP(M161,{12.5,15,20,30,45,60,75,105,115,150,200,225,250,600,1000},{55,60,62,65,68,70,72,75,80,82,85,87,90,95,95})-LOOKUP(M161,{12.5,15,20,30,45,60,75,105,115,150,200,225,250,600,1000},{50,55,60,62,65,68,70,72,75,80,82,85,87,90,95})))))</f>
        <v>50</v>
      </c>
      <c r="P161" s="2">
        <f t="shared" si="13"/>
        <v>25</v>
      </c>
      <c r="Q161" s="2">
        <f t="shared" si="14"/>
        <v>10</v>
      </c>
    </row>
    <row r="162" customHeight="1" spans="1:17">
      <c r="A162" s="2">
        <v>2026</v>
      </c>
      <c r="B162" s="2">
        <v>161</v>
      </c>
      <c r="C162" s="16">
        <f t="shared" si="12"/>
        <v>75.7</v>
      </c>
      <c r="D162" s="2" t="s">
        <v>370</v>
      </c>
      <c r="E162" s="9">
        <v>75</v>
      </c>
      <c r="F162" s="12">
        <v>66</v>
      </c>
      <c r="G162" s="12">
        <v>65</v>
      </c>
      <c r="H162" s="2" t="s">
        <v>54</v>
      </c>
      <c r="I162" s="2" t="s">
        <v>128</v>
      </c>
      <c r="J162" s="4" t="s">
        <v>34</v>
      </c>
      <c r="K162" s="2" t="s">
        <v>371</v>
      </c>
      <c r="M162" s="2">
        <f t="shared" si="10"/>
        <v>60</v>
      </c>
      <c r="N162" s="2">
        <f t="shared" si="11"/>
        <v>72.2</v>
      </c>
      <c r="O162" s="2">
        <f>IF(M162="","",IF(M162&gt;=1000,95,IF(M162&lt;=12.5,50,LOOKUP(M162,{12.5,15,20,30,45,60,75,105,115,150,200,225,250,600,1000},{50,55,60,62,65,68,70,72,75,80,82,85,87,90,95})+(M162-LOOKUP(M162,{12.5,15,20,30,45,60,75,105,115,150,200,225,250,600},{12.5,15,20,30,45,60,75,105,115,150,200,225,250,600}))/(LOOKUP(M162,{12.5,15,20,30,45,60,75,105,115,150,200,225,250,600,1000},{15,20,30,45,60,75,105,115,150,200,225,250,600,1000,1000})-LOOKUP(M162,{12.5,15,20,30,45,60,75,105,115,150,200,225,250,600},{12.5,15,20,30,45,60,75,105,115,150,200,225,250,600}))*(LOOKUP(M162,{12.5,15,20,30,45,60,75,105,115,150,200,225,250,600,1000},{55,60,62,65,68,70,72,75,80,82,85,87,90,95,95})-LOOKUP(M162,{12.5,15,20,30,45,60,75,105,115,150,200,225,250,600,1000},{50,55,60,62,65,68,70,72,75,80,82,85,87,90,95})))))</f>
        <v>68</v>
      </c>
      <c r="P162" s="2">
        <f t="shared" si="13"/>
        <v>7</v>
      </c>
      <c r="Q162" s="2">
        <f t="shared" si="14"/>
        <v>3.5</v>
      </c>
    </row>
    <row r="163" customHeight="1" spans="1:17">
      <c r="A163" s="2">
        <v>2026</v>
      </c>
      <c r="B163" s="2">
        <v>162</v>
      </c>
      <c r="C163" s="16">
        <f t="shared" si="12"/>
        <v>75.7</v>
      </c>
      <c r="D163" s="2" t="s">
        <v>372</v>
      </c>
      <c r="E163" s="9">
        <v>76</v>
      </c>
      <c r="F163" s="12">
        <v>66</v>
      </c>
      <c r="G163" s="12">
        <v>63</v>
      </c>
      <c r="H163" s="2" t="s">
        <v>54</v>
      </c>
      <c r="I163" s="2" t="s">
        <v>104</v>
      </c>
      <c r="J163" s="4" t="s">
        <v>24</v>
      </c>
      <c r="K163" s="2" t="s">
        <v>106</v>
      </c>
      <c r="M163" s="2">
        <f t="shared" si="10"/>
        <v>75</v>
      </c>
      <c r="N163" s="2">
        <f t="shared" si="11"/>
        <v>72.7</v>
      </c>
      <c r="O163" s="2">
        <f>IF(M163="","",IF(M163&gt;=1000,95,IF(M163&lt;=12.5,50,LOOKUP(M163,{12.5,15,20,30,45,60,75,105,115,150,200,225,250,600,1000},{50,55,60,62,65,68,70,72,75,80,82,85,87,90,95})+(M163-LOOKUP(M163,{12.5,15,20,30,45,60,75,105,115,150,200,225,250,600},{12.5,15,20,30,45,60,75,105,115,150,200,225,250,600}))/(LOOKUP(M163,{12.5,15,20,30,45,60,75,105,115,150,200,225,250,600,1000},{15,20,30,45,60,75,105,115,150,200,225,250,600,1000,1000})-LOOKUP(M163,{12.5,15,20,30,45,60,75,105,115,150,200,225,250,600},{12.5,15,20,30,45,60,75,105,115,150,200,225,250,600}))*(LOOKUP(M163,{12.5,15,20,30,45,60,75,105,115,150,200,225,250,600,1000},{55,60,62,65,68,70,72,75,80,82,85,87,90,95,95})-LOOKUP(M163,{12.5,15,20,30,45,60,75,105,115,150,200,225,250,600,1000},{50,55,60,62,65,68,70,72,75,80,82,85,87,90,95})))))</f>
        <v>70</v>
      </c>
      <c r="P163" s="2">
        <f t="shared" si="13"/>
        <v>6</v>
      </c>
      <c r="Q163" s="2">
        <f t="shared" si="14"/>
        <v>3</v>
      </c>
    </row>
    <row r="164" customHeight="1" spans="1:17">
      <c r="A164" s="2">
        <v>2026</v>
      </c>
      <c r="B164" s="2">
        <v>163</v>
      </c>
      <c r="C164" s="16">
        <f t="shared" si="12"/>
        <v>75.7</v>
      </c>
      <c r="D164" s="2" t="s">
        <v>373</v>
      </c>
      <c r="E164" s="9">
        <v>76</v>
      </c>
      <c r="F164" s="2">
        <v>58</v>
      </c>
      <c r="G164" s="2">
        <v>39</v>
      </c>
      <c r="H164" s="2" t="s">
        <v>37</v>
      </c>
      <c r="I164" s="2" t="s">
        <v>28</v>
      </c>
      <c r="J164" s="4" t="s">
        <v>140</v>
      </c>
      <c r="K164" s="2" t="s">
        <v>30</v>
      </c>
      <c r="M164" s="2">
        <f t="shared" si="10"/>
        <v>20</v>
      </c>
      <c r="N164" s="2">
        <f t="shared" si="11"/>
        <v>68.7</v>
      </c>
      <c r="O164" s="2">
        <f>IF(M164="","",IF(M164&gt;=1000,95,IF(M164&lt;=12.5,50,LOOKUP(M164,{12.5,15,20,30,45,60,75,105,115,150,200,225,250,600,1000},{50,55,60,62,65,68,70,72,75,80,82,85,87,90,95})+(M164-LOOKUP(M164,{12.5,15,20,30,45,60,75,105,115,150,200,225,250,600},{12.5,15,20,30,45,60,75,105,115,150,200,225,250,600}))/(LOOKUP(M164,{12.5,15,20,30,45,60,75,105,115,150,200,225,250,600,1000},{15,20,30,45,60,75,105,115,150,200,225,250,600,1000,1000})-LOOKUP(M164,{12.5,15,20,30,45,60,75,105,115,150,200,225,250,600},{12.5,15,20,30,45,60,75,105,115,150,200,225,250,600}))*(LOOKUP(M164,{12.5,15,20,30,45,60,75,105,115,150,200,225,250,600,1000},{55,60,62,65,68,70,72,75,80,82,85,87,90,95,95})-LOOKUP(M164,{12.5,15,20,30,45,60,75,105,115,150,200,225,250,600,1000},{50,55,60,62,65,68,70,72,75,80,82,85,87,90,95})))))</f>
        <v>60</v>
      </c>
      <c r="P164" s="2">
        <f t="shared" si="13"/>
        <v>16</v>
      </c>
      <c r="Q164" s="2">
        <f t="shared" si="14"/>
        <v>7</v>
      </c>
    </row>
    <row r="165" customHeight="1" spans="1:17">
      <c r="A165" s="2">
        <v>2026</v>
      </c>
      <c r="B165" s="2">
        <v>164</v>
      </c>
      <c r="C165" s="16">
        <f t="shared" si="12"/>
        <v>75.67</v>
      </c>
      <c r="D165" s="2" t="s">
        <v>374</v>
      </c>
      <c r="E165" s="9">
        <v>74</v>
      </c>
      <c r="F165" s="12">
        <v>60</v>
      </c>
      <c r="G165" s="12">
        <v>62</v>
      </c>
      <c r="H165" s="2" t="s">
        <v>122</v>
      </c>
      <c r="I165" s="2" t="s">
        <v>28</v>
      </c>
      <c r="J165" s="4" t="s">
        <v>88</v>
      </c>
      <c r="M165" s="2">
        <f t="shared" si="10"/>
        <v>30</v>
      </c>
      <c r="N165" s="2">
        <f t="shared" si="11"/>
        <v>70</v>
      </c>
      <c r="O165" s="2">
        <f>IF(M165="","",IF(M165&gt;=1000,95,IF(M165&lt;=12.5,50,LOOKUP(M165,{12.5,15,20,30,45,60,75,105,115,150,200,225,250,600,1000},{50,55,60,62,65,68,70,72,75,80,82,85,87,90,95})+(M165-LOOKUP(M165,{12.5,15,20,30,45,60,75,105,115,150,200,225,250,600},{12.5,15,20,30,45,60,75,105,115,150,200,225,250,600}))/(LOOKUP(M165,{12.5,15,20,30,45,60,75,105,115,150,200,225,250,600,1000},{15,20,30,45,60,75,105,115,150,200,225,250,600,1000,1000})-LOOKUP(M165,{12.5,15,20,30,45,60,75,105,115,150,200,225,250,600},{12.5,15,20,30,45,60,75,105,115,150,200,225,250,600}))*(LOOKUP(M165,{12.5,15,20,30,45,60,75,105,115,150,200,225,250,600,1000},{55,60,62,65,68,70,72,75,80,82,85,87,90,95,95})-LOOKUP(M165,{12.5,15,20,30,45,60,75,105,115,150,200,225,250,600,1000},{50,55,60,62,65,68,70,72,75,80,82,85,87,90,95})))))</f>
        <v>62</v>
      </c>
      <c r="P165" s="2">
        <f t="shared" si="13"/>
        <v>12</v>
      </c>
      <c r="Q165" s="2">
        <f t="shared" si="14"/>
        <v>5.67</v>
      </c>
    </row>
    <row r="166" customHeight="1" spans="1:17">
      <c r="A166" s="2">
        <v>2026</v>
      </c>
      <c r="B166" s="2">
        <v>165</v>
      </c>
      <c r="C166" s="16">
        <f t="shared" si="12"/>
        <v>75.67</v>
      </c>
      <c r="D166" s="2" t="s">
        <v>375</v>
      </c>
      <c r="E166" s="9">
        <v>75</v>
      </c>
      <c r="F166" s="2">
        <v>59</v>
      </c>
      <c r="G166" s="2">
        <v>47</v>
      </c>
      <c r="H166" s="2" t="s">
        <v>54</v>
      </c>
      <c r="I166" s="2" t="s">
        <v>28</v>
      </c>
      <c r="J166" s="4" t="s">
        <v>140</v>
      </c>
      <c r="M166" s="2">
        <f t="shared" si="10"/>
        <v>20</v>
      </c>
      <c r="N166" s="2">
        <f t="shared" si="11"/>
        <v>69</v>
      </c>
      <c r="O166" s="2">
        <f>IF(M166="","",IF(M166&gt;=1000,95,IF(M166&lt;=12.5,50,LOOKUP(M166,{12.5,15,20,30,45,60,75,105,115,150,200,225,250,600,1000},{50,55,60,62,65,68,70,72,75,80,82,85,87,90,95})+(M166-LOOKUP(M166,{12.5,15,20,30,45,60,75,105,115,150,200,225,250,600},{12.5,15,20,30,45,60,75,105,115,150,200,225,250,600}))/(LOOKUP(M166,{12.5,15,20,30,45,60,75,105,115,150,200,225,250,600,1000},{15,20,30,45,60,75,105,115,150,200,225,250,600,1000,1000})-LOOKUP(M166,{12.5,15,20,30,45,60,75,105,115,150,200,225,250,600},{12.5,15,20,30,45,60,75,105,115,150,200,225,250,600}))*(LOOKUP(M166,{12.5,15,20,30,45,60,75,105,115,150,200,225,250,600,1000},{55,60,62,65,68,70,72,75,80,82,85,87,90,95,95})-LOOKUP(M166,{12.5,15,20,30,45,60,75,105,115,150,200,225,250,600,1000},{50,55,60,62,65,68,70,72,75,80,82,85,87,90,95})))))</f>
        <v>60</v>
      </c>
      <c r="P166" s="2">
        <f t="shared" si="13"/>
        <v>15</v>
      </c>
      <c r="Q166" s="2">
        <f t="shared" si="14"/>
        <v>6.67</v>
      </c>
    </row>
    <row r="167" customHeight="1" spans="1:17">
      <c r="B167" s="2">
        <v>166</v>
      </c>
      <c r="C167" s="16">
        <f t="shared" si="12"/>
        <v>75.64</v>
      </c>
      <c r="D167" s="2" t="s">
        <v>376</v>
      </c>
      <c r="E167" s="9">
        <v>72</v>
      </c>
      <c r="F167" s="12">
        <v>63</v>
      </c>
      <c r="G167" s="2">
        <v>53</v>
      </c>
      <c r="H167" s="2" t="s">
        <v>166</v>
      </c>
      <c r="I167" s="2" t="s">
        <v>28</v>
      </c>
      <c r="J167" s="4" t="s">
        <v>29</v>
      </c>
      <c r="M167" s="2">
        <f t="shared" si="10"/>
        <v>15</v>
      </c>
      <c r="N167" s="2">
        <f t="shared" si="11"/>
        <v>68.3</v>
      </c>
      <c r="O167" s="2">
        <f>IF(M167="","",IF(M167&gt;=1000,95,IF(M167&lt;=12.5,50,LOOKUP(M167,{12.5,15,20,30,45,60,75,105,115,150,200,225,250,600,1000},{50,55,60,62,65,68,70,72,75,80,82,85,87,90,95})+(M167-LOOKUP(M167,{12.5,15,20,30,45,60,75,105,115,150,200,225,250,600},{12.5,15,20,30,45,60,75,105,115,150,200,225,250,600}))/(LOOKUP(M167,{12.5,15,20,30,45,60,75,105,115,150,200,225,250,600,1000},{15,20,30,45,60,75,105,115,150,200,225,250,600,1000,1000})-LOOKUP(M167,{12.5,15,20,30,45,60,75,105,115,150,200,225,250,600},{12.5,15,20,30,45,60,75,105,115,150,200,225,250,600}))*(LOOKUP(M167,{12.5,15,20,30,45,60,75,105,115,150,200,225,250,600,1000},{55,60,62,65,68,70,72,75,80,82,85,87,90,95,95})-LOOKUP(M167,{12.5,15,20,30,45,60,75,105,115,150,200,225,250,600,1000},{50,55,60,62,65,68,70,72,75,80,82,85,87,90,95})))))</f>
        <v>55</v>
      </c>
      <c r="P167" s="2">
        <f t="shared" si="13"/>
        <v>17</v>
      </c>
      <c r="Q167" s="2">
        <f t="shared" si="14"/>
        <v>7.34</v>
      </c>
    </row>
    <row r="168" customHeight="1" spans="1:17">
      <c r="A168" s="2">
        <v>2026</v>
      </c>
      <c r="B168" s="2">
        <v>167</v>
      </c>
      <c r="C168" s="16">
        <f t="shared" si="12"/>
        <v>75.64</v>
      </c>
      <c r="D168" s="2" t="s">
        <v>377</v>
      </c>
      <c r="E168" s="9">
        <v>79</v>
      </c>
      <c r="F168" s="2">
        <v>47</v>
      </c>
      <c r="G168" s="2">
        <v>36</v>
      </c>
      <c r="H168" s="2" t="s">
        <v>378</v>
      </c>
      <c r="I168" s="2" t="s">
        <v>104</v>
      </c>
      <c r="J168" s="4" t="s">
        <v>88</v>
      </c>
      <c r="K168" s="2" t="s">
        <v>106</v>
      </c>
      <c r="M168" s="2">
        <f t="shared" si="10"/>
        <v>30</v>
      </c>
      <c r="N168" s="2">
        <f t="shared" si="11"/>
        <v>68.3</v>
      </c>
      <c r="O168" s="2">
        <f>IF(M168="","",IF(M168&gt;=1000,95,IF(M168&lt;=12.5,50,LOOKUP(M168,{12.5,15,20,30,45,60,75,105,115,150,200,225,250,600,1000},{50,55,60,62,65,68,70,72,75,80,82,85,87,90,95})+(M168-LOOKUP(M168,{12.5,15,20,30,45,60,75,105,115,150,200,225,250,600},{12.5,15,20,30,45,60,75,105,115,150,200,225,250,600}))/(LOOKUP(M168,{12.5,15,20,30,45,60,75,105,115,150,200,225,250,600,1000},{15,20,30,45,60,75,105,115,150,200,225,250,600,1000,1000})-LOOKUP(M168,{12.5,15,20,30,45,60,75,105,115,150,200,225,250,600},{12.5,15,20,30,45,60,75,105,115,150,200,225,250,600}))*(LOOKUP(M168,{12.5,15,20,30,45,60,75,105,115,150,200,225,250,600,1000},{55,60,62,65,68,70,72,75,80,82,85,87,90,95,95})-LOOKUP(M168,{12.5,15,20,30,45,60,75,105,115,150,200,225,250,600,1000},{50,55,60,62,65,68,70,72,75,80,82,85,87,90,95})))))</f>
        <v>62</v>
      </c>
      <c r="P168" s="2">
        <f t="shared" si="13"/>
        <v>17</v>
      </c>
      <c r="Q168" s="2">
        <f t="shared" si="14"/>
        <v>7.34</v>
      </c>
    </row>
    <row r="169" customHeight="1" spans="1:17">
      <c r="A169" s="2">
        <v>2026</v>
      </c>
      <c r="B169" s="2">
        <v>168</v>
      </c>
      <c r="C169" s="16">
        <f t="shared" si="12"/>
        <v>75.6</v>
      </c>
      <c r="D169" s="2" t="s">
        <v>379</v>
      </c>
      <c r="E169" s="9">
        <v>74</v>
      </c>
      <c r="F169" s="9">
        <v>74</v>
      </c>
      <c r="G169" s="12">
        <v>60</v>
      </c>
      <c r="H169" s="2" t="s">
        <v>54</v>
      </c>
      <c r="I169" s="2" t="s">
        <v>104</v>
      </c>
      <c r="J169" s="4" t="s">
        <v>34</v>
      </c>
      <c r="M169" s="2">
        <f t="shared" si="10"/>
        <v>60</v>
      </c>
      <c r="N169" s="2">
        <f t="shared" si="11"/>
        <v>72.6</v>
      </c>
      <c r="O169" s="2">
        <f>IF(M169="","",IF(M169&gt;=1000,95,IF(M169&lt;=12.5,50,LOOKUP(M169,{12.5,15,20,30,45,60,75,105,115,150,200,225,250,600,1000},{50,55,60,62,65,68,70,72,75,80,82,85,87,90,95})+(M169-LOOKUP(M169,{12.5,15,20,30,45,60,75,105,115,150,200,225,250,600},{12.5,15,20,30,45,60,75,105,115,150,200,225,250,600}))/(LOOKUP(M169,{12.5,15,20,30,45,60,75,105,115,150,200,225,250,600,1000},{15,20,30,45,60,75,105,115,150,200,225,250,600,1000,1000})-LOOKUP(M169,{12.5,15,20,30,45,60,75,105,115,150,200,225,250,600},{12.5,15,20,30,45,60,75,105,115,150,200,225,250,600}))*(LOOKUP(M169,{12.5,15,20,30,45,60,75,105,115,150,200,225,250,600,1000},{55,60,62,65,68,70,72,75,80,82,85,87,90,95,95})-LOOKUP(M169,{12.5,15,20,30,45,60,75,105,115,150,200,225,250,600,1000},{50,55,60,62,65,68,70,72,75,80,82,85,87,90,95})))))</f>
        <v>68</v>
      </c>
      <c r="P169" s="2">
        <f t="shared" si="13"/>
        <v>6</v>
      </c>
      <c r="Q169" s="2">
        <f t="shared" si="14"/>
        <v>3</v>
      </c>
    </row>
    <row r="170" customHeight="1" spans="1:17">
      <c r="B170" s="2">
        <v>169</v>
      </c>
      <c r="C170" s="16">
        <f t="shared" si="12"/>
        <v>75.57</v>
      </c>
      <c r="D170" s="2" t="s">
        <v>380</v>
      </c>
      <c r="E170" s="9">
        <v>75</v>
      </c>
      <c r="F170" s="2">
        <v>55</v>
      </c>
      <c r="G170" s="2">
        <v>54</v>
      </c>
      <c r="H170" s="2" t="s">
        <v>41</v>
      </c>
      <c r="I170" s="2" t="s">
        <v>28</v>
      </c>
      <c r="J170" s="4" t="s">
        <v>140</v>
      </c>
      <c r="K170" s="2" t="s">
        <v>381</v>
      </c>
      <c r="M170" s="2">
        <f t="shared" si="10"/>
        <v>20</v>
      </c>
      <c r="N170" s="2">
        <f t="shared" si="11"/>
        <v>68.9</v>
      </c>
      <c r="O170" s="2">
        <f>IF(M170="","",IF(M170&gt;=1000,95,IF(M170&lt;=12.5,50,LOOKUP(M170,{12.5,15,20,30,45,60,75,105,115,150,200,225,250,600,1000},{50,55,60,62,65,68,70,72,75,80,82,85,87,90,95})+(M170-LOOKUP(M170,{12.5,15,20,30,45,60,75,105,115,150,200,225,250,600},{12.5,15,20,30,45,60,75,105,115,150,200,225,250,600}))/(LOOKUP(M170,{12.5,15,20,30,45,60,75,105,115,150,200,225,250,600,1000},{15,20,30,45,60,75,105,115,150,200,225,250,600,1000,1000})-LOOKUP(M170,{12.5,15,20,30,45,60,75,105,115,150,200,225,250,600},{12.5,15,20,30,45,60,75,105,115,150,200,225,250,600}))*(LOOKUP(M170,{12.5,15,20,30,45,60,75,105,115,150,200,225,250,600,1000},{55,60,62,65,68,70,72,75,80,82,85,87,90,95,95})-LOOKUP(M170,{12.5,15,20,30,45,60,75,105,115,150,200,225,250,600,1000},{50,55,60,62,65,68,70,72,75,80,82,85,87,90,95})))))</f>
        <v>60</v>
      </c>
      <c r="P170" s="2">
        <f t="shared" si="13"/>
        <v>15</v>
      </c>
      <c r="Q170" s="2">
        <f t="shared" si="14"/>
        <v>6.67</v>
      </c>
    </row>
    <row r="171" customHeight="1" spans="1:17">
      <c r="A171" s="2">
        <v>2026</v>
      </c>
      <c r="B171" s="2">
        <v>170</v>
      </c>
      <c r="C171" s="16">
        <f t="shared" si="12"/>
        <v>75.5</v>
      </c>
      <c r="D171" s="2" t="s">
        <v>382</v>
      </c>
      <c r="E171" s="9">
        <v>75</v>
      </c>
      <c r="F171" s="10">
        <v>88</v>
      </c>
      <c r="G171" s="9">
        <v>79</v>
      </c>
      <c r="H171" s="2" t="s">
        <v>54</v>
      </c>
      <c r="I171" s="2" t="s">
        <v>183</v>
      </c>
      <c r="J171" s="4" t="s">
        <v>59</v>
      </c>
      <c r="K171" s="2" t="s">
        <v>383</v>
      </c>
      <c r="M171" s="2">
        <f t="shared" si="10"/>
        <v>150</v>
      </c>
      <c r="N171" s="2">
        <f t="shared" si="11"/>
        <v>78</v>
      </c>
      <c r="O171" s="2">
        <f>IF(M171="","",IF(M171&gt;=1000,95,IF(M171&lt;=12.5,50,LOOKUP(M171,{12.5,15,20,30,45,60,75,105,115,150,200,225,250,600,1000},{50,55,60,62,65,68,70,72,75,80,82,85,87,90,95})+(M171-LOOKUP(M171,{12.5,15,20,30,45,60,75,105,115,150,200,225,250,600},{12.5,15,20,30,45,60,75,105,115,150,200,225,250,600}))/(LOOKUP(M171,{12.5,15,20,30,45,60,75,105,115,150,200,225,250,600,1000},{15,20,30,45,60,75,105,115,150,200,225,250,600,1000,1000})-LOOKUP(M171,{12.5,15,20,30,45,60,75,105,115,150,200,225,250,600},{12.5,15,20,30,45,60,75,105,115,150,200,225,250,600}))*(LOOKUP(M171,{12.5,15,20,30,45,60,75,105,115,150,200,225,250,600,1000},{55,60,62,65,68,70,72,75,80,82,85,87,90,95,95})-LOOKUP(M171,{12.5,15,20,30,45,60,75,105,115,150,200,225,250,600,1000},{50,55,60,62,65,68,70,72,75,80,82,85,87,90,95})))))</f>
        <v>80</v>
      </c>
      <c r="P171" s="2">
        <f t="shared" si="13"/>
        <v>-5</v>
      </c>
      <c r="Q171" s="2">
        <f t="shared" si="14"/>
        <v>-2.5</v>
      </c>
    </row>
    <row r="172" customHeight="1" spans="1:17">
      <c r="B172" s="2">
        <v>171</v>
      </c>
      <c r="C172" s="16">
        <f t="shared" si="12"/>
        <v>75.5</v>
      </c>
      <c r="D172" s="2" t="s">
        <v>384</v>
      </c>
      <c r="E172" s="9">
        <v>79</v>
      </c>
      <c r="F172" s="12">
        <v>69</v>
      </c>
      <c r="G172" s="12">
        <v>69</v>
      </c>
      <c r="H172" s="2" t="s">
        <v>66</v>
      </c>
      <c r="I172" s="2" t="s">
        <v>183</v>
      </c>
      <c r="J172" s="4" t="s">
        <v>59</v>
      </c>
      <c r="M172" s="2">
        <f t="shared" si="10"/>
        <v>150</v>
      </c>
      <c r="N172" s="2">
        <f t="shared" si="11"/>
        <v>76</v>
      </c>
      <c r="O172" s="2">
        <f>IF(M172="","",IF(M172&gt;=1000,95,IF(M172&lt;=12.5,50,LOOKUP(M172,{12.5,15,20,30,45,60,75,105,115,150,200,225,250,600,1000},{50,55,60,62,65,68,70,72,75,80,82,85,87,90,95})+(M172-LOOKUP(M172,{12.5,15,20,30,45,60,75,105,115,150,200,225,250,600},{12.5,15,20,30,45,60,75,105,115,150,200,225,250,600}))/(LOOKUP(M172,{12.5,15,20,30,45,60,75,105,115,150,200,225,250,600,1000},{15,20,30,45,60,75,105,115,150,200,225,250,600,1000,1000})-LOOKUP(M172,{12.5,15,20,30,45,60,75,105,115,150,200,225,250,600},{12.5,15,20,30,45,60,75,105,115,150,200,225,250,600}))*(LOOKUP(M172,{12.5,15,20,30,45,60,75,105,115,150,200,225,250,600,1000},{55,60,62,65,68,70,72,75,80,82,85,87,90,95,95})-LOOKUP(M172,{12.5,15,20,30,45,60,75,105,115,150,200,225,250,600,1000},{50,55,60,62,65,68,70,72,75,80,82,85,87,90,95})))))</f>
        <v>80</v>
      </c>
      <c r="P172" s="2">
        <f t="shared" si="13"/>
        <v>-1</v>
      </c>
      <c r="Q172" s="2">
        <f t="shared" si="14"/>
        <v>-0.5</v>
      </c>
    </row>
    <row r="173" customHeight="1" spans="1:17">
      <c r="A173" s="2">
        <v>2026</v>
      </c>
      <c r="B173" s="2">
        <v>172</v>
      </c>
      <c r="C173" s="16">
        <f t="shared" si="12"/>
        <v>75.5</v>
      </c>
      <c r="D173" s="2" t="s">
        <v>385</v>
      </c>
      <c r="E173" s="9">
        <v>77</v>
      </c>
      <c r="F173" s="2">
        <v>52</v>
      </c>
      <c r="G173" s="2">
        <v>22</v>
      </c>
      <c r="H173" s="2" t="s">
        <v>91</v>
      </c>
      <c r="I173" s="2" t="s">
        <v>28</v>
      </c>
      <c r="J173" s="4" t="s">
        <v>29</v>
      </c>
      <c r="M173" s="2">
        <f t="shared" si="10"/>
        <v>15</v>
      </c>
      <c r="N173" s="2">
        <f t="shared" si="11"/>
        <v>66.5</v>
      </c>
      <c r="O173" s="2">
        <f>IF(M173="","",IF(M173&gt;=1000,95,IF(M173&lt;=12.5,50,LOOKUP(M173,{12.5,15,20,30,45,60,75,105,115,150,200,225,250,600,1000},{50,55,60,62,65,68,70,72,75,80,82,85,87,90,95})+(M173-LOOKUP(M173,{12.5,15,20,30,45,60,75,105,115,150,200,225,250,600},{12.5,15,20,30,45,60,75,105,115,150,200,225,250,600}))/(LOOKUP(M173,{12.5,15,20,30,45,60,75,105,115,150,200,225,250,600,1000},{15,20,30,45,60,75,105,115,150,200,225,250,600,1000,1000})-LOOKUP(M173,{12.5,15,20,30,45,60,75,105,115,150,200,225,250,600},{12.5,15,20,30,45,60,75,105,115,150,200,225,250,600}))*(LOOKUP(M173,{12.5,15,20,30,45,60,75,105,115,150,200,225,250,600,1000},{55,60,62,65,68,70,72,75,80,82,85,87,90,95,95})-LOOKUP(M173,{12.5,15,20,30,45,60,75,105,115,150,200,225,250,600,1000},{50,55,60,62,65,68,70,72,75,80,82,85,87,90,95})))))</f>
        <v>55</v>
      </c>
      <c r="P173" s="2">
        <f t="shared" si="13"/>
        <v>22</v>
      </c>
      <c r="Q173" s="2">
        <f t="shared" si="14"/>
        <v>9</v>
      </c>
    </row>
    <row r="174" customHeight="1" spans="1:17">
      <c r="B174" s="2">
        <v>173</v>
      </c>
      <c r="C174" s="16">
        <f t="shared" si="12"/>
        <v>75.37</v>
      </c>
      <c r="D174" s="2" t="s">
        <v>386</v>
      </c>
      <c r="E174" s="9">
        <v>72</v>
      </c>
      <c r="F174" s="12">
        <v>65</v>
      </c>
      <c r="G174" s="12">
        <v>63</v>
      </c>
      <c r="H174" s="2" t="s">
        <v>41</v>
      </c>
      <c r="I174" s="2" t="s">
        <v>28</v>
      </c>
      <c r="J174" s="4" t="s">
        <v>140</v>
      </c>
      <c r="K174" s="2" t="s">
        <v>387</v>
      </c>
      <c r="M174" s="2">
        <f t="shared" si="10"/>
        <v>20</v>
      </c>
      <c r="N174" s="2">
        <f t="shared" si="11"/>
        <v>69.7</v>
      </c>
      <c r="O174" s="2">
        <f>IF(M174="","",IF(M174&gt;=1000,95,IF(M174&lt;=12.5,50,LOOKUP(M174,{12.5,15,20,30,45,60,75,105,115,150,200,225,250,600,1000},{50,55,60,62,65,68,70,72,75,80,82,85,87,90,95})+(M174-LOOKUP(M174,{12.5,15,20,30,45,60,75,105,115,150,200,225,250,600},{12.5,15,20,30,45,60,75,105,115,150,200,225,250,600}))/(LOOKUP(M174,{12.5,15,20,30,45,60,75,105,115,150,200,225,250,600,1000},{15,20,30,45,60,75,105,115,150,200,225,250,600,1000,1000})-LOOKUP(M174,{12.5,15,20,30,45,60,75,105,115,150,200,225,250,600},{12.5,15,20,30,45,60,75,105,115,150,200,225,250,600}))*(LOOKUP(M174,{12.5,15,20,30,45,60,75,105,115,150,200,225,250,600,1000},{55,60,62,65,68,70,72,75,80,82,85,87,90,95,95})-LOOKUP(M174,{12.5,15,20,30,45,60,75,105,115,150,200,225,250,600,1000},{50,55,60,62,65,68,70,72,75,80,82,85,87,90,95})))))</f>
        <v>60</v>
      </c>
      <c r="P174" s="2">
        <f t="shared" si="13"/>
        <v>12</v>
      </c>
      <c r="Q174" s="2">
        <f t="shared" si="14"/>
        <v>5.67</v>
      </c>
    </row>
    <row r="175" customHeight="1" spans="1:17">
      <c r="A175" s="2">
        <v>2026</v>
      </c>
      <c r="B175" s="2">
        <v>174</v>
      </c>
      <c r="C175" s="16">
        <f t="shared" si="12"/>
        <v>75.3</v>
      </c>
      <c r="D175" s="2" t="s">
        <v>388</v>
      </c>
      <c r="E175" s="9">
        <v>77</v>
      </c>
      <c r="F175" s="12">
        <v>60</v>
      </c>
      <c r="G175" s="2">
        <v>49</v>
      </c>
      <c r="H175" s="2" t="s">
        <v>54</v>
      </c>
      <c r="I175" s="2" t="s">
        <v>55</v>
      </c>
      <c r="J175" s="4" t="s">
        <v>34</v>
      </c>
      <c r="M175" s="2">
        <f t="shared" si="10"/>
        <v>60</v>
      </c>
      <c r="N175" s="2">
        <f t="shared" si="11"/>
        <v>70.8</v>
      </c>
      <c r="O175" s="2">
        <f>IF(M175="","",IF(M175&gt;=1000,95,IF(M175&lt;=12.5,50,LOOKUP(M175,{12.5,15,20,30,45,60,75,105,115,150,200,225,250,600,1000},{50,55,60,62,65,68,70,72,75,80,82,85,87,90,95})+(M175-LOOKUP(M175,{12.5,15,20,30,45,60,75,105,115,150,200,225,250,600},{12.5,15,20,30,45,60,75,105,115,150,200,225,250,600}))/(LOOKUP(M175,{12.5,15,20,30,45,60,75,105,115,150,200,225,250,600,1000},{15,20,30,45,60,75,105,115,150,200,225,250,600,1000,1000})-LOOKUP(M175,{12.5,15,20,30,45,60,75,105,115,150,200,225,250,600},{12.5,15,20,30,45,60,75,105,115,150,200,225,250,600}))*(LOOKUP(M175,{12.5,15,20,30,45,60,75,105,115,150,200,225,250,600,1000},{55,60,62,65,68,70,72,75,80,82,85,87,90,95,95})-LOOKUP(M175,{12.5,15,20,30,45,60,75,105,115,150,200,225,250,600,1000},{50,55,60,62,65,68,70,72,75,80,82,85,87,90,95})))))</f>
        <v>68</v>
      </c>
      <c r="P175" s="2">
        <f t="shared" si="13"/>
        <v>9</v>
      </c>
      <c r="Q175" s="2">
        <f t="shared" si="14"/>
        <v>4.5</v>
      </c>
    </row>
    <row r="176" customHeight="1" spans="1:17">
      <c r="A176" s="2">
        <v>2026</v>
      </c>
      <c r="B176" s="2">
        <v>175</v>
      </c>
      <c r="C176" s="16">
        <f t="shared" si="12"/>
        <v>75.3</v>
      </c>
      <c r="D176" s="2" t="s">
        <v>389</v>
      </c>
      <c r="E176" s="9">
        <v>75</v>
      </c>
      <c r="F176" s="12">
        <v>62</v>
      </c>
      <c r="G176" s="2">
        <v>54</v>
      </c>
      <c r="H176" s="2" t="s">
        <v>54</v>
      </c>
      <c r="I176" s="2" t="s">
        <v>28</v>
      </c>
      <c r="J176" s="4" t="s">
        <v>38</v>
      </c>
      <c r="M176" s="2">
        <f t="shared" si="10"/>
        <v>45</v>
      </c>
      <c r="N176" s="2">
        <f t="shared" si="11"/>
        <v>70.3</v>
      </c>
      <c r="O176" s="2">
        <f>IF(M176="","",IF(M176&gt;=1000,95,IF(M176&lt;=12.5,50,LOOKUP(M176,{12.5,15,20,30,45,60,75,105,115,150,200,225,250,600,1000},{50,55,60,62,65,68,70,72,75,80,82,85,87,90,95})+(M176-LOOKUP(M176,{12.5,15,20,30,45,60,75,105,115,150,200,225,250,600},{12.5,15,20,30,45,60,75,105,115,150,200,225,250,600}))/(LOOKUP(M176,{12.5,15,20,30,45,60,75,105,115,150,200,225,250,600,1000},{15,20,30,45,60,75,105,115,150,200,225,250,600,1000,1000})-LOOKUP(M176,{12.5,15,20,30,45,60,75,105,115,150,200,225,250,600},{12.5,15,20,30,45,60,75,105,115,150,200,225,250,600}))*(LOOKUP(M176,{12.5,15,20,30,45,60,75,105,115,150,200,225,250,600,1000},{55,60,62,65,68,70,72,75,80,82,85,87,90,95,95})-LOOKUP(M176,{12.5,15,20,30,45,60,75,105,115,150,200,225,250,600,1000},{50,55,60,62,65,68,70,72,75,80,82,85,87,90,95})))))</f>
        <v>65</v>
      </c>
      <c r="P176" s="2">
        <f t="shared" si="13"/>
        <v>10</v>
      </c>
      <c r="Q176" s="2">
        <f t="shared" si="14"/>
        <v>5</v>
      </c>
    </row>
    <row r="177" customHeight="1" spans="1:17">
      <c r="B177" s="2">
        <v>176</v>
      </c>
      <c r="C177" s="16">
        <f t="shared" si="12"/>
        <v>75.3</v>
      </c>
      <c r="D177" s="2" t="s">
        <v>390</v>
      </c>
      <c r="E177" s="9">
        <v>77</v>
      </c>
      <c r="F177" s="12">
        <v>63</v>
      </c>
      <c r="G177" s="2">
        <v>53</v>
      </c>
      <c r="H177" s="2" t="s">
        <v>41</v>
      </c>
      <c r="I177" s="2" t="s">
        <v>72</v>
      </c>
      <c r="J177" s="4" t="s">
        <v>24</v>
      </c>
      <c r="M177" s="2">
        <f t="shared" si="10"/>
        <v>75</v>
      </c>
      <c r="N177" s="2">
        <f t="shared" si="11"/>
        <v>71.8</v>
      </c>
      <c r="O177" s="2">
        <f>IF(M177="","",IF(M177&gt;=1000,95,IF(M177&lt;=12.5,50,LOOKUP(M177,{12.5,15,20,30,45,60,75,105,115,150,200,225,250,600,1000},{50,55,60,62,65,68,70,72,75,80,82,85,87,90,95})+(M177-LOOKUP(M177,{12.5,15,20,30,45,60,75,105,115,150,200,225,250,600},{12.5,15,20,30,45,60,75,105,115,150,200,225,250,600}))/(LOOKUP(M177,{12.5,15,20,30,45,60,75,105,115,150,200,225,250,600,1000},{15,20,30,45,60,75,105,115,150,200,225,250,600,1000,1000})-LOOKUP(M177,{12.5,15,20,30,45,60,75,105,115,150,200,225,250,600},{12.5,15,20,30,45,60,75,105,115,150,200,225,250,600}))*(LOOKUP(M177,{12.5,15,20,30,45,60,75,105,115,150,200,225,250,600,1000},{55,60,62,65,68,70,72,75,80,82,85,87,90,95,95})-LOOKUP(M177,{12.5,15,20,30,45,60,75,105,115,150,200,225,250,600,1000},{50,55,60,62,65,68,70,72,75,80,82,85,87,90,95})))))</f>
        <v>70</v>
      </c>
      <c r="P177" s="2">
        <f t="shared" si="13"/>
        <v>7</v>
      </c>
      <c r="Q177" s="2">
        <f t="shared" si="14"/>
        <v>3.5</v>
      </c>
    </row>
    <row r="178" customHeight="1" spans="1:17">
      <c r="A178" s="2">
        <v>2026</v>
      </c>
      <c r="B178" s="2">
        <v>177</v>
      </c>
      <c r="C178" s="16">
        <f t="shared" si="12"/>
        <v>75.2</v>
      </c>
      <c r="D178" s="2" t="s">
        <v>391</v>
      </c>
      <c r="E178" s="9">
        <v>76</v>
      </c>
      <c r="F178" s="12">
        <v>67</v>
      </c>
      <c r="G178" s="2">
        <v>56</v>
      </c>
      <c r="H178" s="2" t="s">
        <v>54</v>
      </c>
      <c r="I178" s="2" t="s">
        <v>104</v>
      </c>
      <c r="J178" s="4" t="s">
        <v>24</v>
      </c>
      <c r="M178" s="2">
        <f t="shared" si="10"/>
        <v>75</v>
      </c>
      <c r="N178" s="2">
        <f t="shared" si="11"/>
        <v>72.2</v>
      </c>
      <c r="O178" s="2">
        <f>IF(M178="","",IF(M178&gt;=1000,95,IF(M178&lt;=12.5,50,LOOKUP(M178,{12.5,15,20,30,45,60,75,105,115,150,200,225,250,600,1000},{50,55,60,62,65,68,70,72,75,80,82,85,87,90,95})+(M178-LOOKUP(M178,{12.5,15,20,30,45,60,75,105,115,150,200,225,250,600},{12.5,15,20,30,45,60,75,105,115,150,200,225,250,600}))/(LOOKUP(M178,{12.5,15,20,30,45,60,75,105,115,150,200,225,250,600,1000},{15,20,30,45,60,75,105,115,150,200,225,250,600,1000,1000})-LOOKUP(M178,{12.5,15,20,30,45,60,75,105,115,150,200,225,250,600},{12.5,15,20,30,45,60,75,105,115,150,200,225,250,600}))*(LOOKUP(M178,{12.5,15,20,30,45,60,75,105,115,150,200,225,250,600,1000},{55,60,62,65,68,70,72,75,80,82,85,87,90,95,95})-LOOKUP(M178,{12.5,15,20,30,45,60,75,105,115,150,200,225,250,600,1000},{50,55,60,62,65,68,70,72,75,80,82,85,87,90,95})))))</f>
        <v>70</v>
      </c>
      <c r="P178" s="2">
        <f t="shared" si="13"/>
        <v>6</v>
      </c>
      <c r="Q178" s="2">
        <f t="shared" si="14"/>
        <v>3</v>
      </c>
    </row>
    <row r="179" customHeight="1" spans="1:17">
      <c r="B179" s="2">
        <v>178</v>
      </c>
      <c r="C179" s="16">
        <f t="shared" si="12"/>
        <v>75.2</v>
      </c>
      <c r="D179" s="2" t="s">
        <v>392</v>
      </c>
      <c r="E179" s="9">
        <v>77</v>
      </c>
      <c r="F179" s="9">
        <v>75</v>
      </c>
      <c r="G179" s="9">
        <v>78</v>
      </c>
      <c r="H179" s="2" t="s">
        <v>37</v>
      </c>
      <c r="I179" s="2" t="s">
        <v>58</v>
      </c>
      <c r="J179" s="4" t="s">
        <v>59</v>
      </c>
      <c r="K179" s="2" t="s">
        <v>393</v>
      </c>
      <c r="M179" s="2">
        <f t="shared" si="10"/>
        <v>150</v>
      </c>
      <c r="N179" s="2">
        <f t="shared" si="11"/>
        <v>76.7</v>
      </c>
      <c r="O179" s="2">
        <f>IF(M179="","",IF(M179&gt;=1000,95,IF(M179&lt;=12.5,50,LOOKUP(M179,{12.5,15,20,30,45,60,75,105,115,150,200,225,250,600,1000},{50,55,60,62,65,68,70,72,75,80,82,85,87,90,95})+(M179-LOOKUP(M179,{12.5,15,20,30,45,60,75,105,115,150,200,225,250,600},{12.5,15,20,30,45,60,75,105,115,150,200,225,250,600}))/(LOOKUP(M179,{12.5,15,20,30,45,60,75,105,115,150,200,225,250,600,1000},{15,20,30,45,60,75,105,115,150,200,225,250,600,1000,1000})-LOOKUP(M179,{12.5,15,20,30,45,60,75,105,115,150,200,225,250,600},{12.5,15,20,30,45,60,75,105,115,150,200,225,250,600}))*(LOOKUP(M179,{12.5,15,20,30,45,60,75,105,115,150,200,225,250,600,1000},{55,60,62,65,68,70,72,75,80,82,85,87,90,95,95})-LOOKUP(M179,{12.5,15,20,30,45,60,75,105,115,150,200,225,250,600,1000},{50,55,60,62,65,68,70,72,75,80,82,85,87,90,95})))))</f>
        <v>80</v>
      </c>
      <c r="P179" s="2">
        <f t="shared" si="13"/>
        <v>-3</v>
      </c>
      <c r="Q179" s="2">
        <f t="shared" si="14"/>
        <v>-1.5</v>
      </c>
    </row>
    <row r="180" customHeight="1" spans="1:17">
      <c r="A180" s="2">
        <v>2026</v>
      </c>
      <c r="B180" s="2">
        <v>179</v>
      </c>
      <c r="C180" s="16">
        <f t="shared" si="12"/>
        <v>75.17</v>
      </c>
      <c r="D180" s="2" t="s">
        <v>394</v>
      </c>
      <c r="E180" s="9">
        <v>73</v>
      </c>
      <c r="F180" s="2">
        <v>56</v>
      </c>
      <c r="G180" s="2">
        <v>52</v>
      </c>
      <c r="H180" s="2" t="s">
        <v>37</v>
      </c>
      <c r="I180" s="2" t="s">
        <v>28</v>
      </c>
      <c r="J180" s="4" t="s">
        <v>29</v>
      </c>
      <c r="M180" s="2">
        <f t="shared" si="10"/>
        <v>15</v>
      </c>
      <c r="N180" s="2">
        <f t="shared" si="11"/>
        <v>67.5</v>
      </c>
      <c r="O180" s="2">
        <f>IF(M180="","",IF(M180&gt;=1000,95,IF(M180&lt;=12.5,50,LOOKUP(M180,{12.5,15,20,30,45,60,75,105,115,150,200,225,250,600,1000},{50,55,60,62,65,68,70,72,75,80,82,85,87,90,95})+(M180-LOOKUP(M180,{12.5,15,20,30,45,60,75,105,115,150,200,225,250,600},{12.5,15,20,30,45,60,75,105,115,150,200,225,250,600}))/(LOOKUP(M180,{12.5,15,20,30,45,60,75,105,115,150,200,225,250,600,1000},{15,20,30,45,60,75,105,115,150,200,225,250,600,1000,1000})-LOOKUP(M180,{12.5,15,20,30,45,60,75,105,115,150,200,225,250,600},{12.5,15,20,30,45,60,75,105,115,150,200,225,250,600}))*(LOOKUP(M180,{12.5,15,20,30,45,60,75,105,115,150,200,225,250,600,1000},{55,60,62,65,68,70,72,75,80,82,85,87,90,95,95})-LOOKUP(M180,{12.5,15,20,30,45,60,75,105,115,150,200,225,250,600,1000},{50,55,60,62,65,68,70,72,75,80,82,85,87,90,95})))))</f>
        <v>55</v>
      </c>
      <c r="P180" s="2">
        <f t="shared" si="13"/>
        <v>18</v>
      </c>
      <c r="Q180" s="2">
        <f t="shared" si="14"/>
        <v>7.67</v>
      </c>
    </row>
    <row r="181" customHeight="1" spans="1:17">
      <c r="A181" s="2">
        <v>2026</v>
      </c>
      <c r="B181" s="2">
        <v>180</v>
      </c>
      <c r="C181" s="16">
        <f t="shared" si="12"/>
        <v>75.17</v>
      </c>
      <c r="D181" s="2" t="s">
        <v>395</v>
      </c>
      <c r="E181" s="9">
        <v>75</v>
      </c>
      <c r="F181" s="2">
        <v>58</v>
      </c>
      <c r="G181" s="2">
        <v>44</v>
      </c>
      <c r="H181" s="2" t="s">
        <v>54</v>
      </c>
      <c r="I181" s="2" t="s">
        <v>28</v>
      </c>
      <c r="J181" s="4" t="s">
        <v>140</v>
      </c>
      <c r="K181" s="2" t="s">
        <v>396</v>
      </c>
      <c r="M181" s="2">
        <f t="shared" si="10"/>
        <v>20</v>
      </c>
      <c r="N181" s="2">
        <f t="shared" si="11"/>
        <v>68.5</v>
      </c>
      <c r="O181" s="2">
        <f>IF(M181="","",IF(M181&gt;=1000,95,IF(M181&lt;=12.5,50,LOOKUP(M181,{12.5,15,20,30,45,60,75,105,115,150,200,225,250,600,1000},{50,55,60,62,65,68,70,72,75,80,82,85,87,90,95})+(M181-LOOKUP(M181,{12.5,15,20,30,45,60,75,105,115,150,200,225,250,600},{12.5,15,20,30,45,60,75,105,115,150,200,225,250,600}))/(LOOKUP(M181,{12.5,15,20,30,45,60,75,105,115,150,200,225,250,600,1000},{15,20,30,45,60,75,105,115,150,200,225,250,600,1000,1000})-LOOKUP(M181,{12.5,15,20,30,45,60,75,105,115,150,200,225,250,600},{12.5,15,20,30,45,60,75,105,115,150,200,225,250,600}))*(LOOKUP(M181,{12.5,15,20,30,45,60,75,105,115,150,200,225,250,600,1000},{55,60,62,65,68,70,72,75,80,82,85,87,90,95,95})-LOOKUP(M181,{12.5,15,20,30,45,60,75,105,115,150,200,225,250,600,1000},{50,55,60,62,65,68,70,72,75,80,82,85,87,90,95})))))</f>
        <v>60</v>
      </c>
      <c r="P181" s="2">
        <f t="shared" si="13"/>
        <v>15</v>
      </c>
      <c r="Q181" s="2">
        <f t="shared" si="14"/>
        <v>6.67</v>
      </c>
    </row>
    <row r="182" customHeight="1" spans="1:17">
      <c r="A182" s="2">
        <v>2026</v>
      </c>
      <c r="B182" s="2">
        <v>181</v>
      </c>
      <c r="C182" s="16">
        <f t="shared" si="12"/>
        <v>75.1</v>
      </c>
      <c r="D182" s="2" t="s">
        <v>397</v>
      </c>
      <c r="E182" s="9">
        <v>77</v>
      </c>
      <c r="F182" s="9">
        <v>74</v>
      </c>
      <c r="G182" s="2">
        <v>54</v>
      </c>
      <c r="H182" s="2" t="s">
        <v>135</v>
      </c>
      <c r="I182" s="2" t="s">
        <v>104</v>
      </c>
      <c r="J182" s="4" t="s">
        <v>148</v>
      </c>
      <c r="K182" s="2" t="s">
        <v>398</v>
      </c>
      <c r="M182" s="2">
        <f t="shared" si="10"/>
        <v>115</v>
      </c>
      <c r="N182" s="2">
        <f t="shared" si="11"/>
        <v>74.1</v>
      </c>
      <c r="O182" s="2">
        <f>IF(M182="","",IF(M182&gt;=1000,95,IF(M182&lt;=12.5,50,LOOKUP(M182,{12.5,15,20,30,45,60,75,105,115,150,200,225,250,600,1000},{50,55,60,62,65,68,70,72,75,80,82,85,87,90,95})+(M182-LOOKUP(M182,{12.5,15,20,30,45,60,75,105,115,150,200,225,250,600},{12.5,15,20,30,45,60,75,105,115,150,200,225,250,600}))/(LOOKUP(M182,{12.5,15,20,30,45,60,75,105,115,150,200,225,250,600,1000},{15,20,30,45,60,75,105,115,150,200,225,250,600,1000,1000})-LOOKUP(M182,{12.5,15,20,30,45,60,75,105,115,150,200,225,250,600},{12.5,15,20,30,45,60,75,105,115,150,200,225,250,600}))*(LOOKUP(M182,{12.5,15,20,30,45,60,75,105,115,150,200,225,250,600,1000},{55,60,62,65,68,70,72,75,80,82,85,87,90,95,95})-LOOKUP(M182,{12.5,15,20,30,45,60,75,105,115,150,200,225,250,600,1000},{50,55,60,62,65,68,70,72,75,80,82,85,87,90,95})))))</f>
        <v>75</v>
      </c>
      <c r="P182" s="2">
        <f t="shared" si="13"/>
        <v>2</v>
      </c>
      <c r="Q182" s="2">
        <f t="shared" si="14"/>
        <v>1</v>
      </c>
    </row>
    <row r="183" customHeight="1" spans="1:17">
      <c r="B183" s="2">
        <v>182</v>
      </c>
      <c r="C183" s="16">
        <f t="shared" si="12"/>
        <v>75.1</v>
      </c>
      <c r="D183" s="2" t="s">
        <v>399</v>
      </c>
      <c r="E183" s="10">
        <v>80</v>
      </c>
      <c r="F183" s="12">
        <v>66</v>
      </c>
      <c r="G183" s="2">
        <v>59</v>
      </c>
      <c r="H183" s="2" t="s">
        <v>41</v>
      </c>
      <c r="I183" s="2" t="s">
        <v>28</v>
      </c>
      <c r="J183" s="4" t="s">
        <v>59</v>
      </c>
      <c r="M183" s="2">
        <f t="shared" si="10"/>
        <v>150</v>
      </c>
      <c r="N183" s="2">
        <f t="shared" si="11"/>
        <v>75.1</v>
      </c>
      <c r="O183" s="2">
        <f>IF(M183="","",IF(M183&gt;=1000,95,IF(M183&lt;=12.5,50,LOOKUP(M183,{12.5,15,20,30,45,60,75,105,115,150,200,225,250,600,1000},{50,55,60,62,65,68,70,72,75,80,82,85,87,90,95})+(M183-LOOKUP(M183,{12.5,15,20,30,45,60,75,105,115,150,200,225,250,600},{12.5,15,20,30,45,60,75,105,115,150,200,225,250,600}))/(LOOKUP(M183,{12.5,15,20,30,45,60,75,105,115,150,200,225,250,600,1000},{15,20,30,45,60,75,105,115,150,200,225,250,600,1000,1000})-LOOKUP(M183,{12.5,15,20,30,45,60,75,105,115,150,200,225,250,600},{12.5,15,20,30,45,60,75,105,115,150,200,225,250,600}))*(LOOKUP(M183,{12.5,15,20,30,45,60,75,105,115,150,200,225,250,600,1000},{55,60,62,65,68,70,72,75,80,82,85,87,90,95,95})-LOOKUP(M183,{12.5,15,20,30,45,60,75,105,115,150,200,225,250,600,1000},{50,55,60,62,65,68,70,72,75,80,82,85,87,90,95})))))</f>
        <v>80</v>
      </c>
      <c r="P183" s="2">
        <f t="shared" si="13"/>
        <v>0</v>
      </c>
      <c r="Q183" s="2">
        <f t="shared" si="14"/>
        <v>0</v>
      </c>
    </row>
    <row r="184" customHeight="1" spans="1:17">
      <c r="A184" s="2">
        <v>2026</v>
      </c>
      <c r="B184" s="2">
        <v>183</v>
      </c>
      <c r="C184" s="16">
        <f t="shared" si="12"/>
        <v>75.04</v>
      </c>
      <c r="D184" s="2" t="s">
        <v>400</v>
      </c>
      <c r="E184" s="9">
        <v>74</v>
      </c>
      <c r="F184" s="12">
        <v>62</v>
      </c>
      <c r="G184" s="2">
        <v>45</v>
      </c>
      <c r="H184" s="2" t="s">
        <v>54</v>
      </c>
      <c r="I184" s="2" t="s">
        <v>28</v>
      </c>
      <c r="J184" s="4" t="s">
        <v>140</v>
      </c>
      <c r="K184" s="2" t="s">
        <v>335</v>
      </c>
      <c r="M184" s="2">
        <f t="shared" si="10"/>
        <v>20</v>
      </c>
      <c r="N184" s="2">
        <f t="shared" si="11"/>
        <v>68.7</v>
      </c>
      <c r="O184" s="2">
        <f>IF(M184="","",IF(M184&gt;=1000,95,IF(M184&lt;=12.5,50,LOOKUP(M184,{12.5,15,20,30,45,60,75,105,115,150,200,225,250,600,1000},{50,55,60,62,65,68,70,72,75,80,82,85,87,90,95})+(M184-LOOKUP(M184,{12.5,15,20,30,45,60,75,105,115,150,200,225,250,600},{12.5,15,20,30,45,60,75,105,115,150,200,225,250,600}))/(LOOKUP(M184,{12.5,15,20,30,45,60,75,105,115,150,200,225,250,600,1000},{15,20,30,45,60,75,105,115,150,200,225,250,600,1000,1000})-LOOKUP(M184,{12.5,15,20,30,45,60,75,105,115,150,200,225,250,600},{12.5,15,20,30,45,60,75,105,115,150,200,225,250,600}))*(LOOKUP(M184,{12.5,15,20,30,45,60,75,105,115,150,200,225,250,600,1000},{55,60,62,65,68,70,72,75,80,82,85,87,90,95,95})-LOOKUP(M184,{12.5,15,20,30,45,60,75,105,115,150,200,225,250,600,1000},{50,55,60,62,65,68,70,72,75,80,82,85,87,90,95})))))</f>
        <v>60</v>
      </c>
      <c r="P184" s="2">
        <f t="shared" si="13"/>
        <v>14</v>
      </c>
      <c r="Q184" s="2">
        <f t="shared" si="14"/>
        <v>6.34</v>
      </c>
    </row>
    <row r="185" customHeight="1" spans="1:17">
      <c r="A185" s="2">
        <v>2026</v>
      </c>
      <c r="B185" s="2">
        <v>184</v>
      </c>
      <c r="C185" s="16">
        <f t="shared" si="12"/>
        <v>75</v>
      </c>
      <c r="D185" s="2" t="s">
        <v>401</v>
      </c>
      <c r="E185" s="9">
        <v>76</v>
      </c>
      <c r="F185" s="9">
        <v>70</v>
      </c>
      <c r="G185" s="9">
        <v>73</v>
      </c>
      <c r="H185" s="2" t="s">
        <v>54</v>
      </c>
      <c r="I185" s="2" t="s">
        <v>104</v>
      </c>
      <c r="J185" s="4" t="s">
        <v>148</v>
      </c>
      <c r="M185" s="2">
        <f t="shared" si="10"/>
        <v>115</v>
      </c>
      <c r="N185" s="2">
        <f t="shared" si="11"/>
        <v>74.5</v>
      </c>
      <c r="O185" s="2">
        <f>IF(M185="","",IF(M185&gt;=1000,95,IF(M185&lt;=12.5,50,LOOKUP(M185,{12.5,15,20,30,45,60,75,105,115,150,200,225,250,600,1000},{50,55,60,62,65,68,70,72,75,80,82,85,87,90,95})+(M185-LOOKUP(M185,{12.5,15,20,30,45,60,75,105,115,150,200,225,250,600},{12.5,15,20,30,45,60,75,105,115,150,200,225,250,600}))/(LOOKUP(M185,{12.5,15,20,30,45,60,75,105,115,150,200,225,250,600,1000},{15,20,30,45,60,75,105,115,150,200,225,250,600,1000,1000})-LOOKUP(M185,{12.5,15,20,30,45,60,75,105,115,150,200,225,250,600},{12.5,15,20,30,45,60,75,105,115,150,200,225,250,600}))*(LOOKUP(M185,{12.5,15,20,30,45,60,75,105,115,150,200,225,250,600,1000},{55,60,62,65,68,70,72,75,80,82,85,87,90,95,95})-LOOKUP(M185,{12.5,15,20,30,45,60,75,105,115,150,200,225,250,600,1000},{50,55,60,62,65,68,70,72,75,80,82,85,87,90,95})))))</f>
        <v>75</v>
      </c>
      <c r="P185" s="2">
        <f t="shared" si="13"/>
        <v>1</v>
      </c>
      <c r="Q185" s="2">
        <f t="shared" si="14"/>
        <v>0.5</v>
      </c>
    </row>
    <row r="186" customHeight="1" spans="1:17">
      <c r="A186" s="2">
        <v>2026</v>
      </c>
      <c r="B186" s="2">
        <v>185</v>
      </c>
      <c r="C186" s="16">
        <f t="shared" si="12"/>
        <v>75</v>
      </c>
      <c r="D186" s="2" t="s">
        <v>402</v>
      </c>
      <c r="E186" s="9">
        <v>74</v>
      </c>
      <c r="F186" s="9">
        <v>75</v>
      </c>
      <c r="G186" s="12">
        <v>62</v>
      </c>
      <c r="H186" s="2" t="s">
        <v>41</v>
      </c>
      <c r="I186" s="2" t="s">
        <v>229</v>
      </c>
      <c r="J186" s="4" t="s">
        <v>24</v>
      </c>
      <c r="M186" s="2">
        <f t="shared" si="10"/>
        <v>75</v>
      </c>
      <c r="N186" s="2">
        <f t="shared" si="11"/>
        <v>73</v>
      </c>
      <c r="O186" s="2">
        <f>IF(M186="","",IF(M186&gt;=1000,95,IF(M186&lt;=12.5,50,LOOKUP(M186,{12.5,15,20,30,45,60,75,105,115,150,200,225,250,600,1000},{50,55,60,62,65,68,70,72,75,80,82,85,87,90,95})+(M186-LOOKUP(M186,{12.5,15,20,30,45,60,75,105,115,150,200,225,250,600},{12.5,15,20,30,45,60,75,105,115,150,200,225,250,600}))/(LOOKUP(M186,{12.5,15,20,30,45,60,75,105,115,150,200,225,250,600,1000},{15,20,30,45,60,75,105,115,150,200,225,250,600,1000,1000})-LOOKUP(M186,{12.5,15,20,30,45,60,75,105,115,150,200,225,250,600},{12.5,15,20,30,45,60,75,105,115,150,200,225,250,600}))*(LOOKUP(M186,{12.5,15,20,30,45,60,75,105,115,150,200,225,250,600,1000},{55,60,62,65,68,70,72,75,80,82,85,87,90,95,95})-LOOKUP(M186,{12.5,15,20,30,45,60,75,105,115,150,200,225,250,600,1000},{50,55,60,62,65,68,70,72,75,80,82,85,87,90,95})))))</f>
        <v>70</v>
      </c>
      <c r="P186" s="2">
        <f t="shared" si="13"/>
        <v>4</v>
      </c>
      <c r="Q186" s="2">
        <f t="shared" si="14"/>
        <v>2</v>
      </c>
    </row>
    <row r="187" customHeight="1" spans="1:17">
      <c r="A187" s="2">
        <v>2026</v>
      </c>
      <c r="B187" s="2">
        <v>186</v>
      </c>
      <c r="C187" s="16">
        <f t="shared" si="12"/>
        <v>74.87</v>
      </c>
      <c r="D187" s="2" t="s">
        <v>403</v>
      </c>
      <c r="E187" s="9">
        <v>71</v>
      </c>
      <c r="F187" s="2">
        <v>59</v>
      </c>
      <c r="G187" s="2">
        <v>47</v>
      </c>
      <c r="H187" s="2" t="s">
        <v>231</v>
      </c>
      <c r="I187" s="2" t="s">
        <v>28</v>
      </c>
      <c r="J187" s="4" t="s">
        <v>77</v>
      </c>
      <c r="M187" s="2">
        <f t="shared" si="10"/>
        <v>12.5</v>
      </c>
      <c r="N187" s="2">
        <f t="shared" si="11"/>
        <v>66.2</v>
      </c>
      <c r="O187" s="2">
        <f>IF(M187="","",IF(M187&gt;=1000,95,IF(M187&lt;=12.5,50,LOOKUP(M187,{12.5,15,20,30,45,60,75,105,115,150,200,225,250,600,1000},{50,55,60,62,65,68,70,72,75,80,82,85,87,90,95})+(M187-LOOKUP(M187,{12.5,15,20,30,45,60,75,105,115,150,200,225,250,600},{12.5,15,20,30,45,60,75,105,115,150,200,225,250,600}))/(LOOKUP(M187,{12.5,15,20,30,45,60,75,105,115,150,200,225,250,600,1000},{15,20,30,45,60,75,105,115,150,200,225,250,600,1000,1000})-LOOKUP(M187,{12.5,15,20,30,45,60,75,105,115,150,200,225,250,600},{12.5,15,20,30,45,60,75,105,115,150,200,225,250,600}))*(LOOKUP(M187,{12.5,15,20,30,45,60,75,105,115,150,200,225,250,600,1000},{55,60,62,65,68,70,72,75,80,82,85,87,90,95,95})-LOOKUP(M187,{12.5,15,20,30,45,60,75,105,115,150,200,225,250,600,1000},{50,55,60,62,65,68,70,72,75,80,82,85,87,90,95})))))</f>
        <v>50</v>
      </c>
      <c r="P187" s="2">
        <f t="shared" si="13"/>
        <v>21</v>
      </c>
      <c r="Q187" s="2">
        <f t="shared" si="14"/>
        <v>8.67</v>
      </c>
    </row>
    <row r="188" customHeight="1" spans="1:17">
      <c r="B188" s="2">
        <v>187</v>
      </c>
      <c r="C188" s="16">
        <f t="shared" si="12"/>
        <v>74.84</v>
      </c>
      <c r="D188" s="2" t="s">
        <v>404</v>
      </c>
      <c r="E188" s="9">
        <v>79</v>
      </c>
      <c r="F188" s="2">
        <v>50</v>
      </c>
      <c r="G188" s="2">
        <v>32</v>
      </c>
      <c r="H188" s="2" t="s">
        <v>41</v>
      </c>
      <c r="I188" s="2" t="s">
        <v>321</v>
      </c>
      <c r="J188" s="4" t="s">
        <v>38</v>
      </c>
      <c r="K188" s="2" t="s">
        <v>405</v>
      </c>
      <c r="M188" s="2">
        <f t="shared" si="10"/>
        <v>45</v>
      </c>
      <c r="N188" s="2">
        <f t="shared" si="11"/>
        <v>68.5</v>
      </c>
      <c r="O188" s="2">
        <f>IF(M188="","",IF(M188&gt;=1000,95,IF(M188&lt;=12.5,50,LOOKUP(M188,{12.5,15,20,30,45,60,75,105,115,150,200,225,250,600,1000},{50,55,60,62,65,68,70,72,75,80,82,85,87,90,95})+(M188-LOOKUP(M188,{12.5,15,20,30,45,60,75,105,115,150,200,225,250,600},{12.5,15,20,30,45,60,75,105,115,150,200,225,250,600}))/(LOOKUP(M188,{12.5,15,20,30,45,60,75,105,115,150,200,225,250,600,1000},{15,20,30,45,60,75,105,115,150,200,225,250,600,1000,1000})-LOOKUP(M188,{12.5,15,20,30,45,60,75,105,115,150,200,225,250,600},{12.5,15,20,30,45,60,75,105,115,150,200,225,250,600}))*(LOOKUP(M188,{12.5,15,20,30,45,60,75,105,115,150,200,225,250,600,1000},{55,60,62,65,68,70,72,75,80,82,85,87,90,95,95})-LOOKUP(M188,{12.5,15,20,30,45,60,75,105,115,150,200,225,250,600,1000},{50,55,60,62,65,68,70,72,75,80,82,85,87,90,95})))))</f>
        <v>65</v>
      </c>
      <c r="P188" s="2">
        <f t="shared" si="13"/>
        <v>14</v>
      </c>
      <c r="Q188" s="2">
        <f t="shared" si="14"/>
        <v>6.34</v>
      </c>
    </row>
    <row r="189" customHeight="1" spans="1:17">
      <c r="A189" s="2">
        <v>2026</v>
      </c>
      <c r="B189" s="2">
        <v>188</v>
      </c>
      <c r="C189" s="16">
        <f t="shared" si="12"/>
        <v>74.8</v>
      </c>
      <c r="D189" s="2" t="s">
        <v>406</v>
      </c>
      <c r="E189" s="9">
        <v>77</v>
      </c>
      <c r="F189" s="12">
        <v>60</v>
      </c>
      <c r="G189" s="12">
        <v>64</v>
      </c>
      <c r="H189" s="2" t="s">
        <v>54</v>
      </c>
      <c r="I189" s="2" t="s">
        <v>104</v>
      </c>
      <c r="J189" s="4" t="s">
        <v>105</v>
      </c>
      <c r="M189" s="2">
        <f t="shared" si="10"/>
        <v>105</v>
      </c>
      <c r="N189" s="2">
        <f t="shared" si="11"/>
        <v>72.3</v>
      </c>
      <c r="O189" s="2">
        <f>IF(M189="","",IF(M189&gt;=1000,95,IF(M189&lt;=12.5,50,LOOKUP(M189,{12.5,15,20,30,45,60,75,105,115,150,200,225,250,600,1000},{50,55,60,62,65,68,70,72,75,80,82,85,87,90,95})+(M189-LOOKUP(M189,{12.5,15,20,30,45,60,75,105,115,150,200,225,250,600},{12.5,15,20,30,45,60,75,105,115,150,200,225,250,600}))/(LOOKUP(M189,{12.5,15,20,30,45,60,75,105,115,150,200,225,250,600,1000},{15,20,30,45,60,75,105,115,150,200,225,250,600,1000,1000})-LOOKUP(M189,{12.5,15,20,30,45,60,75,105,115,150,200,225,250,600},{12.5,15,20,30,45,60,75,105,115,150,200,225,250,600}))*(LOOKUP(M189,{12.5,15,20,30,45,60,75,105,115,150,200,225,250,600,1000},{55,60,62,65,68,70,72,75,80,82,85,87,90,95,95})-LOOKUP(M189,{12.5,15,20,30,45,60,75,105,115,150,200,225,250,600,1000},{50,55,60,62,65,68,70,72,75,80,82,85,87,90,95})))))</f>
        <v>72</v>
      </c>
      <c r="P189" s="2">
        <f t="shared" si="13"/>
        <v>5</v>
      </c>
      <c r="Q189" s="2">
        <f t="shared" si="14"/>
        <v>2.5</v>
      </c>
    </row>
    <row r="190" customHeight="1" spans="1:17">
      <c r="A190" s="2">
        <v>2026</v>
      </c>
      <c r="B190" s="2">
        <v>189</v>
      </c>
      <c r="C190" s="16">
        <f t="shared" si="12"/>
        <v>74.8</v>
      </c>
      <c r="D190" s="2" t="s">
        <v>407</v>
      </c>
      <c r="E190" s="9">
        <v>74</v>
      </c>
      <c r="F190" s="2">
        <v>52</v>
      </c>
      <c r="G190" s="2">
        <v>46</v>
      </c>
      <c r="H190" s="2" t="s">
        <v>54</v>
      </c>
      <c r="I190" s="2" t="s">
        <v>28</v>
      </c>
      <c r="J190" s="4" t="s">
        <v>29</v>
      </c>
      <c r="K190" s="2" t="s">
        <v>408</v>
      </c>
      <c r="M190" s="2">
        <f t="shared" si="10"/>
        <v>15</v>
      </c>
      <c r="N190" s="2">
        <f t="shared" si="11"/>
        <v>66.8</v>
      </c>
      <c r="O190" s="2">
        <f>IF(M190="","",IF(M190&gt;=1000,95,IF(M190&lt;=12.5,50,LOOKUP(M190,{12.5,15,20,30,45,60,75,105,115,150,200,225,250,600,1000},{50,55,60,62,65,68,70,72,75,80,82,85,87,90,95})+(M190-LOOKUP(M190,{12.5,15,20,30,45,60,75,105,115,150,200,225,250,600},{12.5,15,20,30,45,60,75,105,115,150,200,225,250,600}))/(LOOKUP(M190,{12.5,15,20,30,45,60,75,105,115,150,200,225,250,600,1000},{15,20,30,45,60,75,105,115,150,200,225,250,600,1000,1000})-LOOKUP(M190,{12.5,15,20,30,45,60,75,105,115,150,200,225,250,600},{12.5,15,20,30,45,60,75,105,115,150,200,225,250,600}))*(LOOKUP(M190,{12.5,15,20,30,45,60,75,105,115,150,200,225,250,600,1000},{55,60,62,65,68,70,72,75,80,82,85,87,90,95,95})-LOOKUP(M190,{12.5,15,20,30,45,60,75,105,115,150,200,225,250,600,1000},{50,55,60,62,65,68,70,72,75,80,82,85,87,90,95})))))</f>
        <v>55</v>
      </c>
      <c r="P190" s="2">
        <f t="shared" si="13"/>
        <v>19</v>
      </c>
      <c r="Q190" s="2">
        <f t="shared" si="14"/>
        <v>8</v>
      </c>
    </row>
    <row r="191" customHeight="1" spans="1:17">
      <c r="A191" s="2">
        <v>2026</v>
      </c>
      <c r="B191" s="2">
        <v>190</v>
      </c>
      <c r="C191" s="16">
        <f t="shared" si="12"/>
        <v>74.8</v>
      </c>
      <c r="D191" s="2" t="s">
        <v>409</v>
      </c>
      <c r="E191" s="9">
        <v>78</v>
      </c>
      <c r="F191" s="2">
        <v>52</v>
      </c>
      <c r="G191" s="2">
        <v>38</v>
      </c>
      <c r="H191" s="2" t="s">
        <v>347</v>
      </c>
      <c r="I191" s="2" t="s">
        <v>63</v>
      </c>
      <c r="J191" s="4" t="s">
        <v>38</v>
      </c>
      <c r="K191" s="2" t="s">
        <v>410</v>
      </c>
      <c r="M191" s="2">
        <f t="shared" si="10"/>
        <v>45</v>
      </c>
      <c r="N191" s="2">
        <f t="shared" si="11"/>
        <v>68.8</v>
      </c>
      <c r="O191" s="2">
        <f>IF(M191="","",IF(M191&gt;=1000,95,IF(M191&lt;=12.5,50,LOOKUP(M191,{12.5,15,20,30,45,60,75,105,115,150,200,225,250,600,1000},{50,55,60,62,65,68,70,72,75,80,82,85,87,90,95})+(M191-LOOKUP(M191,{12.5,15,20,30,45,60,75,105,115,150,200,225,250,600},{12.5,15,20,30,45,60,75,105,115,150,200,225,250,600}))/(LOOKUP(M191,{12.5,15,20,30,45,60,75,105,115,150,200,225,250,600,1000},{15,20,30,45,60,75,105,115,150,200,225,250,600,1000,1000})-LOOKUP(M191,{12.5,15,20,30,45,60,75,105,115,150,200,225,250,600},{12.5,15,20,30,45,60,75,105,115,150,200,225,250,600}))*(LOOKUP(M191,{12.5,15,20,30,45,60,75,105,115,150,200,225,250,600,1000},{55,60,62,65,68,70,72,75,80,82,85,87,90,95,95})-LOOKUP(M191,{12.5,15,20,30,45,60,75,105,115,150,200,225,250,600,1000},{50,55,60,62,65,68,70,72,75,80,82,85,87,90,95})))))</f>
        <v>65</v>
      </c>
      <c r="P191" s="2">
        <f t="shared" si="13"/>
        <v>13</v>
      </c>
      <c r="Q191" s="2">
        <f t="shared" si="14"/>
        <v>6</v>
      </c>
    </row>
    <row r="192" customHeight="1" spans="1:17">
      <c r="A192" s="2">
        <v>2026</v>
      </c>
      <c r="B192" s="2">
        <v>191</v>
      </c>
      <c r="C192" s="16">
        <f t="shared" si="12"/>
        <v>74.7</v>
      </c>
      <c r="D192" s="2" t="s">
        <v>411</v>
      </c>
      <c r="E192" s="9">
        <v>76</v>
      </c>
      <c r="F192" s="12">
        <v>61</v>
      </c>
      <c r="G192" s="2">
        <v>53</v>
      </c>
      <c r="H192" s="2" t="s">
        <v>412</v>
      </c>
      <c r="I192" s="2" t="s">
        <v>104</v>
      </c>
      <c r="J192" s="4" t="s">
        <v>34</v>
      </c>
      <c r="K192" s="2" t="s">
        <v>413</v>
      </c>
      <c r="M192" s="2">
        <f t="shared" si="10"/>
        <v>60</v>
      </c>
      <c r="N192" s="2">
        <f t="shared" si="11"/>
        <v>70.7</v>
      </c>
      <c r="O192" s="2">
        <f>IF(M192="","",IF(M192&gt;=1000,95,IF(M192&lt;=12.5,50,LOOKUP(M192,{12.5,15,20,30,45,60,75,105,115,150,200,225,250,600,1000},{50,55,60,62,65,68,70,72,75,80,82,85,87,90,95})+(M192-LOOKUP(M192,{12.5,15,20,30,45,60,75,105,115,150,200,225,250,600},{12.5,15,20,30,45,60,75,105,115,150,200,225,250,600}))/(LOOKUP(M192,{12.5,15,20,30,45,60,75,105,115,150,200,225,250,600,1000},{15,20,30,45,60,75,105,115,150,200,225,250,600,1000,1000})-LOOKUP(M192,{12.5,15,20,30,45,60,75,105,115,150,200,225,250,600},{12.5,15,20,30,45,60,75,105,115,150,200,225,250,600}))*(LOOKUP(M192,{12.5,15,20,30,45,60,75,105,115,150,200,225,250,600,1000},{55,60,62,65,68,70,72,75,80,82,85,87,90,95,95})-LOOKUP(M192,{12.5,15,20,30,45,60,75,105,115,150,200,225,250,600,1000},{50,55,60,62,65,68,70,72,75,80,82,85,87,90,95})))))</f>
        <v>68</v>
      </c>
      <c r="P192" s="2">
        <f t="shared" si="13"/>
        <v>8</v>
      </c>
      <c r="Q192" s="2">
        <f t="shared" si="14"/>
        <v>4</v>
      </c>
    </row>
    <row r="193" customHeight="1" spans="1:17">
      <c r="B193" s="2">
        <v>192</v>
      </c>
      <c r="C193" s="16">
        <f t="shared" si="12"/>
        <v>74.7</v>
      </c>
      <c r="D193" s="2" t="s">
        <v>414</v>
      </c>
      <c r="E193" s="9">
        <v>76</v>
      </c>
      <c r="F193" s="10">
        <v>85</v>
      </c>
      <c r="G193" s="12">
        <v>65</v>
      </c>
      <c r="H193" s="2" t="s">
        <v>264</v>
      </c>
      <c r="I193" s="2" t="s">
        <v>18</v>
      </c>
      <c r="J193" s="4" t="s">
        <v>59</v>
      </c>
      <c r="K193" s="2" t="s">
        <v>415</v>
      </c>
      <c r="M193" s="2">
        <f t="shared" si="10"/>
        <v>150</v>
      </c>
      <c r="N193" s="2">
        <f t="shared" si="11"/>
        <v>76.7</v>
      </c>
      <c r="O193" s="2">
        <f>IF(M193="","",IF(M193&gt;=1000,95,IF(M193&lt;=12.5,50,LOOKUP(M193,{12.5,15,20,30,45,60,75,105,115,150,200,225,250,600,1000},{50,55,60,62,65,68,70,72,75,80,82,85,87,90,95})+(M193-LOOKUP(M193,{12.5,15,20,30,45,60,75,105,115,150,200,225,250,600},{12.5,15,20,30,45,60,75,105,115,150,200,225,250,600}))/(LOOKUP(M193,{12.5,15,20,30,45,60,75,105,115,150,200,225,250,600,1000},{15,20,30,45,60,75,105,115,150,200,225,250,600,1000,1000})-LOOKUP(M193,{12.5,15,20,30,45,60,75,105,115,150,200,225,250,600},{12.5,15,20,30,45,60,75,105,115,150,200,225,250,600}))*(LOOKUP(M193,{12.5,15,20,30,45,60,75,105,115,150,200,225,250,600,1000},{55,60,62,65,68,70,72,75,80,82,85,87,90,95,95})-LOOKUP(M193,{12.5,15,20,30,45,60,75,105,115,150,200,225,250,600,1000},{50,55,60,62,65,68,70,72,75,80,82,85,87,90,95})))))</f>
        <v>80</v>
      </c>
      <c r="P193" s="2">
        <f t="shared" si="13"/>
        <v>-4</v>
      </c>
      <c r="Q193" s="2">
        <f t="shared" si="14"/>
        <v>-2</v>
      </c>
    </row>
    <row r="194" customHeight="1" spans="1:17">
      <c r="A194" s="2">
        <v>2026</v>
      </c>
      <c r="B194" s="2">
        <v>193</v>
      </c>
      <c r="C194" s="16">
        <f t="shared" si="12"/>
        <v>74.7</v>
      </c>
      <c r="D194" s="2" t="s">
        <v>416</v>
      </c>
      <c r="E194" s="9">
        <v>77</v>
      </c>
      <c r="F194" s="2">
        <v>55</v>
      </c>
      <c r="G194" s="2">
        <v>53</v>
      </c>
      <c r="H194" s="2" t="s">
        <v>41</v>
      </c>
      <c r="I194" s="2" t="s">
        <v>128</v>
      </c>
      <c r="J194" s="4" t="s">
        <v>34</v>
      </c>
      <c r="K194" s="2" t="s">
        <v>417</v>
      </c>
      <c r="M194" s="2">
        <f t="shared" ref="M194:M257" si="15">IF(J194="1000+",1000,(LEFT(J194,FIND("-",J194)-1)+RIGHT(J194,LEN(J194)-FIND("-",J194)))/2)</f>
        <v>60</v>
      </c>
      <c r="N194" s="2">
        <f t="shared" ref="N194:N257" si="16">ROUND(E194*0.7+F194*0.2+G194*0.1,2)</f>
        <v>70.2</v>
      </c>
      <c r="O194" s="2">
        <f>IF(M194="","",IF(M194&gt;=1000,95,IF(M194&lt;=12.5,50,LOOKUP(M194,{12.5,15,20,30,45,60,75,105,115,150,200,225,250,600,1000},{50,55,60,62,65,68,70,72,75,80,82,85,87,90,95})+(M194-LOOKUP(M194,{12.5,15,20,30,45,60,75,105,115,150,200,225,250,600},{12.5,15,20,30,45,60,75,105,115,150,200,225,250,600}))/(LOOKUP(M194,{12.5,15,20,30,45,60,75,105,115,150,200,225,250,600,1000},{15,20,30,45,60,75,105,115,150,200,225,250,600,1000,1000})-LOOKUP(M194,{12.5,15,20,30,45,60,75,105,115,150,200,225,250,600},{12.5,15,20,30,45,60,75,105,115,150,200,225,250,600}))*(LOOKUP(M194,{12.5,15,20,30,45,60,75,105,115,150,200,225,250,600,1000},{55,60,62,65,68,70,72,75,80,82,85,87,90,95,95})-LOOKUP(M194,{12.5,15,20,30,45,60,75,105,115,150,200,225,250,600,1000},{50,55,60,62,65,68,70,72,75,80,82,85,87,90,95})))))</f>
        <v>68</v>
      </c>
      <c r="P194" s="2">
        <f t="shared" si="13"/>
        <v>9</v>
      </c>
      <c r="Q194" s="2">
        <f t="shared" si="14"/>
        <v>4.5</v>
      </c>
    </row>
    <row r="195" customHeight="1" spans="1:17">
      <c r="B195" s="2">
        <v>194</v>
      </c>
      <c r="C195" s="16">
        <f t="shared" si="12"/>
        <v>74.6</v>
      </c>
      <c r="D195" s="2" t="s">
        <v>418</v>
      </c>
      <c r="E195" s="9">
        <v>73</v>
      </c>
      <c r="F195" s="12">
        <v>65</v>
      </c>
      <c r="G195" s="8">
        <v>90</v>
      </c>
      <c r="H195" s="2" t="s">
        <v>49</v>
      </c>
      <c r="I195" s="2" t="s">
        <v>63</v>
      </c>
      <c r="J195" s="4" t="s">
        <v>24</v>
      </c>
      <c r="M195" s="2">
        <f t="shared" si="15"/>
        <v>75</v>
      </c>
      <c r="N195" s="2">
        <f t="shared" si="16"/>
        <v>73.1</v>
      </c>
      <c r="O195" s="2">
        <f>IF(M195="","",IF(M195&gt;=1000,95,IF(M195&lt;=12.5,50,LOOKUP(M195,{12.5,15,20,30,45,60,75,105,115,150,200,225,250,600,1000},{50,55,60,62,65,68,70,72,75,80,82,85,87,90,95})+(M195-LOOKUP(M195,{12.5,15,20,30,45,60,75,105,115,150,200,225,250,600},{12.5,15,20,30,45,60,75,105,115,150,200,225,250,600}))/(LOOKUP(M195,{12.5,15,20,30,45,60,75,105,115,150,200,225,250,600,1000},{15,20,30,45,60,75,105,115,150,200,225,250,600,1000,1000})-LOOKUP(M195,{12.5,15,20,30,45,60,75,105,115,150,200,225,250,600},{12.5,15,20,30,45,60,75,105,115,150,200,225,250,600}))*(LOOKUP(M195,{12.5,15,20,30,45,60,75,105,115,150,200,225,250,600,1000},{55,60,62,65,68,70,72,75,80,82,85,87,90,95,95})-LOOKUP(M195,{12.5,15,20,30,45,60,75,105,115,150,200,225,250,600,1000},{50,55,60,62,65,68,70,72,75,80,82,85,87,90,95})))))</f>
        <v>70</v>
      </c>
      <c r="P195" s="2">
        <f t="shared" si="13"/>
        <v>3</v>
      </c>
      <c r="Q195" s="2">
        <f t="shared" si="14"/>
        <v>1.5</v>
      </c>
    </row>
    <row r="196" customHeight="1" spans="1:17">
      <c r="B196" s="2">
        <v>195</v>
      </c>
      <c r="C196" s="16">
        <f t="shared" si="12"/>
        <v>74.57</v>
      </c>
      <c r="D196" s="2" t="s">
        <v>419</v>
      </c>
      <c r="E196" s="9">
        <v>75</v>
      </c>
      <c r="F196" s="2">
        <v>53</v>
      </c>
      <c r="G196" s="2">
        <v>48</v>
      </c>
      <c r="H196" s="2" t="s">
        <v>91</v>
      </c>
      <c r="I196" s="2" t="s">
        <v>28</v>
      </c>
      <c r="J196" s="4" t="s">
        <v>140</v>
      </c>
      <c r="M196" s="2">
        <f t="shared" si="15"/>
        <v>20</v>
      </c>
      <c r="N196" s="2">
        <f t="shared" si="16"/>
        <v>67.9</v>
      </c>
      <c r="O196" s="2">
        <f>IF(M196="","",IF(M196&gt;=1000,95,IF(M196&lt;=12.5,50,LOOKUP(M196,{12.5,15,20,30,45,60,75,105,115,150,200,225,250,600,1000},{50,55,60,62,65,68,70,72,75,80,82,85,87,90,95})+(M196-LOOKUP(M196,{12.5,15,20,30,45,60,75,105,115,150,200,225,250,600},{12.5,15,20,30,45,60,75,105,115,150,200,225,250,600}))/(LOOKUP(M196,{12.5,15,20,30,45,60,75,105,115,150,200,225,250,600,1000},{15,20,30,45,60,75,105,115,150,200,225,250,600,1000,1000})-LOOKUP(M196,{12.5,15,20,30,45,60,75,105,115,150,200,225,250,600},{12.5,15,20,30,45,60,75,105,115,150,200,225,250,600}))*(LOOKUP(M196,{12.5,15,20,30,45,60,75,105,115,150,200,225,250,600,1000},{55,60,62,65,68,70,72,75,80,82,85,87,90,95,95})-LOOKUP(M196,{12.5,15,20,30,45,60,75,105,115,150,200,225,250,600,1000},{50,55,60,62,65,68,70,72,75,80,82,85,87,90,95})))))</f>
        <v>60</v>
      </c>
      <c r="P196" s="2">
        <f t="shared" si="13"/>
        <v>15</v>
      </c>
      <c r="Q196" s="2">
        <f t="shared" si="14"/>
        <v>6.67</v>
      </c>
    </row>
    <row r="197" customHeight="1" spans="1:17">
      <c r="B197" s="2">
        <v>196</v>
      </c>
      <c r="C197" s="16">
        <f t="shared" ref="C197:C260" si="17">ROUND(MAX(MIN(N197+Q197,100),0),2)</f>
        <v>74.5</v>
      </c>
      <c r="D197" s="2" t="s">
        <v>420</v>
      </c>
      <c r="E197" s="10">
        <v>83</v>
      </c>
      <c r="F197" s="2">
        <v>57</v>
      </c>
      <c r="G197" s="2">
        <v>35</v>
      </c>
      <c r="H197" s="2" t="s">
        <v>421</v>
      </c>
      <c r="I197" s="2" t="s">
        <v>422</v>
      </c>
      <c r="J197" s="4" t="s">
        <v>59</v>
      </c>
      <c r="K197" s="2" t="s">
        <v>423</v>
      </c>
      <c r="M197" s="2">
        <f t="shared" si="15"/>
        <v>150</v>
      </c>
      <c r="N197" s="2">
        <f t="shared" si="16"/>
        <v>73</v>
      </c>
      <c r="O197" s="2">
        <f>IF(M197="","",IF(M197&gt;=1000,95,IF(M197&lt;=12.5,50,LOOKUP(M197,{12.5,15,20,30,45,60,75,105,115,150,200,225,250,600,1000},{50,55,60,62,65,68,70,72,75,80,82,85,87,90,95})+(M197-LOOKUP(M197,{12.5,15,20,30,45,60,75,105,115,150,200,225,250,600},{12.5,15,20,30,45,60,75,105,115,150,200,225,250,600}))/(LOOKUP(M197,{12.5,15,20,30,45,60,75,105,115,150,200,225,250,600,1000},{15,20,30,45,60,75,105,115,150,200,225,250,600,1000,1000})-LOOKUP(M197,{12.5,15,20,30,45,60,75,105,115,150,200,225,250,600},{12.5,15,20,30,45,60,75,105,115,150,200,225,250,600}))*(LOOKUP(M197,{12.5,15,20,30,45,60,75,105,115,150,200,225,250,600,1000},{55,60,62,65,68,70,72,75,80,82,85,87,90,95,95})-LOOKUP(M197,{12.5,15,20,30,45,60,75,105,115,150,200,225,250,600,1000},{50,55,60,62,65,68,70,72,75,80,82,85,87,90,95})))))</f>
        <v>80</v>
      </c>
      <c r="P197" s="2">
        <f t="shared" si="13"/>
        <v>3</v>
      </c>
      <c r="Q197" s="2">
        <f t="shared" si="14"/>
        <v>1.5</v>
      </c>
    </row>
    <row r="198" customHeight="1" spans="1:17">
      <c r="B198" s="2">
        <v>197</v>
      </c>
      <c r="C198" s="16">
        <f t="shared" si="17"/>
        <v>74.5</v>
      </c>
      <c r="D198" s="2" t="s">
        <v>424</v>
      </c>
      <c r="E198" s="9">
        <v>75</v>
      </c>
      <c r="F198" s="12">
        <v>65</v>
      </c>
      <c r="G198" s="12">
        <v>65</v>
      </c>
      <c r="H198" s="2" t="s">
        <v>41</v>
      </c>
      <c r="I198" s="2" t="s">
        <v>42</v>
      </c>
      <c r="J198" s="4" t="s">
        <v>24</v>
      </c>
      <c r="K198" s="2" t="s">
        <v>425</v>
      </c>
      <c r="M198" s="2">
        <f t="shared" si="15"/>
        <v>75</v>
      </c>
      <c r="N198" s="2">
        <f t="shared" si="16"/>
        <v>72</v>
      </c>
      <c r="O198" s="2">
        <f>IF(M198="","",IF(M198&gt;=1000,95,IF(M198&lt;=12.5,50,LOOKUP(M198,{12.5,15,20,30,45,60,75,105,115,150,200,225,250,600,1000},{50,55,60,62,65,68,70,72,75,80,82,85,87,90,95})+(M198-LOOKUP(M198,{12.5,15,20,30,45,60,75,105,115,150,200,225,250,600},{12.5,15,20,30,45,60,75,105,115,150,200,225,250,600}))/(LOOKUP(M198,{12.5,15,20,30,45,60,75,105,115,150,200,225,250,600,1000},{15,20,30,45,60,75,105,115,150,200,225,250,600,1000,1000})-LOOKUP(M198,{12.5,15,20,30,45,60,75,105,115,150,200,225,250,600},{12.5,15,20,30,45,60,75,105,115,150,200,225,250,600}))*(LOOKUP(M198,{12.5,15,20,30,45,60,75,105,115,150,200,225,250,600,1000},{55,60,62,65,68,70,72,75,80,82,85,87,90,95,95})-LOOKUP(M198,{12.5,15,20,30,45,60,75,105,115,150,200,225,250,600,1000},{50,55,60,62,65,68,70,72,75,80,82,85,87,90,95})))))</f>
        <v>70</v>
      </c>
      <c r="P198" s="2">
        <f t="shared" ref="P198:P261" si="18">E198-O198</f>
        <v>5</v>
      </c>
      <c r="Q198" s="2">
        <f t="shared" ref="Q198:Q261" si="19">ROUND(SIGN(P198)*IF(ABS(P198)&lt;=10,ABS(P198)*0.5,IF(ABS(P198)&lt;=15,5+(ABS(P198)-10)*(1.67/5),6.67+(ABS(P198)-15)*0.333)),2)</f>
        <v>2.5</v>
      </c>
    </row>
    <row r="199" customHeight="1" spans="1:17">
      <c r="B199" s="2">
        <v>198</v>
      </c>
      <c r="C199" s="16">
        <f t="shared" si="17"/>
        <v>74.5</v>
      </c>
      <c r="D199" s="2" t="s">
        <v>426</v>
      </c>
      <c r="E199" s="9">
        <v>74</v>
      </c>
      <c r="F199" s="12">
        <v>65</v>
      </c>
      <c r="G199" s="2">
        <v>52</v>
      </c>
      <c r="H199" s="2" t="s">
        <v>279</v>
      </c>
      <c r="I199" s="2" t="s">
        <v>23</v>
      </c>
      <c r="J199" s="4" t="s">
        <v>38</v>
      </c>
      <c r="K199" s="2" t="s">
        <v>427</v>
      </c>
      <c r="M199" s="2">
        <f t="shared" si="15"/>
        <v>45</v>
      </c>
      <c r="N199" s="2">
        <f t="shared" si="16"/>
        <v>70</v>
      </c>
      <c r="O199" s="2">
        <f>IF(M199="","",IF(M199&gt;=1000,95,IF(M199&lt;=12.5,50,LOOKUP(M199,{12.5,15,20,30,45,60,75,105,115,150,200,225,250,600,1000},{50,55,60,62,65,68,70,72,75,80,82,85,87,90,95})+(M199-LOOKUP(M199,{12.5,15,20,30,45,60,75,105,115,150,200,225,250,600},{12.5,15,20,30,45,60,75,105,115,150,200,225,250,600}))/(LOOKUP(M199,{12.5,15,20,30,45,60,75,105,115,150,200,225,250,600,1000},{15,20,30,45,60,75,105,115,150,200,225,250,600,1000,1000})-LOOKUP(M199,{12.5,15,20,30,45,60,75,105,115,150,200,225,250,600},{12.5,15,20,30,45,60,75,105,115,150,200,225,250,600}))*(LOOKUP(M199,{12.5,15,20,30,45,60,75,105,115,150,200,225,250,600,1000},{55,60,62,65,68,70,72,75,80,82,85,87,90,95,95})-LOOKUP(M199,{12.5,15,20,30,45,60,75,105,115,150,200,225,250,600,1000},{50,55,60,62,65,68,70,72,75,80,82,85,87,90,95})))))</f>
        <v>65</v>
      </c>
      <c r="P199" s="2">
        <f t="shared" si="18"/>
        <v>9</v>
      </c>
      <c r="Q199" s="2">
        <f t="shared" si="19"/>
        <v>4.5</v>
      </c>
    </row>
    <row r="200" customHeight="1" spans="1:17">
      <c r="B200" s="2">
        <v>199</v>
      </c>
      <c r="C200" s="16">
        <f t="shared" si="17"/>
        <v>74.5</v>
      </c>
      <c r="D200" s="2" t="s">
        <v>428</v>
      </c>
      <c r="E200" s="9">
        <v>71</v>
      </c>
      <c r="F200" s="12">
        <v>62</v>
      </c>
      <c r="G200" s="2">
        <v>54</v>
      </c>
      <c r="H200" s="2" t="s">
        <v>37</v>
      </c>
      <c r="I200" s="2" t="s">
        <v>28</v>
      </c>
      <c r="J200" s="4" t="s">
        <v>29</v>
      </c>
      <c r="M200" s="2">
        <f t="shared" si="15"/>
        <v>15</v>
      </c>
      <c r="N200" s="2">
        <f t="shared" si="16"/>
        <v>67.5</v>
      </c>
      <c r="O200" s="2">
        <f>IF(M200="","",IF(M200&gt;=1000,95,IF(M200&lt;=12.5,50,LOOKUP(M200,{12.5,15,20,30,45,60,75,105,115,150,200,225,250,600,1000},{50,55,60,62,65,68,70,72,75,80,82,85,87,90,95})+(M200-LOOKUP(M200,{12.5,15,20,30,45,60,75,105,115,150,200,225,250,600},{12.5,15,20,30,45,60,75,105,115,150,200,225,250,600}))/(LOOKUP(M200,{12.5,15,20,30,45,60,75,105,115,150,200,225,250,600,1000},{15,20,30,45,60,75,105,115,150,200,225,250,600,1000,1000})-LOOKUP(M200,{12.5,15,20,30,45,60,75,105,115,150,200,225,250,600},{12.5,15,20,30,45,60,75,105,115,150,200,225,250,600}))*(LOOKUP(M200,{12.5,15,20,30,45,60,75,105,115,150,200,225,250,600,1000},{55,60,62,65,68,70,72,75,80,82,85,87,90,95,95})-LOOKUP(M200,{12.5,15,20,30,45,60,75,105,115,150,200,225,250,600,1000},{50,55,60,62,65,68,70,72,75,80,82,85,87,90,95})))))</f>
        <v>55</v>
      </c>
      <c r="P200" s="2">
        <f t="shared" si="18"/>
        <v>16</v>
      </c>
      <c r="Q200" s="2">
        <f t="shared" si="19"/>
        <v>7</v>
      </c>
    </row>
    <row r="201" customHeight="1" spans="1:17">
      <c r="B201" s="2">
        <v>200</v>
      </c>
      <c r="C201" s="16">
        <f t="shared" si="17"/>
        <v>74.4</v>
      </c>
      <c r="D201" s="2" t="s">
        <v>429</v>
      </c>
      <c r="E201" s="9">
        <v>76</v>
      </c>
      <c r="F201" s="9">
        <v>71</v>
      </c>
      <c r="G201" s="12">
        <v>65</v>
      </c>
      <c r="H201" s="2" t="s">
        <v>37</v>
      </c>
      <c r="I201" s="2" t="s">
        <v>50</v>
      </c>
      <c r="J201" s="4" t="s">
        <v>148</v>
      </c>
      <c r="K201" s="2" t="s">
        <v>430</v>
      </c>
      <c r="M201" s="2">
        <f t="shared" si="15"/>
        <v>115</v>
      </c>
      <c r="N201" s="2">
        <f t="shared" si="16"/>
        <v>73.9</v>
      </c>
      <c r="O201" s="2">
        <f>IF(M201="","",IF(M201&gt;=1000,95,IF(M201&lt;=12.5,50,LOOKUP(M201,{12.5,15,20,30,45,60,75,105,115,150,200,225,250,600,1000},{50,55,60,62,65,68,70,72,75,80,82,85,87,90,95})+(M201-LOOKUP(M201,{12.5,15,20,30,45,60,75,105,115,150,200,225,250,600},{12.5,15,20,30,45,60,75,105,115,150,200,225,250,600}))/(LOOKUP(M201,{12.5,15,20,30,45,60,75,105,115,150,200,225,250,600,1000},{15,20,30,45,60,75,105,115,150,200,225,250,600,1000,1000})-LOOKUP(M201,{12.5,15,20,30,45,60,75,105,115,150,200,225,250,600},{12.5,15,20,30,45,60,75,105,115,150,200,225,250,600}))*(LOOKUP(M201,{12.5,15,20,30,45,60,75,105,115,150,200,225,250,600,1000},{55,60,62,65,68,70,72,75,80,82,85,87,90,95,95})-LOOKUP(M201,{12.5,15,20,30,45,60,75,105,115,150,200,225,250,600,1000},{50,55,60,62,65,68,70,72,75,80,82,85,87,90,95})))))</f>
        <v>75</v>
      </c>
      <c r="P201" s="2">
        <f t="shared" si="18"/>
        <v>1</v>
      </c>
      <c r="Q201" s="2">
        <f t="shared" si="19"/>
        <v>0.5</v>
      </c>
    </row>
    <row r="202" customHeight="1" spans="1:17">
      <c r="B202" s="2">
        <v>201</v>
      </c>
      <c r="C202" s="16">
        <f t="shared" si="17"/>
        <v>74.33</v>
      </c>
      <c r="D202" s="2" t="s">
        <v>431</v>
      </c>
      <c r="E202" s="9">
        <v>71</v>
      </c>
      <c r="F202" s="12">
        <v>64</v>
      </c>
      <c r="G202" s="12">
        <v>65</v>
      </c>
      <c r="H202" s="2" t="s">
        <v>37</v>
      </c>
      <c r="I202" s="2" t="s">
        <v>28</v>
      </c>
      <c r="J202" s="4" t="s">
        <v>140</v>
      </c>
      <c r="M202" s="2">
        <f t="shared" si="15"/>
        <v>20</v>
      </c>
      <c r="N202" s="2">
        <f t="shared" si="16"/>
        <v>69</v>
      </c>
      <c r="O202" s="2">
        <f>IF(M202="","",IF(M202&gt;=1000,95,IF(M202&lt;=12.5,50,LOOKUP(M202,{12.5,15,20,30,45,60,75,105,115,150,200,225,250,600,1000},{50,55,60,62,65,68,70,72,75,80,82,85,87,90,95})+(M202-LOOKUP(M202,{12.5,15,20,30,45,60,75,105,115,150,200,225,250,600},{12.5,15,20,30,45,60,75,105,115,150,200,225,250,600}))/(LOOKUP(M202,{12.5,15,20,30,45,60,75,105,115,150,200,225,250,600,1000},{15,20,30,45,60,75,105,115,150,200,225,250,600,1000,1000})-LOOKUP(M202,{12.5,15,20,30,45,60,75,105,115,150,200,225,250,600},{12.5,15,20,30,45,60,75,105,115,150,200,225,250,600}))*(LOOKUP(M202,{12.5,15,20,30,45,60,75,105,115,150,200,225,250,600,1000},{55,60,62,65,68,70,72,75,80,82,85,87,90,95,95})-LOOKUP(M202,{12.5,15,20,30,45,60,75,105,115,150,200,225,250,600,1000},{50,55,60,62,65,68,70,72,75,80,82,85,87,90,95})))))</f>
        <v>60</v>
      </c>
      <c r="P202" s="2">
        <f t="shared" si="18"/>
        <v>11</v>
      </c>
      <c r="Q202" s="2">
        <f t="shared" si="19"/>
        <v>5.33</v>
      </c>
    </row>
    <row r="203" customHeight="1" spans="1:17">
      <c r="B203" s="2">
        <v>202</v>
      </c>
      <c r="C203" s="16">
        <f t="shared" si="17"/>
        <v>74.3</v>
      </c>
      <c r="D203" s="2" t="s">
        <v>432</v>
      </c>
      <c r="E203" s="9">
        <v>75</v>
      </c>
      <c r="F203" s="2">
        <v>52</v>
      </c>
      <c r="G203" s="2">
        <v>54</v>
      </c>
      <c r="H203" s="2" t="s">
        <v>91</v>
      </c>
      <c r="I203" s="2" t="s">
        <v>28</v>
      </c>
      <c r="J203" s="4" t="s">
        <v>88</v>
      </c>
      <c r="M203" s="2">
        <f t="shared" si="15"/>
        <v>30</v>
      </c>
      <c r="N203" s="2">
        <f t="shared" si="16"/>
        <v>68.3</v>
      </c>
      <c r="O203" s="2">
        <f>IF(M203="","",IF(M203&gt;=1000,95,IF(M203&lt;=12.5,50,LOOKUP(M203,{12.5,15,20,30,45,60,75,105,115,150,200,225,250,600,1000},{50,55,60,62,65,68,70,72,75,80,82,85,87,90,95})+(M203-LOOKUP(M203,{12.5,15,20,30,45,60,75,105,115,150,200,225,250,600},{12.5,15,20,30,45,60,75,105,115,150,200,225,250,600}))/(LOOKUP(M203,{12.5,15,20,30,45,60,75,105,115,150,200,225,250,600,1000},{15,20,30,45,60,75,105,115,150,200,225,250,600,1000,1000})-LOOKUP(M203,{12.5,15,20,30,45,60,75,105,115,150,200,225,250,600},{12.5,15,20,30,45,60,75,105,115,150,200,225,250,600}))*(LOOKUP(M203,{12.5,15,20,30,45,60,75,105,115,150,200,225,250,600,1000},{55,60,62,65,68,70,72,75,80,82,85,87,90,95,95})-LOOKUP(M203,{12.5,15,20,30,45,60,75,105,115,150,200,225,250,600,1000},{50,55,60,62,65,68,70,72,75,80,82,85,87,90,95})))))</f>
        <v>62</v>
      </c>
      <c r="P203" s="2">
        <f t="shared" si="18"/>
        <v>13</v>
      </c>
      <c r="Q203" s="2">
        <f t="shared" si="19"/>
        <v>6</v>
      </c>
    </row>
    <row r="204" customHeight="1" spans="1:17">
      <c r="B204" s="2">
        <v>203</v>
      </c>
      <c r="C204" s="16">
        <f t="shared" si="17"/>
        <v>74.2</v>
      </c>
      <c r="D204" s="2" t="s">
        <v>433</v>
      </c>
      <c r="E204" s="9">
        <v>77</v>
      </c>
      <c r="F204" s="12">
        <v>67</v>
      </c>
      <c r="G204" s="10">
        <v>84</v>
      </c>
      <c r="H204" s="2" t="s">
        <v>175</v>
      </c>
      <c r="I204" s="2" t="s">
        <v>63</v>
      </c>
      <c r="J204" s="4" t="s">
        <v>59</v>
      </c>
      <c r="M204" s="2">
        <f t="shared" si="15"/>
        <v>150</v>
      </c>
      <c r="N204" s="2">
        <f t="shared" si="16"/>
        <v>75.7</v>
      </c>
      <c r="O204" s="2">
        <f>IF(M204="","",IF(M204&gt;=1000,95,IF(M204&lt;=12.5,50,LOOKUP(M204,{12.5,15,20,30,45,60,75,105,115,150,200,225,250,600,1000},{50,55,60,62,65,68,70,72,75,80,82,85,87,90,95})+(M204-LOOKUP(M204,{12.5,15,20,30,45,60,75,105,115,150,200,225,250,600},{12.5,15,20,30,45,60,75,105,115,150,200,225,250,600}))/(LOOKUP(M204,{12.5,15,20,30,45,60,75,105,115,150,200,225,250,600,1000},{15,20,30,45,60,75,105,115,150,200,225,250,600,1000,1000})-LOOKUP(M204,{12.5,15,20,30,45,60,75,105,115,150,200,225,250,600},{12.5,15,20,30,45,60,75,105,115,150,200,225,250,600}))*(LOOKUP(M204,{12.5,15,20,30,45,60,75,105,115,150,200,225,250,600,1000},{55,60,62,65,68,70,72,75,80,82,85,87,90,95,95})-LOOKUP(M204,{12.5,15,20,30,45,60,75,105,115,150,200,225,250,600,1000},{50,55,60,62,65,68,70,72,75,80,82,85,87,90,95})))))</f>
        <v>80</v>
      </c>
      <c r="P204" s="2">
        <f t="shared" si="18"/>
        <v>-3</v>
      </c>
      <c r="Q204" s="2">
        <f t="shared" si="19"/>
        <v>-1.5</v>
      </c>
    </row>
    <row r="205" customHeight="1" spans="1:17">
      <c r="B205" s="2">
        <v>204</v>
      </c>
      <c r="C205" s="16">
        <f t="shared" si="17"/>
        <v>74.2</v>
      </c>
      <c r="D205" s="2" t="s">
        <v>434</v>
      </c>
      <c r="E205" s="9">
        <v>75</v>
      </c>
      <c r="F205" s="12">
        <v>69</v>
      </c>
      <c r="G205" s="12">
        <v>64</v>
      </c>
      <c r="H205" s="2" t="s">
        <v>37</v>
      </c>
      <c r="I205" s="2" t="s">
        <v>435</v>
      </c>
      <c r="J205" s="4" t="s">
        <v>105</v>
      </c>
      <c r="M205" s="2">
        <f t="shared" si="15"/>
        <v>105</v>
      </c>
      <c r="N205" s="2">
        <f t="shared" si="16"/>
        <v>72.7</v>
      </c>
      <c r="O205" s="2">
        <f>IF(M205="","",IF(M205&gt;=1000,95,IF(M205&lt;=12.5,50,LOOKUP(M205,{12.5,15,20,30,45,60,75,105,115,150,200,225,250,600,1000},{50,55,60,62,65,68,70,72,75,80,82,85,87,90,95})+(M205-LOOKUP(M205,{12.5,15,20,30,45,60,75,105,115,150,200,225,250,600},{12.5,15,20,30,45,60,75,105,115,150,200,225,250,600}))/(LOOKUP(M205,{12.5,15,20,30,45,60,75,105,115,150,200,225,250,600,1000},{15,20,30,45,60,75,105,115,150,200,225,250,600,1000,1000})-LOOKUP(M205,{12.5,15,20,30,45,60,75,105,115,150,200,225,250,600},{12.5,15,20,30,45,60,75,105,115,150,200,225,250,600}))*(LOOKUP(M205,{12.5,15,20,30,45,60,75,105,115,150,200,225,250,600,1000},{55,60,62,65,68,70,72,75,80,82,85,87,90,95,95})-LOOKUP(M205,{12.5,15,20,30,45,60,75,105,115,150,200,225,250,600,1000},{50,55,60,62,65,68,70,72,75,80,82,85,87,90,95})))))</f>
        <v>72</v>
      </c>
      <c r="P205" s="2">
        <f t="shared" si="18"/>
        <v>3</v>
      </c>
      <c r="Q205" s="2">
        <f t="shared" si="19"/>
        <v>1.5</v>
      </c>
    </row>
    <row r="206" customHeight="1" spans="1:17">
      <c r="A206" s="2">
        <v>2026</v>
      </c>
      <c r="B206" s="2">
        <v>205</v>
      </c>
      <c r="C206" s="16">
        <f t="shared" si="17"/>
        <v>74.2</v>
      </c>
      <c r="D206" s="2" t="s">
        <v>436</v>
      </c>
      <c r="E206" s="9">
        <v>73</v>
      </c>
      <c r="F206" s="10">
        <v>83</v>
      </c>
      <c r="G206" s="12">
        <v>60</v>
      </c>
      <c r="H206" s="2" t="s">
        <v>54</v>
      </c>
      <c r="I206" s="2" t="s">
        <v>104</v>
      </c>
      <c r="J206" s="4" t="s">
        <v>105</v>
      </c>
      <c r="M206" s="2">
        <f t="shared" si="15"/>
        <v>105</v>
      </c>
      <c r="N206" s="2">
        <f t="shared" si="16"/>
        <v>73.7</v>
      </c>
      <c r="O206" s="2">
        <f>IF(M206="","",IF(M206&gt;=1000,95,IF(M206&lt;=12.5,50,LOOKUP(M206,{12.5,15,20,30,45,60,75,105,115,150,200,225,250,600,1000},{50,55,60,62,65,68,70,72,75,80,82,85,87,90,95})+(M206-LOOKUP(M206,{12.5,15,20,30,45,60,75,105,115,150,200,225,250,600},{12.5,15,20,30,45,60,75,105,115,150,200,225,250,600}))/(LOOKUP(M206,{12.5,15,20,30,45,60,75,105,115,150,200,225,250,600,1000},{15,20,30,45,60,75,105,115,150,200,225,250,600,1000,1000})-LOOKUP(M206,{12.5,15,20,30,45,60,75,105,115,150,200,225,250,600},{12.5,15,20,30,45,60,75,105,115,150,200,225,250,600}))*(LOOKUP(M206,{12.5,15,20,30,45,60,75,105,115,150,200,225,250,600,1000},{55,60,62,65,68,70,72,75,80,82,85,87,90,95,95})-LOOKUP(M206,{12.5,15,20,30,45,60,75,105,115,150,200,225,250,600,1000},{50,55,60,62,65,68,70,72,75,80,82,85,87,90,95})))))</f>
        <v>72</v>
      </c>
      <c r="P206" s="2">
        <f t="shared" si="18"/>
        <v>1</v>
      </c>
      <c r="Q206" s="2">
        <f t="shared" si="19"/>
        <v>0.5</v>
      </c>
    </row>
    <row r="207" customHeight="1" spans="1:17">
      <c r="A207" s="2">
        <v>2026</v>
      </c>
      <c r="B207" s="2">
        <v>206</v>
      </c>
      <c r="C207" s="16">
        <f t="shared" si="17"/>
        <v>74.17</v>
      </c>
      <c r="D207" s="2" t="s">
        <v>437</v>
      </c>
      <c r="E207" s="9">
        <v>77</v>
      </c>
      <c r="F207" s="2">
        <v>53</v>
      </c>
      <c r="G207" s="2">
        <v>40</v>
      </c>
      <c r="H207" s="2" t="s">
        <v>54</v>
      </c>
      <c r="I207" s="2" t="s">
        <v>33</v>
      </c>
      <c r="J207" s="4" t="s">
        <v>38</v>
      </c>
      <c r="M207" s="2">
        <f t="shared" si="15"/>
        <v>45</v>
      </c>
      <c r="N207" s="2">
        <f t="shared" si="16"/>
        <v>68.5</v>
      </c>
      <c r="O207" s="2">
        <f>IF(M207="","",IF(M207&gt;=1000,95,IF(M207&lt;=12.5,50,LOOKUP(M207,{12.5,15,20,30,45,60,75,105,115,150,200,225,250,600,1000},{50,55,60,62,65,68,70,72,75,80,82,85,87,90,95})+(M207-LOOKUP(M207,{12.5,15,20,30,45,60,75,105,115,150,200,225,250,600},{12.5,15,20,30,45,60,75,105,115,150,200,225,250,600}))/(LOOKUP(M207,{12.5,15,20,30,45,60,75,105,115,150,200,225,250,600,1000},{15,20,30,45,60,75,105,115,150,200,225,250,600,1000,1000})-LOOKUP(M207,{12.5,15,20,30,45,60,75,105,115,150,200,225,250,600},{12.5,15,20,30,45,60,75,105,115,150,200,225,250,600}))*(LOOKUP(M207,{12.5,15,20,30,45,60,75,105,115,150,200,225,250,600,1000},{55,60,62,65,68,70,72,75,80,82,85,87,90,95,95})-LOOKUP(M207,{12.5,15,20,30,45,60,75,105,115,150,200,225,250,600,1000},{50,55,60,62,65,68,70,72,75,80,82,85,87,90,95})))))</f>
        <v>65</v>
      </c>
      <c r="P207" s="2">
        <f t="shared" si="18"/>
        <v>12</v>
      </c>
      <c r="Q207" s="2">
        <f t="shared" si="19"/>
        <v>5.67</v>
      </c>
    </row>
    <row r="208" customHeight="1" spans="1:17">
      <c r="A208" s="2">
        <v>2026</v>
      </c>
      <c r="B208" s="2">
        <v>207</v>
      </c>
      <c r="C208" s="16">
        <f t="shared" si="17"/>
        <v>74.17</v>
      </c>
      <c r="D208" s="2" t="s">
        <v>438</v>
      </c>
      <c r="E208" s="9">
        <v>73</v>
      </c>
      <c r="F208" s="2">
        <v>56</v>
      </c>
      <c r="G208" s="2">
        <v>42</v>
      </c>
      <c r="H208" s="2" t="s">
        <v>281</v>
      </c>
      <c r="I208" s="2" t="s">
        <v>28</v>
      </c>
      <c r="J208" s="4" t="s">
        <v>29</v>
      </c>
      <c r="K208" s="2" t="s">
        <v>439</v>
      </c>
      <c r="M208" s="2">
        <f t="shared" si="15"/>
        <v>15</v>
      </c>
      <c r="N208" s="2">
        <f t="shared" si="16"/>
        <v>66.5</v>
      </c>
      <c r="O208" s="2">
        <f>IF(M208="","",IF(M208&gt;=1000,95,IF(M208&lt;=12.5,50,LOOKUP(M208,{12.5,15,20,30,45,60,75,105,115,150,200,225,250,600,1000},{50,55,60,62,65,68,70,72,75,80,82,85,87,90,95})+(M208-LOOKUP(M208,{12.5,15,20,30,45,60,75,105,115,150,200,225,250,600},{12.5,15,20,30,45,60,75,105,115,150,200,225,250,600}))/(LOOKUP(M208,{12.5,15,20,30,45,60,75,105,115,150,200,225,250,600,1000},{15,20,30,45,60,75,105,115,150,200,225,250,600,1000,1000})-LOOKUP(M208,{12.5,15,20,30,45,60,75,105,115,150,200,225,250,600},{12.5,15,20,30,45,60,75,105,115,150,200,225,250,600}))*(LOOKUP(M208,{12.5,15,20,30,45,60,75,105,115,150,200,225,250,600,1000},{55,60,62,65,68,70,72,75,80,82,85,87,90,95,95})-LOOKUP(M208,{12.5,15,20,30,45,60,75,105,115,150,200,225,250,600,1000},{50,55,60,62,65,68,70,72,75,80,82,85,87,90,95})))))</f>
        <v>55</v>
      </c>
      <c r="P208" s="2">
        <f t="shared" si="18"/>
        <v>18</v>
      </c>
      <c r="Q208" s="2">
        <f t="shared" si="19"/>
        <v>7.67</v>
      </c>
    </row>
    <row r="209" customHeight="1" spans="1:17">
      <c r="A209" s="2">
        <v>2026</v>
      </c>
      <c r="B209" s="2">
        <v>208</v>
      </c>
      <c r="C209" s="16">
        <f t="shared" si="17"/>
        <v>74.1</v>
      </c>
      <c r="D209" s="2" t="s">
        <v>440</v>
      </c>
      <c r="E209" s="2">
        <v>78</v>
      </c>
      <c r="F209" s="2">
        <v>52</v>
      </c>
      <c r="G209" s="2">
        <v>51</v>
      </c>
      <c r="H209" s="2" t="s">
        <v>54</v>
      </c>
      <c r="I209" s="2" t="s">
        <v>33</v>
      </c>
      <c r="J209" s="4" t="s">
        <v>24</v>
      </c>
      <c r="M209" s="2">
        <f t="shared" si="15"/>
        <v>75</v>
      </c>
      <c r="N209" s="2">
        <f t="shared" si="16"/>
        <v>70.1</v>
      </c>
      <c r="O209" s="2">
        <f>IF(M209="","",IF(M209&gt;=1000,95,IF(M209&lt;=12.5,50,LOOKUP(M209,{12.5,15,20,30,45,60,75,105,115,150,200,225,250,600,1000},{50,55,60,62,65,68,70,72,75,80,82,85,87,90,95})+(M209-LOOKUP(M209,{12.5,15,20,30,45,60,75,105,115,150,200,225,250,600},{12.5,15,20,30,45,60,75,105,115,150,200,225,250,600}))/(LOOKUP(M209,{12.5,15,20,30,45,60,75,105,115,150,200,225,250,600,1000},{15,20,30,45,60,75,105,115,150,200,225,250,600,1000,1000})-LOOKUP(M209,{12.5,15,20,30,45,60,75,105,115,150,200,225,250,600},{12.5,15,20,30,45,60,75,105,115,150,200,225,250,600}))*(LOOKUP(M209,{12.5,15,20,30,45,60,75,105,115,150,200,225,250,600,1000},{55,60,62,65,68,70,72,75,80,82,85,87,90,95,95})-LOOKUP(M209,{12.5,15,20,30,45,60,75,105,115,150,200,225,250,600,1000},{50,55,60,62,65,68,70,72,75,80,82,85,87,90,95})))))</f>
        <v>70</v>
      </c>
      <c r="P209" s="2">
        <f t="shared" si="18"/>
        <v>8</v>
      </c>
      <c r="Q209" s="2">
        <f t="shared" si="19"/>
        <v>4</v>
      </c>
    </row>
    <row r="210" customHeight="1" spans="1:17">
      <c r="B210" s="2">
        <v>209</v>
      </c>
      <c r="C210" s="16">
        <f t="shared" si="17"/>
        <v>74.1</v>
      </c>
      <c r="D210" s="2" t="s">
        <v>441</v>
      </c>
      <c r="E210" s="9">
        <v>72</v>
      </c>
      <c r="F210" s="12">
        <v>67</v>
      </c>
      <c r="G210" s="10">
        <v>83</v>
      </c>
      <c r="H210" s="2" t="s">
        <v>201</v>
      </c>
      <c r="I210" s="2" t="s">
        <v>63</v>
      </c>
      <c r="J210" s="4" t="s">
        <v>34</v>
      </c>
      <c r="K210" s="2" t="s">
        <v>442</v>
      </c>
      <c r="M210" s="2">
        <f t="shared" si="15"/>
        <v>60</v>
      </c>
      <c r="N210" s="2">
        <f t="shared" si="16"/>
        <v>72.1</v>
      </c>
      <c r="O210" s="2">
        <f>IF(M210="","",IF(M210&gt;=1000,95,IF(M210&lt;=12.5,50,LOOKUP(M210,{12.5,15,20,30,45,60,75,105,115,150,200,225,250,600,1000},{50,55,60,62,65,68,70,72,75,80,82,85,87,90,95})+(M210-LOOKUP(M210,{12.5,15,20,30,45,60,75,105,115,150,200,225,250,600},{12.5,15,20,30,45,60,75,105,115,150,200,225,250,600}))/(LOOKUP(M210,{12.5,15,20,30,45,60,75,105,115,150,200,225,250,600,1000},{15,20,30,45,60,75,105,115,150,200,225,250,600,1000,1000})-LOOKUP(M210,{12.5,15,20,30,45,60,75,105,115,150,200,225,250,600},{12.5,15,20,30,45,60,75,105,115,150,200,225,250,600}))*(LOOKUP(M210,{12.5,15,20,30,45,60,75,105,115,150,200,225,250,600,1000},{55,60,62,65,68,70,72,75,80,82,85,87,90,95,95})-LOOKUP(M210,{12.5,15,20,30,45,60,75,105,115,150,200,225,250,600,1000},{50,55,60,62,65,68,70,72,75,80,82,85,87,90,95})))))</f>
        <v>68</v>
      </c>
      <c r="P210" s="2">
        <f t="shared" si="18"/>
        <v>4</v>
      </c>
      <c r="Q210" s="2">
        <f t="shared" si="19"/>
        <v>2</v>
      </c>
    </row>
    <row r="211" customHeight="1" spans="1:17">
      <c r="B211" s="2">
        <v>210</v>
      </c>
      <c r="C211" s="16">
        <f t="shared" si="17"/>
        <v>74</v>
      </c>
      <c r="D211" s="2" t="s">
        <v>443</v>
      </c>
      <c r="E211" s="9">
        <v>78</v>
      </c>
      <c r="F211" s="12">
        <v>69</v>
      </c>
      <c r="G211" s="12">
        <v>66</v>
      </c>
      <c r="H211" s="2" t="s">
        <v>444</v>
      </c>
      <c r="I211" s="2" t="s">
        <v>183</v>
      </c>
      <c r="J211" s="4" t="s">
        <v>59</v>
      </c>
      <c r="M211" s="2">
        <f t="shared" si="15"/>
        <v>150</v>
      </c>
      <c r="N211" s="2">
        <f t="shared" si="16"/>
        <v>75</v>
      </c>
      <c r="O211" s="2">
        <f>IF(M211="","",IF(M211&gt;=1000,95,IF(M211&lt;=12.5,50,LOOKUP(M211,{12.5,15,20,30,45,60,75,105,115,150,200,225,250,600,1000},{50,55,60,62,65,68,70,72,75,80,82,85,87,90,95})+(M211-LOOKUP(M211,{12.5,15,20,30,45,60,75,105,115,150,200,225,250,600},{12.5,15,20,30,45,60,75,105,115,150,200,225,250,600}))/(LOOKUP(M211,{12.5,15,20,30,45,60,75,105,115,150,200,225,250,600,1000},{15,20,30,45,60,75,105,115,150,200,225,250,600,1000,1000})-LOOKUP(M211,{12.5,15,20,30,45,60,75,105,115,150,200,225,250,600},{12.5,15,20,30,45,60,75,105,115,150,200,225,250,600}))*(LOOKUP(M211,{12.5,15,20,30,45,60,75,105,115,150,200,225,250,600,1000},{55,60,62,65,68,70,72,75,80,82,85,87,90,95,95})-LOOKUP(M211,{12.5,15,20,30,45,60,75,105,115,150,200,225,250,600,1000},{50,55,60,62,65,68,70,72,75,80,82,85,87,90,95})))))</f>
        <v>80</v>
      </c>
      <c r="P211" s="2">
        <f t="shared" si="18"/>
        <v>-2</v>
      </c>
      <c r="Q211" s="2">
        <f t="shared" si="19"/>
        <v>-1</v>
      </c>
    </row>
    <row r="212" customHeight="1" spans="1:17">
      <c r="A212" s="2">
        <v>2026</v>
      </c>
      <c r="B212" s="2">
        <v>211</v>
      </c>
      <c r="C212" s="16">
        <f t="shared" si="17"/>
        <v>74</v>
      </c>
      <c r="D212" s="2" t="s">
        <v>445</v>
      </c>
      <c r="E212" s="9">
        <v>73</v>
      </c>
      <c r="F212" s="12">
        <v>60</v>
      </c>
      <c r="G212" s="2">
        <v>49</v>
      </c>
      <c r="H212" s="2" t="s">
        <v>54</v>
      </c>
      <c r="I212" s="2" t="s">
        <v>28</v>
      </c>
      <c r="J212" s="4" t="s">
        <v>140</v>
      </c>
      <c r="M212" s="2">
        <f t="shared" si="15"/>
        <v>20</v>
      </c>
      <c r="N212" s="2">
        <f t="shared" si="16"/>
        <v>68</v>
      </c>
      <c r="O212" s="2">
        <f>IF(M212="","",IF(M212&gt;=1000,95,IF(M212&lt;=12.5,50,LOOKUP(M212,{12.5,15,20,30,45,60,75,105,115,150,200,225,250,600,1000},{50,55,60,62,65,68,70,72,75,80,82,85,87,90,95})+(M212-LOOKUP(M212,{12.5,15,20,30,45,60,75,105,115,150,200,225,250,600},{12.5,15,20,30,45,60,75,105,115,150,200,225,250,600}))/(LOOKUP(M212,{12.5,15,20,30,45,60,75,105,115,150,200,225,250,600,1000},{15,20,30,45,60,75,105,115,150,200,225,250,600,1000,1000})-LOOKUP(M212,{12.5,15,20,30,45,60,75,105,115,150,200,225,250,600},{12.5,15,20,30,45,60,75,105,115,150,200,225,250,600}))*(LOOKUP(M212,{12.5,15,20,30,45,60,75,105,115,150,200,225,250,600,1000},{55,60,62,65,68,70,72,75,80,82,85,87,90,95,95})-LOOKUP(M212,{12.5,15,20,30,45,60,75,105,115,150,200,225,250,600,1000},{50,55,60,62,65,68,70,72,75,80,82,85,87,90,95})))))</f>
        <v>60</v>
      </c>
      <c r="P212" s="2">
        <f t="shared" si="18"/>
        <v>13</v>
      </c>
      <c r="Q212" s="2">
        <f t="shared" si="19"/>
        <v>6</v>
      </c>
    </row>
    <row r="213" customHeight="1" spans="1:17">
      <c r="A213" s="2">
        <v>2026</v>
      </c>
      <c r="B213" s="2">
        <v>212</v>
      </c>
      <c r="C213" s="16">
        <f t="shared" si="17"/>
        <v>74</v>
      </c>
      <c r="D213" s="2" t="s">
        <v>446</v>
      </c>
      <c r="E213" s="9">
        <v>75</v>
      </c>
      <c r="F213" s="12">
        <v>60</v>
      </c>
      <c r="G213" s="2">
        <v>35</v>
      </c>
      <c r="H213" s="2" t="s">
        <v>116</v>
      </c>
      <c r="I213" s="2" t="s">
        <v>447</v>
      </c>
      <c r="J213" s="4" t="s">
        <v>88</v>
      </c>
      <c r="M213" s="2">
        <f t="shared" si="15"/>
        <v>30</v>
      </c>
      <c r="N213" s="2">
        <f t="shared" si="16"/>
        <v>68</v>
      </c>
      <c r="O213" s="2">
        <f>IF(M213="","",IF(M213&gt;=1000,95,IF(M213&lt;=12.5,50,LOOKUP(M213,{12.5,15,20,30,45,60,75,105,115,150,200,225,250,600,1000},{50,55,60,62,65,68,70,72,75,80,82,85,87,90,95})+(M213-LOOKUP(M213,{12.5,15,20,30,45,60,75,105,115,150,200,225,250,600},{12.5,15,20,30,45,60,75,105,115,150,200,225,250,600}))/(LOOKUP(M213,{12.5,15,20,30,45,60,75,105,115,150,200,225,250,600,1000},{15,20,30,45,60,75,105,115,150,200,225,250,600,1000,1000})-LOOKUP(M213,{12.5,15,20,30,45,60,75,105,115,150,200,225,250,600},{12.5,15,20,30,45,60,75,105,115,150,200,225,250,600}))*(LOOKUP(M213,{12.5,15,20,30,45,60,75,105,115,150,200,225,250,600,1000},{55,60,62,65,68,70,72,75,80,82,85,87,90,95,95})-LOOKUP(M213,{12.5,15,20,30,45,60,75,105,115,150,200,225,250,600,1000},{50,55,60,62,65,68,70,72,75,80,82,85,87,90,95})))))</f>
        <v>62</v>
      </c>
      <c r="P213" s="2">
        <f t="shared" si="18"/>
        <v>13</v>
      </c>
      <c r="Q213" s="2">
        <f t="shared" si="19"/>
        <v>6</v>
      </c>
    </row>
    <row r="214" customHeight="1" spans="1:17">
      <c r="A214" s="2">
        <v>2026</v>
      </c>
      <c r="B214" s="2">
        <v>213</v>
      </c>
      <c r="C214" s="16">
        <f t="shared" si="17"/>
        <v>74</v>
      </c>
      <c r="D214" s="2" t="s">
        <v>448</v>
      </c>
      <c r="E214" s="9">
        <v>76</v>
      </c>
      <c r="F214" s="12">
        <v>61</v>
      </c>
      <c r="G214" s="2">
        <v>56</v>
      </c>
      <c r="H214" s="2" t="s">
        <v>54</v>
      </c>
      <c r="I214" s="2" t="s">
        <v>449</v>
      </c>
      <c r="J214" s="4" t="s">
        <v>24</v>
      </c>
      <c r="M214" s="2">
        <f t="shared" si="15"/>
        <v>75</v>
      </c>
      <c r="N214" s="2">
        <f t="shared" si="16"/>
        <v>71</v>
      </c>
      <c r="O214" s="2">
        <f>IF(M214="","",IF(M214&gt;=1000,95,IF(M214&lt;=12.5,50,LOOKUP(M214,{12.5,15,20,30,45,60,75,105,115,150,200,225,250,600,1000},{50,55,60,62,65,68,70,72,75,80,82,85,87,90,95})+(M214-LOOKUP(M214,{12.5,15,20,30,45,60,75,105,115,150,200,225,250,600},{12.5,15,20,30,45,60,75,105,115,150,200,225,250,600}))/(LOOKUP(M214,{12.5,15,20,30,45,60,75,105,115,150,200,225,250,600,1000},{15,20,30,45,60,75,105,115,150,200,225,250,600,1000,1000})-LOOKUP(M214,{12.5,15,20,30,45,60,75,105,115,150,200,225,250,600},{12.5,15,20,30,45,60,75,105,115,150,200,225,250,600}))*(LOOKUP(M214,{12.5,15,20,30,45,60,75,105,115,150,200,225,250,600,1000},{55,60,62,65,68,70,72,75,80,82,85,87,90,95,95})-LOOKUP(M214,{12.5,15,20,30,45,60,75,105,115,150,200,225,250,600,1000},{50,55,60,62,65,68,70,72,75,80,82,85,87,90,95})))))</f>
        <v>70</v>
      </c>
      <c r="P214" s="2">
        <f t="shared" si="18"/>
        <v>6</v>
      </c>
      <c r="Q214" s="2">
        <f t="shared" si="19"/>
        <v>3</v>
      </c>
    </row>
    <row r="215" customHeight="1" spans="1:17">
      <c r="B215" s="2">
        <v>214</v>
      </c>
      <c r="C215" s="16">
        <f t="shared" si="17"/>
        <v>74</v>
      </c>
      <c r="D215" s="2" t="s">
        <v>450</v>
      </c>
      <c r="E215" s="9">
        <v>76</v>
      </c>
      <c r="F215" s="12">
        <v>63</v>
      </c>
      <c r="G215" s="2">
        <v>42</v>
      </c>
      <c r="H215" s="2" t="s">
        <v>113</v>
      </c>
      <c r="I215" s="2" t="s">
        <v>33</v>
      </c>
      <c r="J215" s="4" t="s">
        <v>34</v>
      </c>
      <c r="K215" s="2" t="s">
        <v>218</v>
      </c>
      <c r="M215" s="2">
        <f t="shared" si="15"/>
        <v>60</v>
      </c>
      <c r="N215" s="2">
        <f t="shared" si="16"/>
        <v>70</v>
      </c>
      <c r="O215" s="2">
        <f>IF(M215="","",IF(M215&gt;=1000,95,IF(M215&lt;=12.5,50,LOOKUP(M215,{12.5,15,20,30,45,60,75,105,115,150,200,225,250,600,1000},{50,55,60,62,65,68,70,72,75,80,82,85,87,90,95})+(M215-LOOKUP(M215,{12.5,15,20,30,45,60,75,105,115,150,200,225,250,600},{12.5,15,20,30,45,60,75,105,115,150,200,225,250,600}))/(LOOKUP(M215,{12.5,15,20,30,45,60,75,105,115,150,200,225,250,600,1000},{15,20,30,45,60,75,105,115,150,200,225,250,600,1000,1000})-LOOKUP(M215,{12.5,15,20,30,45,60,75,105,115,150,200,225,250,600},{12.5,15,20,30,45,60,75,105,115,150,200,225,250,600}))*(LOOKUP(M215,{12.5,15,20,30,45,60,75,105,115,150,200,225,250,600,1000},{55,60,62,65,68,70,72,75,80,82,85,87,90,95,95})-LOOKUP(M215,{12.5,15,20,30,45,60,75,105,115,150,200,225,250,600,1000},{50,55,60,62,65,68,70,72,75,80,82,85,87,90,95})))))</f>
        <v>68</v>
      </c>
      <c r="P215" s="2">
        <f t="shared" si="18"/>
        <v>8</v>
      </c>
      <c r="Q215" s="2">
        <f t="shared" si="19"/>
        <v>4</v>
      </c>
    </row>
    <row r="216" customHeight="1" spans="1:17">
      <c r="A216" s="2">
        <v>2026</v>
      </c>
      <c r="B216" s="2">
        <v>215</v>
      </c>
      <c r="C216" s="16">
        <f t="shared" si="17"/>
        <v>74</v>
      </c>
      <c r="D216" s="2" t="s">
        <v>451</v>
      </c>
      <c r="E216" s="9">
        <v>75</v>
      </c>
      <c r="F216" s="9">
        <v>70</v>
      </c>
      <c r="G216" s="2">
        <v>50</v>
      </c>
      <c r="H216" s="2" t="s">
        <v>41</v>
      </c>
      <c r="I216" s="2" t="s">
        <v>33</v>
      </c>
      <c r="J216" s="4" t="s">
        <v>24</v>
      </c>
      <c r="M216" s="2">
        <f t="shared" si="15"/>
        <v>75</v>
      </c>
      <c r="N216" s="2">
        <f t="shared" si="16"/>
        <v>71.5</v>
      </c>
      <c r="O216" s="2">
        <f>IF(M216="","",IF(M216&gt;=1000,95,IF(M216&lt;=12.5,50,LOOKUP(M216,{12.5,15,20,30,45,60,75,105,115,150,200,225,250,600,1000},{50,55,60,62,65,68,70,72,75,80,82,85,87,90,95})+(M216-LOOKUP(M216,{12.5,15,20,30,45,60,75,105,115,150,200,225,250,600},{12.5,15,20,30,45,60,75,105,115,150,200,225,250,600}))/(LOOKUP(M216,{12.5,15,20,30,45,60,75,105,115,150,200,225,250,600,1000},{15,20,30,45,60,75,105,115,150,200,225,250,600,1000,1000})-LOOKUP(M216,{12.5,15,20,30,45,60,75,105,115,150,200,225,250,600},{12.5,15,20,30,45,60,75,105,115,150,200,225,250,600}))*(LOOKUP(M216,{12.5,15,20,30,45,60,75,105,115,150,200,225,250,600,1000},{55,60,62,65,68,70,72,75,80,82,85,87,90,95,95})-LOOKUP(M216,{12.5,15,20,30,45,60,75,105,115,150,200,225,250,600,1000},{50,55,60,62,65,68,70,72,75,80,82,85,87,90,95})))))</f>
        <v>70</v>
      </c>
      <c r="P216" s="2">
        <f t="shared" si="18"/>
        <v>5</v>
      </c>
      <c r="Q216" s="2">
        <f t="shared" si="19"/>
        <v>2.5</v>
      </c>
    </row>
    <row r="217" customHeight="1" spans="1:17">
      <c r="B217" s="2">
        <v>216</v>
      </c>
      <c r="C217" s="16">
        <f t="shared" si="17"/>
        <v>74</v>
      </c>
      <c r="D217" s="2" t="s">
        <v>452</v>
      </c>
      <c r="E217" s="9">
        <v>76</v>
      </c>
      <c r="F217" s="12">
        <v>69</v>
      </c>
      <c r="G217" s="2">
        <v>40</v>
      </c>
      <c r="H217" s="2" t="s">
        <v>367</v>
      </c>
      <c r="I217" s="2" t="s">
        <v>33</v>
      </c>
      <c r="J217" s="4" t="s">
        <v>24</v>
      </c>
      <c r="M217" s="2">
        <f t="shared" si="15"/>
        <v>75</v>
      </c>
      <c r="N217" s="2">
        <f t="shared" si="16"/>
        <v>71</v>
      </c>
      <c r="O217" s="2">
        <f>IF(M217="","",IF(M217&gt;=1000,95,IF(M217&lt;=12.5,50,LOOKUP(M217,{12.5,15,20,30,45,60,75,105,115,150,200,225,250,600,1000},{50,55,60,62,65,68,70,72,75,80,82,85,87,90,95})+(M217-LOOKUP(M217,{12.5,15,20,30,45,60,75,105,115,150,200,225,250,600},{12.5,15,20,30,45,60,75,105,115,150,200,225,250,600}))/(LOOKUP(M217,{12.5,15,20,30,45,60,75,105,115,150,200,225,250,600,1000},{15,20,30,45,60,75,105,115,150,200,225,250,600,1000,1000})-LOOKUP(M217,{12.5,15,20,30,45,60,75,105,115,150,200,225,250,600},{12.5,15,20,30,45,60,75,105,115,150,200,225,250,600}))*(LOOKUP(M217,{12.5,15,20,30,45,60,75,105,115,150,200,225,250,600,1000},{55,60,62,65,68,70,72,75,80,82,85,87,90,95,95})-LOOKUP(M217,{12.5,15,20,30,45,60,75,105,115,150,200,225,250,600,1000},{50,55,60,62,65,68,70,72,75,80,82,85,87,90,95})))))</f>
        <v>70</v>
      </c>
      <c r="P217" s="2">
        <f t="shared" si="18"/>
        <v>6</v>
      </c>
      <c r="Q217" s="2">
        <f t="shared" si="19"/>
        <v>3</v>
      </c>
    </row>
    <row r="218" customHeight="1" spans="1:17">
      <c r="A218" s="2">
        <v>2026</v>
      </c>
      <c r="B218" s="2">
        <v>217</v>
      </c>
      <c r="C218" s="16">
        <f t="shared" si="17"/>
        <v>73.9</v>
      </c>
      <c r="D218" s="2" t="s">
        <v>453</v>
      </c>
      <c r="E218" s="9">
        <v>74</v>
      </c>
      <c r="F218" s="2">
        <v>57</v>
      </c>
      <c r="G218" s="12">
        <v>62</v>
      </c>
      <c r="H218" s="2" t="s">
        <v>87</v>
      </c>
      <c r="I218" s="2" t="s">
        <v>28</v>
      </c>
      <c r="J218" s="4" t="s">
        <v>38</v>
      </c>
      <c r="M218" s="2">
        <f t="shared" si="15"/>
        <v>45</v>
      </c>
      <c r="N218" s="2">
        <f t="shared" si="16"/>
        <v>69.4</v>
      </c>
      <c r="O218" s="2">
        <f>IF(M218="","",IF(M218&gt;=1000,95,IF(M218&lt;=12.5,50,LOOKUP(M218,{12.5,15,20,30,45,60,75,105,115,150,200,225,250,600,1000},{50,55,60,62,65,68,70,72,75,80,82,85,87,90,95})+(M218-LOOKUP(M218,{12.5,15,20,30,45,60,75,105,115,150,200,225,250,600},{12.5,15,20,30,45,60,75,105,115,150,200,225,250,600}))/(LOOKUP(M218,{12.5,15,20,30,45,60,75,105,115,150,200,225,250,600,1000},{15,20,30,45,60,75,105,115,150,200,225,250,600,1000,1000})-LOOKUP(M218,{12.5,15,20,30,45,60,75,105,115,150,200,225,250,600},{12.5,15,20,30,45,60,75,105,115,150,200,225,250,600}))*(LOOKUP(M218,{12.5,15,20,30,45,60,75,105,115,150,200,225,250,600,1000},{55,60,62,65,68,70,72,75,80,82,85,87,90,95,95})-LOOKUP(M218,{12.5,15,20,30,45,60,75,105,115,150,200,225,250,600,1000},{50,55,60,62,65,68,70,72,75,80,82,85,87,90,95})))))</f>
        <v>65</v>
      </c>
      <c r="P218" s="2">
        <f t="shared" si="18"/>
        <v>9</v>
      </c>
      <c r="Q218" s="2">
        <f t="shared" si="19"/>
        <v>4.5</v>
      </c>
    </row>
    <row r="219" customHeight="1" spans="1:17">
      <c r="B219" s="2">
        <v>218</v>
      </c>
      <c r="C219" s="16">
        <f t="shared" si="17"/>
        <v>73.83</v>
      </c>
      <c r="D219" s="2" t="s">
        <v>454</v>
      </c>
      <c r="E219" s="10">
        <v>80</v>
      </c>
      <c r="F219" s="10">
        <v>83</v>
      </c>
      <c r="G219" s="9">
        <v>79</v>
      </c>
      <c r="H219" s="2" t="s">
        <v>339</v>
      </c>
      <c r="I219" s="2" t="s">
        <v>104</v>
      </c>
      <c r="J219" s="4" t="s">
        <v>43</v>
      </c>
      <c r="K219" s="2" t="s">
        <v>455</v>
      </c>
      <c r="M219" s="2">
        <f t="shared" si="15"/>
        <v>1000</v>
      </c>
      <c r="N219" s="2">
        <f t="shared" si="16"/>
        <v>80.5</v>
      </c>
      <c r="O219" s="2">
        <f>IF(M219="","",IF(M219&gt;=1000,95,IF(M219&lt;=12.5,50,LOOKUP(M219,{12.5,15,20,30,45,60,75,105,115,150,200,225,250,600,1000},{50,55,60,62,65,68,70,72,75,80,82,85,87,90,95})+(M219-LOOKUP(M219,{12.5,15,20,30,45,60,75,105,115,150,200,225,250,600},{12.5,15,20,30,45,60,75,105,115,150,200,225,250,600}))/(LOOKUP(M219,{12.5,15,20,30,45,60,75,105,115,150,200,225,250,600,1000},{15,20,30,45,60,75,105,115,150,200,225,250,600,1000,1000})-LOOKUP(M219,{12.5,15,20,30,45,60,75,105,115,150,200,225,250,600},{12.5,15,20,30,45,60,75,105,115,150,200,225,250,600}))*(LOOKUP(M219,{12.5,15,20,30,45,60,75,105,115,150,200,225,250,600,1000},{55,60,62,65,68,70,72,75,80,82,85,87,90,95,95})-LOOKUP(M219,{12.5,15,20,30,45,60,75,105,115,150,200,225,250,600,1000},{50,55,60,62,65,68,70,72,75,80,82,85,87,90,95})))))</f>
        <v>95</v>
      </c>
      <c r="P219" s="2">
        <f t="shared" si="18"/>
        <v>-15</v>
      </c>
      <c r="Q219" s="2">
        <f t="shared" si="19"/>
        <v>-6.67</v>
      </c>
    </row>
    <row r="220" customHeight="1" spans="1:17">
      <c r="B220" s="2">
        <v>219</v>
      </c>
      <c r="C220" s="16">
        <f t="shared" si="17"/>
        <v>73.83</v>
      </c>
      <c r="D220" s="2" t="s">
        <v>456</v>
      </c>
      <c r="E220" s="9">
        <v>76</v>
      </c>
      <c r="F220" s="2">
        <v>52</v>
      </c>
      <c r="G220" s="2">
        <v>49</v>
      </c>
      <c r="H220" s="2" t="s">
        <v>264</v>
      </c>
      <c r="I220" s="2" t="s">
        <v>28</v>
      </c>
      <c r="J220" s="4" t="s">
        <v>38</v>
      </c>
      <c r="K220" s="2" t="s">
        <v>457</v>
      </c>
      <c r="M220" s="2">
        <f t="shared" si="15"/>
        <v>45</v>
      </c>
      <c r="N220" s="2">
        <f t="shared" si="16"/>
        <v>68.5</v>
      </c>
      <c r="O220" s="2">
        <f>IF(M220="","",IF(M220&gt;=1000,95,IF(M220&lt;=12.5,50,LOOKUP(M220,{12.5,15,20,30,45,60,75,105,115,150,200,225,250,600,1000},{50,55,60,62,65,68,70,72,75,80,82,85,87,90,95})+(M220-LOOKUP(M220,{12.5,15,20,30,45,60,75,105,115,150,200,225,250,600},{12.5,15,20,30,45,60,75,105,115,150,200,225,250,600}))/(LOOKUP(M220,{12.5,15,20,30,45,60,75,105,115,150,200,225,250,600,1000},{15,20,30,45,60,75,105,115,150,200,225,250,600,1000,1000})-LOOKUP(M220,{12.5,15,20,30,45,60,75,105,115,150,200,225,250,600},{12.5,15,20,30,45,60,75,105,115,150,200,225,250,600}))*(LOOKUP(M220,{12.5,15,20,30,45,60,75,105,115,150,200,225,250,600,1000},{55,60,62,65,68,70,72,75,80,82,85,87,90,95,95})-LOOKUP(M220,{12.5,15,20,30,45,60,75,105,115,150,200,225,250,600,1000},{50,55,60,62,65,68,70,72,75,80,82,85,87,90,95})))))</f>
        <v>65</v>
      </c>
      <c r="P220" s="2">
        <f t="shared" si="18"/>
        <v>11</v>
      </c>
      <c r="Q220" s="2">
        <f t="shared" si="19"/>
        <v>5.33</v>
      </c>
    </row>
    <row r="221" customHeight="1" spans="1:17">
      <c r="B221" s="2">
        <v>220</v>
      </c>
      <c r="C221" s="16">
        <f t="shared" si="17"/>
        <v>73.8</v>
      </c>
      <c r="D221" s="2" t="s">
        <v>458</v>
      </c>
      <c r="E221" s="10">
        <v>82</v>
      </c>
      <c r="F221" s="12">
        <v>64</v>
      </c>
      <c r="G221" s="9">
        <v>76</v>
      </c>
      <c r="H221" s="2" t="s">
        <v>66</v>
      </c>
      <c r="I221" s="2" t="s">
        <v>23</v>
      </c>
      <c r="J221" s="4" t="s">
        <v>73</v>
      </c>
      <c r="K221" s="2" t="s">
        <v>459</v>
      </c>
      <c r="M221" s="2">
        <f t="shared" si="15"/>
        <v>600</v>
      </c>
      <c r="N221" s="2">
        <f t="shared" si="16"/>
        <v>77.8</v>
      </c>
      <c r="O221" s="2">
        <f>IF(M221="","",IF(M221&gt;=1000,95,IF(M221&lt;=12.5,50,LOOKUP(M221,{12.5,15,20,30,45,60,75,105,115,150,200,225,250,600,1000},{50,55,60,62,65,68,70,72,75,80,82,85,87,90,95})+(M221-LOOKUP(M221,{12.5,15,20,30,45,60,75,105,115,150,200,225,250,600},{12.5,15,20,30,45,60,75,105,115,150,200,225,250,600}))/(LOOKUP(M221,{12.5,15,20,30,45,60,75,105,115,150,200,225,250,600,1000},{15,20,30,45,60,75,105,115,150,200,225,250,600,1000,1000})-LOOKUP(M221,{12.5,15,20,30,45,60,75,105,115,150,200,225,250,600},{12.5,15,20,30,45,60,75,105,115,150,200,225,250,600}))*(LOOKUP(M221,{12.5,15,20,30,45,60,75,105,115,150,200,225,250,600,1000},{55,60,62,65,68,70,72,75,80,82,85,87,90,95,95})-LOOKUP(M221,{12.5,15,20,30,45,60,75,105,115,150,200,225,250,600,1000},{50,55,60,62,65,68,70,72,75,80,82,85,87,90,95})))))</f>
        <v>90</v>
      </c>
      <c r="P221" s="2">
        <f t="shared" si="18"/>
        <v>-8</v>
      </c>
      <c r="Q221" s="2">
        <f t="shared" si="19"/>
        <v>-4</v>
      </c>
    </row>
    <row r="222" customHeight="1" spans="1:17">
      <c r="B222" s="2">
        <v>221</v>
      </c>
      <c r="C222" s="16">
        <f t="shared" si="17"/>
        <v>73.7</v>
      </c>
      <c r="D222" s="2" t="s">
        <v>460</v>
      </c>
      <c r="E222" s="9">
        <v>75</v>
      </c>
      <c r="F222" s="12">
        <v>60</v>
      </c>
      <c r="G222" s="2">
        <v>57</v>
      </c>
      <c r="H222" s="2" t="s">
        <v>189</v>
      </c>
      <c r="I222" s="2" t="s">
        <v>42</v>
      </c>
      <c r="J222" s="4" t="s">
        <v>34</v>
      </c>
      <c r="M222" s="2">
        <f t="shared" si="15"/>
        <v>60</v>
      </c>
      <c r="N222" s="2">
        <f t="shared" si="16"/>
        <v>70.2</v>
      </c>
      <c r="O222" s="2">
        <f>IF(M222="","",IF(M222&gt;=1000,95,IF(M222&lt;=12.5,50,LOOKUP(M222,{12.5,15,20,30,45,60,75,105,115,150,200,225,250,600,1000},{50,55,60,62,65,68,70,72,75,80,82,85,87,90,95})+(M222-LOOKUP(M222,{12.5,15,20,30,45,60,75,105,115,150,200,225,250,600},{12.5,15,20,30,45,60,75,105,115,150,200,225,250,600}))/(LOOKUP(M222,{12.5,15,20,30,45,60,75,105,115,150,200,225,250,600,1000},{15,20,30,45,60,75,105,115,150,200,225,250,600,1000,1000})-LOOKUP(M222,{12.5,15,20,30,45,60,75,105,115,150,200,225,250,600},{12.5,15,20,30,45,60,75,105,115,150,200,225,250,600}))*(LOOKUP(M222,{12.5,15,20,30,45,60,75,105,115,150,200,225,250,600,1000},{55,60,62,65,68,70,72,75,80,82,85,87,90,95,95})-LOOKUP(M222,{12.5,15,20,30,45,60,75,105,115,150,200,225,250,600,1000},{50,55,60,62,65,68,70,72,75,80,82,85,87,90,95})))))</f>
        <v>68</v>
      </c>
      <c r="P222" s="2">
        <f t="shared" si="18"/>
        <v>7</v>
      </c>
      <c r="Q222" s="2">
        <f t="shared" si="19"/>
        <v>3.5</v>
      </c>
    </row>
    <row r="223" customHeight="1" spans="1:17">
      <c r="B223" s="2">
        <v>222</v>
      </c>
      <c r="C223" s="16">
        <f t="shared" si="17"/>
        <v>73.7</v>
      </c>
      <c r="D223" s="2" t="s">
        <v>461</v>
      </c>
      <c r="E223" s="9">
        <v>74</v>
      </c>
      <c r="F223" s="9">
        <v>75</v>
      </c>
      <c r="G223" s="9">
        <v>74</v>
      </c>
      <c r="H223" s="2" t="s">
        <v>41</v>
      </c>
      <c r="I223" s="2" t="s">
        <v>104</v>
      </c>
      <c r="J223" s="4" t="s">
        <v>148</v>
      </c>
      <c r="M223" s="2">
        <f t="shared" si="15"/>
        <v>115</v>
      </c>
      <c r="N223" s="2">
        <f t="shared" si="16"/>
        <v>74.2</v>
      </c>
      <c r="O223" s="2">
        <f>IF(M223="","",IF(M223&gt;=1000,95,IF(M223&lt;=12.5,50,LOOKUP(M223,{12.5,15,20,30,45,60,75,105,115,150,200,225,250,600,1000},{50,55,60,62,65,68,70,72,75,80,82,85,87,90,95})+(M223-LOOKUP(M223,{12.5,15,20,30,45,60,75,105,115,150,200,225,250,600},{12.5,15,20,30,45,60,75,105,115,150,200,225,250,600}))/(LOOKUP(M223,{12.5,15,20,30,45,60,75,105,115,150,200,225,250,600,1000},{15,20,30,45,60,75,105,115,150,200,225,250,600,1000,1000})-LOOKUP(M223,{12.5,15,20,30,45,60,75,105,115,150,200,225,250,600},{12.5,15,20,30,45,60,75,105,115,150,200,225,250,600}))*(LOOKUP(M223,{12.5,15,20,30,45,60,75,105,115,150,200,225,250,600,1000},{55,60,62,65,68,70,72,75,80,82,85,87,90,95,95})-LOOKUP(M223,{12.5,15,20,30,45,60,75,105,115,150,200,225,250,600,1000},{50,55,60,62,65,68,70,72,75,80,82,85,87,90,95})))))</f>
        <v>75</v>
      </c>
      <c r="P223" s="2">
        <f t="shared" si="18"/>
        <v>-1</v>
      </c>
      <c r="Q223" s="2">
        <f t="shared" si="19"/>
        <v>-0.5</v>
      </c>
    </row>
    <row r="224" customHeight="1" spans="1:17">
      <c r="A224" s="2">
        <v>2026</v>
      </c>
      <c r="B224" s="2">
        <v>223</v>
      </c>
      <c r="C224" s="16">
        <f t="shared" si="17"/>
        <v>73.67</v>
      </c>
      <c r="D224" s="2" t="s">
        <v>462</v>
      </c>
      <c r="E224" s="9">
        <v>77</v>
      </c>
      <c r="F224" s="2">
        <v>53</v>
      </c>
      <c r="G224" s="2">
        <v>25</v>
      </c>
      <c r="H224" s="2" t="s">
        <v>91</v>
      </c>
      <c r="I224" s="2" t="s">
        <v>28</v>
      </c>
      <c r="J224" s="4" t="s">
        <v>88</v>
      </c>
      <c r="K224" s="2" t="s">
        <v>463</v>
      </c>
      <c r="M224" s="2">
        <f t="shared" si="15"/>
        <v>30</v>
      </c>
      <c r="N224" s="2">
        <f t="shared" si="16"/>
        <v>67</v>
      </c>
      <c r="O224" s="2">
        <f>IF(M224="","",IF(M224&gt;=1000,95,IF(M224&lt;=12.5,50,LOOKUP(M224,{12.5,15,20,30,45,60,75,105,115,150,200,225,250,600,1000},{50,55,60,62,65,68,70,72,75,80,82,85,87,90,95})+(M224-LOOKUP(M224,{12.5,15,20,30,45,60,75,105,115,150,200,225,250,600},{12.5,15,20,30,45,60,75,105,115,150,200,225,250,600}))/(LOOKUP(M224,{12.5,15,20,30,45,60,75,105,115,150,200,225,250,600,1000},{15,20,30,45,60,75,105,115,150,200,225,250,600,1000,1000})-LOOKUP(M224,{12.5,15,20,30,45,60,75,105,115,150,200,225,250,600},{12.5,15,20,30,45,60,75,105,115,150,200,225,250,600}))*(LOOKUP(M224,{12.5,15,20,30,45,60,75,105,115,150,200,225,250,600,1000},{55,60,62,65,68,70,72,75,80,82,85,87,90,95,95})-LOOKUP(M224,{12.5,15,20,30,45,60,75,105,115,150,200,225,250,600,1000},{50,55,60,62,65,68,70,72,75,80,82,85,87,90,95})))))</f>
        <v>62</v>
      </c>
      <c r="P224" s="2">
        <f t="shared" si="18"/>
        <v>15</v>
      </c>
      <c r="Q224" s="2">
        <f t="shared" si="19"/>
        <v>6.67</v>
      </c>
    </row>
    <row r="225" customHeight="1" spans="1:17">
      <c r="B225" s="2">
        <v>224</v>
      </c>
      <c r="C225" s="16">
        <f t="shared" si="17"/>
        <v>73.6</v>
      </c>
      <c r="D225" s="2" t="s">
        <v>464</v>
      </c>
      <c r="E225" s="9">
        <v>74</v>
      </c>
      <c r="F225" s="10">
        <v>81</v>
      </c>
      <c r="G225" s="10">
        <v>86</v>
      </c>
      <c r="H225" s="2" t="s">
        <v>22</v>
      </c>
      <c r="I225" s="2" t="s">
        <v>23</v>
      </c>
      <c r="J225" s="4" t="s">
        <v>59</v>
      </c>
      <c r="M225" s="2">
        <f t="shared" si="15"/>
        <v>150</v>
      </c>
      <c r="N225" s="2">
        <f t="shared" si="16"/>
        <v>76.6</v>
      </c>
      <c r="O225" s="2">
        <f>IF(M225="","",IF(M225&gt;=1000,95,IF(M225&lt;=12.5,50,LOOKUP(M225,{12.5,15,20,30,45,60,75,105,115,150,200,225,250,600,1000},{50,55,60,62,65,68,70,72,75,80,82,85,87,90,95})+(M225-LOOKUP(M225,{12.5,15,20,30,45,60,75,105,115,150,200,225,250,600},{12.5,15,20,30,45,60,75,105,115,150,200,225,250,600}))/(LOOKUP(M225,{12.5,15,20,30,45,60,75,105,115,150,200,225,250,600,1000},{15,20,30,45,60,75,105,115,150,200,225,250,600,1000,1000})-LOOKUP(M225,{12.5,15,20,30,45,60,75,105,115,150,200,225,250,600},{12.5,15,20,30,45,60,75,105,115,150,200,225,250,600}))*(LOOKUP(M225,{12.5,15,20,30,45,60,75,105,115,150,200,225,250,600,1000},{55,60,62,65,68,70,72,75,80,82,85,87,90,95,95})-LOOKUP(M225,{12.5,15,20,30,45,60,75,105,115,150,200,225,250,600,1000},{50,55,60,62,65,68,70,72,75,80,82,85,87,90,95})))))</f>
        <v>80</v>
      </c>
      <c r="P225" s="2">
        <f t="shared" si="18"/>
        <v>-6</v>
      </c>
      <c r="Q225" s="2">
        <f t="shared" si="19"/>
        <v>-3</v>
      </c>
    </row>
    <row r="226" customHeight="1" spans="1:17">
      <c r="A226" s="2">
        <v>2026</v>
      </c>
      <c r="B226" s="2">
        <v>225</v>
      </c>
      <c r="C226" s="16">
        <f t="shared" si="17"/>
        <v>73.6</v>
      </c>
      <c r="D226" s="2" t="s">
        <v>465</v>
      </c>
      <c r="E226" s="9">
        <v>79</v>
      </c>
      <c r="F226" s="12">
        <v>60</v>
      </c>
      <c r="G226" s="12">
        <v>68</v>
      </c>
      <c r="H226" s="2" t="s">
        <v>54</v>
      </c>
      <c r="I226" s="2" t="s">
        <v>466</v>
      </c>
      <c r="J226" s="4" t="s">
        <v>59</v>
      </c>
      <c r="K226" s="2" t="s">
        <v>467</v>
      </c>
      <c r="M226" s="2">
        <f t="shared" si="15"/>
        <v>150</v>
      </c>
      <c r="N226" s="2">
        <f t="shared" si="16"/>
        <v>74.1</v>
      </c>
      <c r="O226" s="2">
        <f>IF(M226="","",IF(M226&gt;=1000,95,IF(M226&lt;=12.5,50,LOOKUP(M226,{12.5,15,20,30,45,60,75,105,115,150,200,225,250,600,1000},{50,55,60,62,65,68,70,72,75,80,82,85,87,90,95})+(M226-LOOKUP(M226,{12.5,15,20,30,45,60,75,105,115,150,200,225,250,600},{12.5,15,20,30,45,60,75,105,115,150,200,225,250,600}))/(LOOKUP(M226,{12.5,15,20,30,45,60,75,105,115,150,200,225,250,600,1000},{15,20,30,45,60,75,105,115,150,200,225,250,600,1000,1000})-LOOKUP(M226,{12.5,15,20,30,45,60,75,105,115,150,200,225,250,600},{12.5,15,20,30,45,60,75,105,115,150,200,225,250,600}))*(LOOKUP(M226,{12.5,15,20,30,45,60,75,105,115,150,200,225,250,600,1000},{55,60,62,65,68,70,72,75,80,82,85,87,90,95,95})-LOOKUP(M226,{12.5,15,20,30,45,60,75,105,115,150,200,225,250,600,1000},{50,55,60,62,65,68,70,72,75,80,82,85,87,90,95})))))</f>
        <v>80</v>
      </c>
      <c r="P226" s="2">
        <f t="shared" si="18"/>
        <v>-1</v>
      </c>
      <c r="Q226" s="2">
        <f t="shared" si="19"/>
        <v>-0.5</v>
      </c>
    </row>
    <row r="227" customHeight="1" spans="1:17">
      <c r="B227" s="2">
        <v>226</v>
      </c>
      <c r="C227" s="16">
        <f t="shared" si="17"/>
        <v>73.6</v>
      </c>
      <c r="D227" s="2" t="s">
        <v>468</v>
      </c>
      <c r="E227" s="10">
        <v>83</v>
      </c>
      <c r="F227" s="12">
        <v>65</v>
      </c>
      <c r="G227" s="2">
        <v>60</v>
      </c>
      <c r="H227" s="2" t="s">
        <v>469</v>
      </c>
      <c r="I227" s="2" t="s">
        <v>183</v>
      </c>
      <c r="J227" s="4" t="s">
        <v>73</v>
      </c>
      <c r="K227" s="2" t="s">
        <v>470</v>
      </c>
      <c r="M227" s="2">
        <f t="shared" si="15"/>
        <v>600</v>
      </c>
      <c r="N227" s="2">
        <f t="shared" si="16"/>
        <v>77.1</v>
      </c>
      <c r="O227" s="2">
        <f>IF(M227="","",IF(M227&gt;=1000,95,IF(M227&lt;=12.5,50,LOOKUP(M227,{12.5,15,20,30,45,60,75,105,115,150,200,225,250,600,1000},{50,55,60,62,65,68,70,72,75,80,82,85,87,90,95})+(M227-LOOKUP(M227,{12.5,15,20,30,45,60,75,105,115,150,200,225,250,600},{12.5,15,20,30,45,60,75,105,115,150,200,225,250,600}))/(LOOKUP(M227,{12.5,15,20,30,45,60,75,105,115,150,200,225,250,600,1000},{15,20,30,45,60,75,105,115,150,200,225,250,600,1000,1000})-LOOKUP(M227,{12.5,15,20,30,45,60,75,105,115,150,200,225,250,600},{12.5,15,20,30,45,60,75,105,115,150,200,225,250,600}))*(LOOKUP(M227,{12.5,15,20,30,45,60,75,105,115,150,200,225,250,600,1000},{55,60,62,65,68,70,72,75,80,82,85,87,90,95,95})-LOOKUP(M227,{12.5,15,20,30,45,60,75,105,115,150,200,225,250,600,1000},{50,55,60,62,65,68,70,72,75,80,82,85,87,90,95})))))</f>
        <v>90</v>
      </c>
      <c r="P227" s="2">
        <f t="shared" si="18"/>
        <v>-7</v>
      </c>
      <c r="Q227" s="2">
        <f t="shared" si="19"/>
        <v>-3.5</v>
      </c>
    </row>
    <row r="228" customHeight="1" spans="1:17">
      <c r="B228" s="2">
        <v>227</v>
      </c>
      <c r="C228" s="16">
        <f t="shared" si="17"/>
        <v>73.5</v>
      </c>
      <c r="D228" s="2" t="s">
        <v>471</v>
      </c>
      <c r="E228" s="9">
        <v>77</v>
      </c>
      <c r="F228" s="2">
        <v>53</v>
      </c>
      <c r="G228" s="2">
        <v>45</v>
      </c>
      <c r="H228" s="2" t="s">
        <v>300</v>
      </c>
      <c r="I228" s="2" t="s">
        <v>63</v>
      </c>
      <c r="J228" s="4" t="s">
        <v>34</v>
      </c>
      <c r="K228" s="2" t="s">
        <v>472</v>
      </c>
      <c r="M228" s="2">
        <f t="shared" si="15"/>
        <v>60</v>
      </c>
      <c r="N228" s="2">
        <f t="shared" si="16"/>
        <v>69</v>
      </c>
      <c r="O228" s="2">
        <f>IF(M228="","",IF(M228&gt;=1000,95,IF(M228&lt;=12.5,50,LOOKUP(M228,{12.5,15,20,30,45,60,75,105,115,150,200,225,250,600,1000},{50,55,60,62,65,68,70,72,75,80,82,85,87,90,95})+(M228-LOOKUP(M228,{12.5,15,20,30,45,60,75,105,115,150,200,225,250,600},{12.5,15,20,30,45,60,75,105,115,150,200,225,250,600}))/(LOOKUP(M228,{12.5,15,20,30,45,60,75,105,115,150,200,225,250,600,1000},{15,20,30,45,60,75,105,115,150,200,225,250,600,1000,1000})-LOOKUP(M228,{12.5,15,20,30,45,60,75,105,115,150,200,225,250,600},{12.5,15,20,30,45,60,75,105,115,150,200,225,250,600}))*(LOOKUP(M228,{12.5,15,20,30,45,60,75,105,115,150,200,225,250,600,1000},{55,60,62,65,68,70,72,75,80,82,85,87,90,95,95})-LOOKUP(M228,{12.5,15,20,30,45,60,75,105,115,150,200,225,250,600,1000},{50,55,60,62,65,68,70,72,75,80,82,85,87,90,95})))))</f>
        <v>68</v>
      </c>
      <c r="P228" s="2">
        <f t="shared" si="18"/>
        <v>9</v>
      </c>
      <c r="Q228" s="2">
        <f t="shared" si="19"/>
        <v>4.5</v>
      </c>
    </row>
    <row r="229" customHeight="1" spans="1:17">
      <c r="A229" s="2">
        <v>2026</v>
      </c>
      <c r="B229" s="2">
        <v>228</v>
      </c>
      <c r="C229" s="16">
        <f t="shared" si="17"/>
        <v>73.4</v>
      </c>
      <c r="D229" s="2" t="s">
        <v>473</v>
      </c>
      <c r="E229" s="2">
        <v>74</v>
      </c>
      <c r="F229" s="2">
        <v>60</v>
      </c>
      <c r="G229" s="2">
        <v>51</v>
      </c>
      <c r="H229" s="2" t="s">
        <v>54</v>
      </c>
      <c r="I229" s="2" t="s">
        <v>104</v>
      </c>
      <c r="J229" s="4" t="s">
        <v>38</v>
      </c>
      <c r="M229" s="2">
        <f t="shared" si="15"/>
        <v>45</v>
      </c>
      <c r="N229" s="2">
        <f t="shared" si="16"/>
        <v>68.9</v>
      </c>
      <c r="O229" s="2">
        <f>IF(M229="","",IF(M229&gt;=1000,95,IF(M229&lt;=12.5,50,LOOKUP(M229,{12.5,15,20,30,45,60,75,105,115,150,200,225,250,600,1000},{50,55,60,62,65,68,70,72,75,80,82,85,87,90,95})+(M229-LOOKUP(M229,{12.5,15,20,30,45,60,75,105,115,150,200,225,250,600},{12.5,15,20,30,45,60,75,105,115,150,200,225,250,600}))/(LOOKUP(M229,{12.5,15,20,30,45,60,75,105,115,150,200,225,250,600,1000},{15,20,30,45,60,75,105,115,150,200,225,250,600,1000,1000})-LOOKUP(M229,{12.5,15,20,30,45,60,75,105,115,150,200,225,250,600},{12.5,15,20,30,45,60,75,105,115,150,200,225,250,600}))*(LOOKUP(M229,{12.5,15,20,30,45,60,75,105,115,150,200,225,250,600,1000},{55,60,62,65,68,70,72,75,80,82,85,87,90,95,95})-LOOKUP(M229,{12.5,15,20,30,45,60,75,105,115,150,200,225,250,600,1000},{50,55,60,62,65,68,70,72,75,80,82,85,87,90,95})))))</f>
        <v>65</v>
      </c>
      <c r="P229" s="2">
        <f t="shared" si="18"/>
        <v>9</v>
      </c>
      <c r="Q229" s="2">
        <f t="shared" si="19"/>
        <v>4.5</v>
      </c>
    </row>
    <row r="230" customHeight="1" spans="1:17">
      <c r="B230" s="2">
        <v>229</v>
      </c>
      <c r="C230" s="16">
        <f t="shared" si="17"/>
        <v>73.4</v>
      </c>
      <c r="D230" s="2" t="s">
        <v>474</v>
      </c>
      <c r="E230" s="9">
        <v>76</v>
      </c>
      <c r="F230" s="2">
        <v>51</v>
      </c>
      <c r="G230" s="2">
        <v>30</v>
      </c>
      <c r="H230" s="2" t="s">
        <v>91</v>
      </c>
      <c r="I230" s="2" t="s">
        <v>28</v>
      </c>
      <c r="J230" s="4" t="s">
        <v>140</v>
      </c>
      <c r="K230" s="2" t="s">
        <v>475</v>
      </c>
      <c r="M230" s="2">
        <f t="shared" si="15"/>
        <v>20</v>
      </c>
      <c r="N230" s="2">
        <f t="shared" si="16"/>
        <v>66.4</v>
      </c>
      <c r="O230" s="2">
        <f>IF(M230="","",IF(M230&gt;=1000,95,IF(M230&lt;=12.5,50,LOOKUP(M230,{12.5,15,20,30,45,60,75,105,115,150,200,225,250,600,1000},{50,55,60,62,65,68,70,72,75,80,82,85,87,90,95})+(M230-LOOKUP(M230,{12.5,15,20,30,45,60,75,105,115,150,200,225,250,600},{12.5,15,20,30,45,60,75,105,115,150,200,225,250,600}))/(LOOKUP(M230,{12.5,15,20,30,45,60,75,105,115,150,200,225,250,600,1000},{15,20,30,45,60,75,105,115,150,200,225,250,600,1000,1000})-LOOKUP(M230,{12.5,15,20,30,45,60,75,105,115,150,200,225,250,600},{12.5,15,20,30,45,60,75,105,115,150,200,225,250,600}))*(LOOKUP(M230,{12.5,15,20,30,45,60,75,105,115,150,200,225,250,600,1000},{55,60,62,65,68,70,72,75,80,82,85,87,90,95,95})-LOOKUP(M230,{12.5,15,20,30,45,60,75,105,115,150,200,225,250,600,1000},{50,55,60,62,65,68,70,72,75,80,82,85,87,90,95})))))</f>
        <v>60</v>
      </c>
      <c r="P230" s="2">
        <f t="shared" si="18"/>
        <v>16</v>
      </c>
      <c r="Q230" s="2">
        <f t="shared" si="19"/>
        <v>7</v>
      </c>
    </row>
    <row r="231" customHeight="1" spans="1:17">
      <c r="B231" s="2">
        <v>230</v>
      </c>
      <c r="C231" s="16">
        <f t="shared" si="17"/>
        <v>73.33</v>
      </c>
      <c r="D231" s="2" t="s">
        <v>476</v>
      </c>
      <c r="E231" s="9">
        <v>73</v>
      </c>
      <c r="F231" s="2">
        <v>58</v>
      </c>
      <c r="G231" s="2">
        <v>53</v>
      </c>
      <c r="H231" s="2" t="s">
        <v>37</v>
      </c>
      <c r="I231" s="2" t="s">
        <v>104</v>
      </c>
      <c r="J231" s="4" t="s">
        <v>88</v>
      </c>
      <c r="M231" s="2">
        <f t="shared" si="15"/>
        <v>30</v>
      </c>
      <c r="N231" s="2">
        <f t="shared" si="16"/>
        <v>68</v>
      </c>
      <c r="O231" s="2">
        <f>IF(M231="","",IF(M231&gt;=1000,95,IF(M231&lt;=12.5,50,LOOKUP(M231,{12.5,15,20,30,45,60,75,105,115,150,200,225,250,600,1000},{50,55,60,62,65,68,70,72,75,80,82,85,87,90,95})+(M231-LOOKUP(M231,{12.5,15,20,30,45,60,75,105,115,150,200,225,250,600},{12.5,15,20,30,45,60,75,105,115,150,200,225,250,600}))/(LOOKUP(M231,{12.5,15,20,30,45,60,75,105,115,150,200,225,250,600,1000},{15,20,30,45,60,75,105,115,150,200,225,250,600,1000,1000})-LOOKUP(M231,{12.5,15,20,30,45,60,75,105,115,150,200,225,250,600},{12.5,15,20,30,45,60,75,105,115,150,200,225,250,600}))*(LOOKUP(M231,{12.5,15,20,30,45,60,75,105,115,150,200,225,250,600,1000},{55,60,62,65,68,70,72,75,80,82,85,87,90,95,95})-LOOKUP(M231,{12.5,15,20,30,45,60,75,105,115,150,200,225,250,600,1000},{50,55,60,62,65,68,70,72,75,80,82,85,87,90,95})))))</f>
        <v>62</v>
      </c>
      <c r="P231" s="2">
        <f t="shared" si="18"/>
        <v>11</v>
      </c>
      <c r="Q231" s="2">
        <f t="shared" si="19"/>
        <v>5.33</v>
      </c>
    </row>
    <row r="232" customHeight="1" spans="1:17">
      <c r="B232" s="2">
        <v>231</v>
      </c>
      <c r="C232" s="16">
        <f t="shared" si="17"/>
        <v>73.3</v>
      </c>
      <c r="D232" s="2" t="s">
        <v>477</v>
      </c>
      <c r="E232" s="9">
        <v>78</v>
      </c>
      <c r="F232" s="9">
        <v>72</v>
      </c>
      <c r="G232" s="9">
        <v>78</v>
      </c>
      <c r="H232" s="2" t="s">
        <v>166</v>
      </c>
      <c r="I232" s="2" t="s">
        <v>128</v>
      </c>
      <c r="J232" s="4" t="s">
        <v>19</v>
      </c>
      <c r="K232" s="2" t="s">
        <v>478</v>
      </c>
      <c r="M232" s="2">
        <f t="shared" si="15"/>
        <v>225</v>
      </c>
      <c r="N232" s="2">
        <f t="shared" si="16"/>
        <v>76.8</v>
      </c>
      <c r="O232" s="2">
        <f>IF(M232="","",IF(M232&gt;=1000,95,IF(M232&lt;=12.5,50,LOOKUP(M232,{12.5,15,20,30,45,60,75,105,115,150,200,225,250,600,1000},{50,55,60,62,65,68,70,72,75,80,82,85,87,90,95})+(M232-LOOKUP(M232,{12.5,15,20,30,45,60,75,105,115,150,200,225,250,600},{12.5,15,20,30,45,60,75,105,115,150,200,225,250,600}))/(LOOKUP(M232,{12.5,15,20,30,45,60,75,105,115,150,200,225,250,600,1000},{15,20,30,45,60,75,105,115,150,200,225,250,600,1000,1000})-LOOKUP(M232,{12.5,15,20,30,45,60,75,105,115,150,200,225,250,600},{12.5,15,20,30,45,60,75,105,115,150,200,225,250,600}))*(LOOKUP(M232,{12.5,15,20,30,45,60,75,105,115,150,200,225,250,600,1000},{55,60,62,65,68,70,72,75,80,82,85,87,90,95,95})-LOOKUP(M232,{12.5,15,20,30,45,60,75,105,115,150,200,225,250,600,1000},{50,55,60,62,65,68,70,72,75,80,82,85,87,90,95})))))</f>
        <v>85</v>
      </c>
      <c r="P232" s="2">
        <f t="shared" si="18"/>
        <v>-7</v>
      </c>
      <c r="Q232" s="2">
        <f t="shared" si="19"/>
        <v>-3.5</v>
      </c>
    </row>
    <row r="233" customHeight="1" spans="1:17">
      <c r="B233" s="2">
        <v>232</v>
      </c>
      <c r="C233" s="16">
        <f t="shared" si="17"/>
        <v>73.27</v>
      </c>
      <c r="D233" s="2" t="s">
        <v>479</v>
      </c>
      <c r="E233" s="9">
        <v>70</v>
      </c>
      <c r="F233" s="12">
        <v>62</v>
      </c>
      <c r="G233" s="2">
        <v>52</v>
      </c>
      <c r="H233" s="2" t="s">
        <v>480</v>
      </c>
      <c r="I233" s="2" t="s">
        <v>28</v>
      </c>
      <c r="J233" s="4" t="s">
        <v>29</v>
      </c>
      <c r="M233" s="2">
        <f t="shared" si="15"/>
        <v>15</v>
      </c>
      <c r="N233" s="2">
        <f t="shared" si="16"/>
        <v>66.6</v>
      </c>
      <c r="O233" s="2">
        <f>IF(M233="","",IF(M233&gt;=1000,95,IF(M233&lt;=12.5,50,LOOKUP(M233,{12.5,15,20,30,45,60,75,105,115,150,200,225,250,600,1000},{50,55,60,62,65,68,70,72,75,80,82,85,87,90,95})+(M233-LOOKUP(M233,{12.5,15,20,30,45,60,75,105,115,150,200,225,250,600},{12.5,15,20,30,45,60,75,105,115,150,200,225,250,600}))/(LOOKUP(M233,{12.5,15,20,30,45,60,75,105,115,150,200,225,250,600,1000},{15,20,30,45,60,75,105,115,150,200,225,250,600,1000,1000})-LOOKUP(M233,{12.5,15,20,30,45,60,75,105,115,150,200,225,250,600},{12.5,15,20,30,45,60,75,105,115,150,200,225,250,600}))*(LOOKUP(M233,{12.5,15,20,30,45,60,75,105,115,150,200,225,250,600,1000},{55,60,62,65,68,70,72,75,80,82,85,87,90,95,95})-LOOKUP(M233,{12.5,15,20,30,45,60,75,105,115,150,200,225,250,600,1000},{50,55,60,62,65,68,70,72,75,80,82,85,87,90,95})))))</f>
        <v>55</v>
      </c>
      <c r="P233" s="2">
        <f t="shared" si="18"/>
        <v>15</v>
      </c>
      <c r="Q233" s="2">
        <f t="shared" si="19"/>
        <v>6.67</v>
      </c>
    </row>
    <row r="234" customHeight="1" spans="1:17">
      <c r="A234" s="2">
        <v>2026</v>
      </c>
      <c r="B234" s="2">
        <v>233</v>
      </c>
      <c r="C234" s="16">
        <f t="shared" si="17"/>
        <v>73.24</v>
      </c>
      <c r="D234" s="2" t="s">
        <v>481</v>
      </c>
      <c r="E234" s="9">
        <v>70</v>
      </c>
      <c r="F234" s="2">
        <v>58</v>
      </c>
      <c r="G234" s="2">
        <v>43</v>
      </c>
      <c r="H234" s="2" t="s">
        <v>54</v>
      </c>
      <c r="I234" s="2" t="s">
        <v>28</v>
      </c>
      <c r="J234" s="4" t="s">
        <v>77</v>
      </c>
      <c r="M234" s="2">
        <f t="shared" si="15"/>
        <v>12.5</v>
      </c>
      <c r="N234" s="2">
        <f t="shared" si="16"/>
        <v>64.9</v>
      </c>
      <c r="O234" s="2">
        <f>IF(M234="","",IF(M234&gt;=1000,95,IF(M234&lt;=12.5,50,LOOKUP(M234,{12.5,15,20,30,45,60,75,105,115,150,200,225,250,600,1000},{50,55,60,62,65,68,70,72,75,80,82,85,87,90,95})+(M234-LOOKUP(M234,{12.5,15,20,30,45,60,75,105,115,150,200,225,250,600},{12.5,15,20,30,45,60,75,105,115,150,200,225,250,600}))/(LOOKUP(M234,{12.5,15,20,30,45,60,75,105,115,150,200,225,250,600,1000},{15,20,30,45,60,75,105,115,150,200,225,250,600,1000,1000})-LOOKUP(M234,{12.5,15,20,30,45,60,75,105,115,150,200,225,250,600},{12.5,15,20,30,45,60,75,105,115,150,200,225,250,600}))*(LOOKUP(M234,{12.5,15,20,30,45,60,75,105,115,150,200,225,250,600,1000},{55,60,62,65,68,70,72,75,80,82,85,87,90,95,95})-LOOKUP(M234,{12.5,15,20,30,45,60,75,105,115,150,200,225,250,600,1000},{50,55,60,62,65,68,70,72,75,80,82,85,87,90,95})))))</f>
        <v>50</v>
      </c>
      <c r="P234" s="2">
        <f t="shared" si="18"/>
        <v>20</v>
      </c>
      <c r="Q234" s="2">
        <f t="shared" si="19"/>
        <v>8.34</v>
      </c>
    </row>
    <row r="235" customHeight="1" spans="1:17">
      <c r="B235" s="2">
        <v>234</v>
      </c>
      <c r="C235" s="16">
        <f t="shared" si="17"/>
        <v>73.17</v>
      </c>
      <c r="D235" s="2" t="s">
        <v>482</v>
      </c>
      <c r="E235" s="9">
        <v>71</v>
      </c>
      <c r="F235" s="2">
        <v>50</v>
      </c>
      <c r="G235" s="2">
        <v>48</v>
      </c>
      <c r="H235" s="2" t="s">
        <v>122</v>
      </c>
      <c r="I235" s="2" t="s">
        <v>28</v>
      </c>
      <c r="J235" s="4" t="s">
        <v>77</v>
      </c>
      <c r="K235" s="2" t="s">
        <v>483</v>
      </c>
      <c r="M235" s="2">
        <f t="shared" si="15"/>
        <v>12.5</v>
      </c>
      <c r="N235" s="2">
        <f t="shared" si="16"/>
        <v>64.5</v>
      </c>
      <c r="O235" s="2">
        <f>IF(M235="","",IF(M235&gt;=1000,95,IF(M235&lt;=12.5,50,LOOKUP(M235,{12.5,15,20,30,45,60,75,105,115,150,200,225,250,600,1000},{50,55,60,62,65,68,70,72,75,80,82,85,87,90,95})+(M235-LOOKUP(M235,{12.5,15,20,30,45,60,75,105,115,150,200,225,250,600},{12.5,15,20,30,45,60,75,105,115,150,200,225,250,600}))/(LOOKUP(M235,{12.5,15,20,30,45,60,75,105,115,150,200,225,250,600,1000},{15,20,30,45,60,75,105,115,150,200,225,250,600,1000,1000})-LOOKUP(M235,{12.5,15,20,30,45,60,75,105,115,150,200,225,250,600},{12.5,15,20,30,45,60,75,105,115,150,200,225,250,600}))*(LOOKUP(M235,{12.5,15,20,30,45,60,75,105,115,150,200,225,250,600,1000},{55,60,62,65,68,70,72,75,80,82,85,87,90,95,95})-LOOKUP(M235,{12.5,15,20,30,45,60,75,105,115,150,200,225,250,600,1000},{50,55,60,62,65,68,70,72,75,80,82,85,87,90,95})))))</f>
        <v>50</v>
      </c>
      <c r="P235" s="2">
        <f t="shared" si="18"/>
        <v>21</v>
      </c>
      <c r="Q235" s="2">
        <f t="shared" si="19"/>
        <v>8.67</v>
      </c>
    </row>
    <row r="236" customHeight="1" spans="1:17">
      <c r="B236" s="2">
        <v>235</v>
      </c>
      <c r="C236" s="16">
        <f t="shared" si="17"/>
        <v>73.1</v>
      </c>
      <c r="D236" s="2" t="s">
        <v>484</v>
      </c>
      <c r="E236" s="9">
        <v>72</v>
      </c>
      <c r="F236" s="9">
        <v>75</v>
      </c>
      <c r="G236" s="9">
        <v>77</v>
      </c>
      <c r="H236" s="2" t="s">
        <v>37</v>
      </c>
      <c r="I236" s="2" t="s">
        <v>104</v>
      </c>
      <c r="J236" s="4" t="s">
        <v>105</v>
      </c>
      <c r="M236" s="2">
        <f t="shared" si="15"/>
        <v>105</v>
      </c>
      <c r="N236" s="2">
        <f t="shared" si="16"/>
        <v>73.1</v>
      </c>
      <c r="O236" s="2">
        <f>IF(M236="","",IF(M236&gt;=1000,95,IF(M236&lt;=12.5,50,LOOKUP(M236,{12.5,15,20,30,45,60,75,105,115,150,200,225,250,600,1000},{50,55,60,62,65,68,70,72,75,80,82,85,87,90,95})+(M236-LOOKUP(M236,{12.5,15,20,30,45,60,75,105,115,150,200,225,250,600},{12.5,15,20,30,45,60,75,105,115,150,200,225,250,600}))/(LOOKUP(M236,{12.5,15,20,30,45,60,75,105,115,150,200,225,250,600,1000},{15,20,30,45,60,75,105,115,150,200,225,250,600,1000,1000})-LOOKUP(M236,{12.5,15,20,30,45,60,75,105,115,150,200,225,250,600},{12.5,15,20,30,45,60,75,105,115,150,200,225,250,600}))*(LOOKUP(M236,{12.5,15,20,30,45,60,75,105,115,150,200,225,250,600,1000},{55,60,62,65,68,70,72,75,80,82,85,87,90,95,95})-LOOKUP(M236,{12.5,15,20,30,45,60,75,105,115,150,200,225,250,600,1000},{50,55,60,62,65,68,70,72,75,80,82,85,87,90,95})))))</f>
        <v>72</v>
      </c>
      <c r="P236" s="2">
        <f t="shared" si="18"/>
        <v>0</v>
      </c>
      <c r="Q236" s="2">
        <f t="shared" si="19"/>
        <v>0</v>
      </c>
    </row>
    <row r="237" customHeight="1" spans="1:17">
      <c r="B237" s="2">
        <v>236</v>
      </c>
      <c r="C237" s="16">
        <f t="shared" si="17"/>
        <v>73.1</v>
      </c>
      <c r="D237" s="2" t="s">
        <v>485</v>
      </c>
      <c r="E237" s="9">
        <v>74</v>
      </c>
      <c r="F237" s="9">
        <v>72</v>
      </c>
      <c r="G237" s="9">
        <v>74</v>
      </c>
      <c r="H237" s="2" t="s">
        <v>166</v>
      </c>
      <c r="I237" s="2" t="s">
        <v>23</v>
      </c>
      <c r="J237" s="4" t="s">
        <v>148</v>
      </c>
      <c r="K237" s="2" t="s">
        <v>486</v>
      </c>
      <c r="M237" s="2">
        <f t="shared" si="15"/>
        <v>115</v>
      </c>
      <c r="N237" s="2">
        <f t="shared" si="16"/>
        <v>73.6</v>
      </c>
      <c r="O237" s="2">
        <f>IF(M237="","",IF(M237&gt;=1000,95,IF(M237&lt;=12.5,50,LOOKUP(M237,{12.5,15,20,30,45,60,75,105,115,150,200,225,250,600,1000},{50,55,60,62,65,68,70,72,75,80,82,85,87,90,95})+(M237-LOOKUP(M237,{12.5,15,20,30,45,60,75,105,115,150,200,225,250,600},{12.5,15,20,30,45,60,75,105,115,150,200,225,250,600}))/(LOOKUP(M237,{12.5,15,20,30,45,60,75,105,115,150,200,225,250,600,1000},{15,20,30,45,60,75,105,115,150,200,225,250,600,1000,1000})-LOOKUP(M237,{12.5,15,20,30,45,60,75,105,115,150,200,225,250,600},{12.5,15,20,30,45,60,75,105,115,150,200,225,250,600}))*(LOOKUP(M237,{12.5,15,20,30,45,60,75,105,115,150,200,225,250,600,1000},{55,60,62,65,68,70,72,75,80,82,85,87,90,95,95})-LOOKUP(M237,{12.5,15,20,30,45,60,75,105,115,150,200,225,250,600,1000},{50,55,60,62,65,68,70,72,75,80,82,85,87,90,95})))))</f>
        <v>75</v>
      </c>
      <c r="P237" s="2">
        <f t="shared" si="18"/>
        <v>-1</v>
      </c>
      <c r="Q237" s="2">
        <f t="shared" si="19"/>
        <v>-0.5</v>
      </c>
    </row>
    <row r="238" customHeight="1" spans="1:17">
      <c r="A238" s="2">
        <v>2026</v>
      </c>
      <c r="B238" s="2">
        <v>237</v>
      </c>
      <c r="C238" s="16">
        <f t="shared" si="17"/>
        <v>73.1</v>
      </c>
      <c r="D238" s="2" t="s">
        <v>487</v>
      </c>
      <c r="E238" s="9">
        <v>75</v>
      </c>
      <c r="F238" s="12">
        <v>67</v>
      </c>
      <c r="G238" s="9">
        <v>72</v>
      </c>
      <c r="H238" s="2" t="s">
        <v>41</v>
      </c>
      <c r="I238" s="2" t="s">
        <v>284</v>
      </c>
      <c r="J238" s="4" t="s">
        <v>148</v>
      </c>
      <c r="M238" s="2">
        <f t="shared" si="15"/>
        <v>115</v>
      </c>
      <c r="N238" s="2">
        <f t="shared" si="16"/>
        <v>73.1</v>
      </c>
      <c r="O238" s="2">
        <f>IF(M238="","",IF(M238&gt;=1000,95,IF(M238&lt;=12.5,50,LOOKUP(M238,{12.5,15,20,30,45,60,75,105,115,150,200,225,250,600,1000},{50,55,60,62,65,68,70,72,75,80,82,85,87,90,95})+(M238-LOOKUP(M238,{12.5,15,20,30,45,60,75,105,115,150,200,225,250,600},{12.5,15,20,30,45,60,75,105,115,150,200,225,250,600}))/(LOOKUP(M238,{12.5,15,20,30,45,60,75,105,115,150,200,225,250,600,1000},{15,20,30,45,60,75,105,115,150,200,225,250,600,1000,1000})-LOOKUP(M238,{12.5,15,20,30,45,60,75,105,115,150,200,225,250,600},{12.5,15,20,30,45,60,75,105,115,150,200,225,250,600}))*(LOOKUP(M238,{12.5,15,20,30,45,60,75,105,115,150,200,225,250,600,1000},{55,60,62,65,68,70,72,75,80,82,85,87,90,95,95})-LOOKUP(M238,{12.5,15,20,30,45,60,75,105,115,150,200,225,250,600,1000},{50,55,60,62,65,68,70,72,75,80,82,85,87,90,95})))))</f>
        <v>75</v>
      </c>
      <c r="P238" s="2">
        <f t="shared" si="18"/>
        <v>0</v>
      </c>
      <c r="Q238" s="2">
        <f t="shared" si="19"/>
        <v>0</v>
      </c>
    </row>
    <row r="239" customHeight="1" spans="1:17">
      <c r="B239" s="2">
        <v>238</v>
      </c>
      <c r="C239" s="16">
        <f t="shared" si="17"/>
        <v>73.1</v>
      </c>
      <c r="D239" s="2" t="s">
        <v>488</v>
      </c>
      <c r="E239" s="9">
        <v>74</v>
      </c>
      <c r="F239" s="12">
        <v>65</v>
      </c>
      <c r="G239" s="12">
        <v>63</v>
      </c>
      <c r="H239" s="2" t="s">
        <v>489</v>
      </c>
      <c r="I239" s="2" t="s">
        <v>18</v>
      </c>
      <c r="J239" s="4" t="s">
        <v>24</v>
      </c>
      <c r="K239" s="2" t="s">
        <v>490</v>
      </c>
      <c r="M239" s="2">
        <f t="shared" si="15"/>
        <v>75</v>
      </c>
      <c r="N239" s="2">
        <f t="shared" si="16"/>
        <v>71.1</v>
      </c>
      <c r="O239" s="2">
        <f>IF(M239="","",IF(M239&gt;=1000,95,IF(M239&lt;=12.5,50,LOOKUP(M239,{12.5,15,20,30,45,60,75,105,115,150,200,225,250,600,1000},{50,55,60,62,65,68,70,72,75,80,82,85,87,90,95})+(M239-LOOKUP(M239,{12.5,15,20,30,45,60,75,105,115,150,200,225,250,600},{12.5,15,20,30,45,60,75,105,115,150,200,225,250,600}))/(LOOKUP(M239,{12.5,15,20,30,45,60,75,105,115,150,200,225,250,600,1000},{15,20,30,45,60,75,105,115,150,200,225,250,600,1000,1000})-LOOKUP(M239,{12.5,15,20,30,45,60,75,105,115,150,200,225,250,600},{12.5,15,20,30,45,60,75,105,115,150,200,225,250,600}))*(LOOKUP(M239,{12.5,15,20,30,45,60,75,105,115,150,200,225,250,600,1000},{55,60,62,65,68,70,72,75,80,82,85,87,90,95,95})-LOOKUP(M239,{12.5,15,20,30,45,60,75,105,115,150,200,225,250,600,1000},{50,55,60,62,65,68,70,72,75,80,82,85,87,90,95})))))</f>
        <v>70</v>
      </c>
      <c r="P239" s="2">
        <f t="shared" si="18"/>
        <v>4</v>
      </c>
      <c r="Q239" s="2">
        <f t="shared" si="19"/>
        <v>2</v>
      </c>
    </row>
    <row r="240" customHeight="1" spans="1:17">
      <c r="A240" s="2">
        <v>2026</v>
      </c>
      <c r="B240" s="2">
        <v>239</v>
      </c>
      <c r="C240" s="16">
        <f t="shared" si="17"/>
        <v>73.1</v>
      </c>
      <c r="D240" s="2" t="s">
        <v>491</v>
      </c>
      <c r="E240" s="9">
        <v>74</v>
      </c>
      <c r="F240" s="9">
        <v>70</v>
      </c>
      <c r="G240" s="2">
        <v>53</v>
      </c>
      <c r="H240" s="2" t="s">
        <v>54</v>
      </c>
      <c r="I240" s="2" t="s">
        <v>183</v>
      </c>
      <c r="J240" s="4" t="s">
        <v>24</v>
      </c>
      <c r="M240" s="2">
        <f t="shared" si="15"/>
        <v>75</v>
      </c>
      <c r="N240" s="2">
        <f t="shared" si="16"/>
        <v>71.1</v>
      </c>
      <c r="O240" s="2">
        <f>IF(M240="","",IF(M240&gt;=1000,95,IF(M240&lt;=12.5,50,LOOKUP(M240,{12.5,15,20,30,45,60,75,105,115,150,200,225,250,600,1000},{50,55,60,62,65,68,70,72,75,80,82,85,87,90,95})+(M240-LOOKUP(M240,{12.5,15,20,30,45,60,75,105,115,150,200,225,250,600},{12.5,15,20,30,45,60,75,105,115,150,200,225,250,600}))/(LOOKUP(M240,{12.5,15,20,30,45,60,75,105,115,150,200,225,250,600,1000},{15,20,30,45,60,75,105,115,150,200,225,250,600,1000,1000})-LOOKUP(M240,{12.5,15,20,30,45,60,75,105,115,150,200,225,250,600},{12.5,15,20,30,45,60,75,105,115,150,200,225,250,600}))*(LOOKUP(M240,{12.5,15,20,30,45,60,75,105,115,150,200,225,250,600,1000},{55,60,62,65,68,70,72,75,80,82,85,87,90,95,95})-LOOKUP(M240,{12.5,15,20,30,45,60,75,105,115,150,200,225,250,600,1000},{50,55,60,62,65,68,70,72,75,80,82,85,87,90,95})))))</f>
        <v>70</v>
      </c>
      <c r="P240" s="2">
        <f t="shared" si="18"/>
        <v>4</v>
      </c>
      <c r="Q240" s="2">
        <f t="shared" si="19"/>
        <v>2</v>
      </c>
    </row>
    <row r="241" customHeight="1" spans="1:17">
      <c r="A241" s="2">
        <v>2026</v>
      </c>
      <c r="B241" s="2">
        <v>240</v>
      </c>
      <c r="C241" s="16">
        <f t="shared" si="17"/>
        <v>73.07</v>
      </c>
      <c r="D241" s="2" t="s">
        <v>492</v>
      </c>
      <c r="E241" s="9">
        <v>72</v>
      </c>
      <c r="F241" s="2">
        <v>58</v>
      </c>
      <c r="G241" s="2">
        <v>54</v>
      </c>
      <c r="H241" s="2" t="s">
        <v>54</v>
      </c>
      <c r="I241" s="2" t="s">
        <v>63</v>
      </c>
      <c r="J241" s="4" t="s">
        <v>140</v>
      </c>
      <c r="M241" s="2">
        <f t="shared" si="15"/>
        <v>20</v>
      </c>
      <c r="N241" s="2">
        <f t="shared" si="16"/>
        <v>67.4</v>
      </c>
      <c r="O241" s="2">
        <f>IF(M241="","",IF(M241&gt;=1000,95,IF(M241&lt;=12.5,50,LOOKUP(M241,{12.5,15,20,30,45,60,75,105,115,150,200,225,250,600,1000},{50,55,60,62,65,68,70,72,75,80,82,85,87,90,95})+(M241-LOOKUP(M241,{12.5,15,20,30,45,60,75,105,115,150,200,225,250,600},{12.5,15,20,30,45,60,75,105,115,150,200,225,250,600}))/(LOOKUP(M241,{12.5,15,20,30,45,60,75,105,115,150,200,225,250,600,1000},{15,20,30,45,60,75,105,115,150,200,225,250,600,1000,1000})-LOOKUP(M241,{12.5,15,20,30,45,60,75,105,115,150,200,225,250,600},{12.5,15,20,30,45,60,75,105,115,150,200,225,250,600}))*(LOOKUP(M241,{12.5,15,20,30,45,60,75,105,115,150,200,225,250,600,1000},{55,60,62,65,68,70,72,75,80,82,85,87,90,95,95})-LOOKUP(M241,{12.5,15,20,30,45,60,75,105,115,150,200,225,250,600,1000},{50,55,60,62,65,68,70,72,75,80,82,85,87,90,95})))))</f>
        <v>60</v>
      </c>
      <c r="P241" s="2">
        <f t="shared" si="18"/>
        <v>12</v>
      </c>
      <c r="Q241" s="2">
        <f t="shared" si="19"/>
        <v>5.67</v>
      </c>
    </row>
    <row r="242" customHeight="1" spans="1:17">
      <c r="A242" s="2">
        <v>2026</v>
      </c>
      <c r="B242" s="2">
        <v>241</v>
      </c>
      <c r="C242" s="16">
        <f t="shared" si="17"/>
        <v>73.07</v>
      </c>
      <c r="D242" s="2" t="s">
        <v>493</v>
      </c>
      <c r="E242" s="2">
        <v>72</v>
      </c>
      <c r="F242" s="2">
        <v>60</v>
      </c>
      <c r="G242" s="2">
        <v>50</v>
      </c>
      <c r="H242" s="2" t="s">
        <v>54</v>
      </c>
      <c r="I242" s="2" t="s">
        <v>28</v>
      </c>
      <c r="J242" s="4" t="s">
        <v>140</v>
      </c>
      <c r="M242" s="2">
        <f t="shared" si="15"/>
        <v>20</v>
      </c>
      <c r="N242" s="2">
        <f t="shared" si="16"/>
        <v>67.4</v>
      </c>
      <c r="O242" s="2">
        <f>IF(M242="","",IF(M242&gt;=1000,95,IF(M242&lt;=12.5,50,LOOKUP(M242,{12.5,15,20,30,45,60,75,105,115,150,200,225,250,600,1000},{50,55,60,62,65,68,70,72,75,80,82,85,87,90,95})+(M242-LOOKUP(M242,{12.5,15,20,30,45,60,75,105,115,150,200,225,250,600},{12.5,15,20,30,45,60,75,105,115,150,200,225,250,600}))/(LOOKUP(M242,{12.5,15,20,30,45,60,75,105,115,150,200,225,250,600,1000},{15,20,30,45,60,75,105,115,150,200,225,250,600,1000,1000})-LOOKUP(M242,{12.5,15,20,30,45,60,75,105,115,150,200,225,250,600},{12.5,15,20,30,45,60,75,105,115,150,200,225,250,600}))*(LOOKUP(M242,{12.5,15,20,30,45,60,75,105,115,150,200,225,250,600,1000},{55,60,62,65,68,70,72,75,80,82,85,87,90,95,95})-LOOKUP(M242,{12.5,15,20,30,45,60,75,105,115,150,200,225,250,600,1000},{50,55,60,62,65,68,70,72,75,80,82,85,87,90,95})))))</f>
        <v>60</v>
      </c>
      <c r="P242" s="2">
        <f t="shared" si="18"/>
        <v>12</v>
      </c>
      <c r="Q242" s="2">
        <f t="shared" si="19"/>
        <v>5.67</v>
      </c>
    </row>
    <row r="243" customHeight="1" spans="1:17">
      <c r="A243" s="2">
        <v>2026</v>
      </c>
      <c r="B243" s="2">
        <v>242</v>
      </c>
      <c r="C243" s="16">
        <f t="shared" si="17"/>
        <v>73.03</v>
      </c>
      <c r="D243" s="2" t="s">
        <v>494</v>
      </c>
      <c r="E243" s="9">
        <v>76</v>
      </c>
      <c r="F243" s="2">
        <v>50</v>
      </c>
      <c r="G243" s="2">
        <v>45</v>
      </c>
      <c r="H243" s="2" t="s">
        <v>54</v>
      </c>
      <c r="I243" s="2" t="s">
        <v>321</v>
      </c>
      <c r="J243" s="4" t="s">
        <v>38</v>
      </c>
      <c r="K243" s="2" t="s">
        <v>322</v>
      </c>
      <c r="M243" s="2">
        <f t="shared" si="15"/>
        <v>45</v>
      </c>
      <c r="N243" s="2">
        <f t="shared" si="16"/>
        <v>67.7</v>
      </c>
      <c r="O243" s="2">
        <f>IF(M243="","",IF(M243&gt;=1000,95,IF(M243&lt;=12.5,50,LOOKUP(M243,{12.5,15,20,30,45,60,75,105,115,150,200,225,250,600,1000},{50,55,60,62,65,68,70,72,75,80,82,85,87,90,95})+(M243-LOOKUP(M243,{12.5,15,20,30,45,60,75,105,115,150,200,225,250,600},{12.5,15,20,30,45,60,75,105,115,150,200,225,250,600}))/(LOOKUP(M243,{12.5,15,20,30,45,60,75,105,115,150,200,225,250,600,1000},{15,20,30,45,60,75,105,115,150,200,225,250,600,1000,1000})-LOOKUP(M243,{12.5,15,20,30,45,60,75,105,115,150,200,225,250,600},{12.5,15,20,30,45,60,75,105,115,150,200,225,250,600}))*(LOOKUP(M243,{12.5,15,20,30,45,60,75,105,115,150,200,225,250,600,1000},{55,60,62,65,68,70,72,75,80,82,85,87,90,95,95})-LOOKUP(M243,{12.5,15,20,30,45,60,75,105,115,150,200,225,250,600,1000},{50,55,60,62,65,68,70,72,75,80,82,85,87,90,95})))))</f>
        <v>65</v>
      </c>
      <c r="P243" s="2">
        <f t="shared" si="18"/>
        <v>11</v>
      </c>
      <c r="Q243" s="2">
        <f t="shared" si="19"/>
        <v>5.33</v>
      </c>
    </row>
    <row r="244" customHeight="1" spans="1:17">
      <c r="A244" s="2">
        <v>2026</v>
      </c>
      <c r="B244" s="2">
        <v>243</v>
      </c>
      <c r="C244" s="16">
        <f t="shared" si="17"/>
        <v>73</v>
      </c>
      <c r="D244" s="2" t="s">
        <v>495</v>
      </c>
      <c r="E244" s="2">
        <v>74</v>
      </c>
      <c r="F244" s="2">
        <v>63</v>
      </c>
      <c r="G244" s="2">
        <v>66</v>
      </c>
      <c r="H244" s="2" t="s">
        <v>54</v>
      </c>
      <c r="I244" s="2" t="s">
        <v>159</v>
      </c>
      <c r="J244" s="4" t="s">
        <v>24</v>
      </c>
      <c r="M244" s="2">
        <f t="shared" si="15"/>
        <v>75</v>
      </c>
      <c r="N244" s="2">
        <f t="shared" si="16"/>
        <v>71</v>
      </c>
      <c r="O244" s="2">
        <f>IF(M244="","",IF(M244&gt;=1000,95,IF(M244&lt;=12.5,50,LOOKUP(M244,{12.5,15,20,30,45,60,75,105,115,150,200,225,250,600,1000},{50,55,60,62,65,68,70,72,75,80,82,85,87,90,95})+(M244-LOOKUP(M244,{12.5,15,20,30,45,60,75,105,115,150,200,225,250,600},{12.5,15,20,30,45,60,75,105,115,150,200,225,250,600}))/(LOOKUP(M244,{12.5,15,20,30,45,60,75,105,115,150,200,225,250,600,1000},{15,20,30,45,60,75,105,115,150,200,225,250,600,1000,1000})-LOOKUP(M244,{12.5,15,20,30,45,60,75,105,115,150,200,225,250,600},{12.5,15,20,30,45,60,75,105,115,150,200,225,250,600}))*(LOOKUP(M244,{12.5,15,20,30,45,60,75,105,115,150,200,225,250,600,1000},{55,60,62,65,68,70,72,75,80,82,85,87,90,95,95})-LOOKUP(M244,{12.5,15,20,30,45,60,75,105,115,150,200,225,250,600,1000},{50,55,60,62,65,68,70,72,75,80,82,85,87,90,95})))))</f>
        <v>70</v>
      </c>
      <c r="P244" s="2">
        <f t="shared" si="18"/>
        <v>4</v>
      </c>
      <c r="Q244" s="2">
        <f t="shared" si="19"/>
        <v>2</v>
      </c>
    </row>
    <row r="245" customHeight="1" spans="1:17">
      <c r="B245" s="2">
        <v>244</v>
      </c>
      <c r="C245" s="16">
        <f t="shared" si="17"/>
        <v>73</v>
      </c>
      <c r="D245" s="2" t="s">
        <v>496</v>
      </c>
      <c r="E245" s="9">
        <v>72</v>
      </c>
      <c r="F245" s="2">
        <v>52</v>
      </c>
      <c r="G245" s="2">
        <v>32</v>
      </c>
      <c r="H245" s="2" t="s">
        <v>178</v>
      </c>
      <c r="I245" s="2" t="s">
        <v>28</v>
      </c>
      <c r="J245" s="4" t="s">
        <v>77</v>
      </c>
      <c r="K245" s="2" t="s">
        <v>497</v>
      </c>
      <c r="M245" s="2">
        <f t="shared" si="15"/>
        <v>12.5</v>
      </c>
      <c r="N245" s="2">
        <f t="shared" si="16"/>
        <v>64</v>
      </c>
      <c r="O245" s="2">
        <f>IF(M245="","",IF(M245&gt;=1000,95,IF(M245&lt;=12.5,50,LOOKUP(M245,{12.5,15,20,30,45,60,75,105,115,150,200,225,250,600,1000},{50,55,60,62,65,68,70,72,75,80,82,85,87,90,95})+(M245-LOOKUP(M245,{12.5,15,20,30,45,60,75,105,115,150,200,225,250,600},{12.5,15,20,30,45,60,75,105,115,150,200,225,250,600}))/(LOOKUP(M245,{12.5,15,20,30,45,60,75,105,115,150,200,225,250,600,1000},{15,20,30,45,60,75,105,115,150,200,225,250,600,1000,1000})-LOOKUP(M245,{12.5,15,20,30,45,60,75,105,115,150,200,225,250,600},{12.5,15,20,30,45,60,75,105,115,150,200,225,250,600}))*(LOOKUP(M245,{12.5,15,20,30,45,60,75,105,115,150,200,225,250,600,1000},{55,60,62,65,68,70,72,75,80,82,85,87,90,95,95})-LOOKUP(M245,{12.5,15,20,30,45,60,75,105,115,150,200,225,250,600,1000},{50,55,60,62,65,68,70,72,75,80,82,85,87,90,95})))))</f>
        <v>50</v>
      </c>
      <c r="P245" s="2">
        <f t="shared" si="18"/>
        <v>22</v>
      </c>
      <c r="Q245" s="2">
        <f t="shared" si="19"/>
        <v>9</v>
      </c>
    </row>
    <row r="246" customHeight="1" spans="1:17">
      <c r="A246" s="2">
        <v>2026</v>
      </c>
      <c r="B246" s="2">
        <v>245</v>
      </c>
      <c r="C246" s="16">
        <f t="shared" si="17"/>
        <v>72.9</v>
      </c>
      <c r="D246" s="2" t="s">
        <v>498</v>
      </c>
      <c r="E246" s="9">
        <v>75</v>
      </c>
      <c r="F246" s="9">
        <v>70</v>
      </c>
      <c r="G246" s="12">
        <v>64</v>
      </c>
      <c r="H246" s="2" t="s">
        <v>54</v>
      </c>
      <c r="I246" s="2" t="s">
        <v>23</v>
      </c>
      <c r="J246" s="4" t="s">
        <v>148</v>
      </c>
      <c r="M246" s="2">
        <f t="shared" si="15"/>
        <v>115</v>
      </c>
      <c r="N246" s="2">
        <f t="shared" si="16"/>
        <v>72.9</v>
      </c>
      <c r="O246" s="2">
        <f>IF(M246="","",IF(M246&gt;=1000,95,IF(M246&lt;=12.5,50,LOOKUP(M246,{12.5,15,20,30,45,60,75,105,115,150,200,225,250,600,1000},{50,55,60,62,65,68,70,72,75,80,82,85,87,90,95})+(M246-LOOKUP(M246,{12.5,15,20,30,45,60,75,105,115,150,200,225,250,600},{12.5,15,20,30,45,60,75,105,115,150,200,225,250,600}))/(LOOKUP(M246,{12.5,15,20,30,45,60,75,105,115,150,200,225,250,600,1000},{15,20,30,45,60,75,105,115,150,200,225,250,600,1000,1000})-LOOKUP(M246,{12.5,15,20,30,45,60,75,105,115,150,200,225,250,600},{12.5,15,20,30,45,60,75,105,115,150,200,225,250,600}))*(LOOKUP(M246,{12.5,15,20,30,45,60,75,105,115,150,200,225,250,600,1000},{55,60,62,65,68,70,72,75,80,82,85,87,90,95,95})-LOOKUP(M246,{12.5,15,20,30,45,60,75,105,115,150,200,225,250,600,1000},{50,55,60,62,65,68,70,72,75,80,82,85,87,90,95})))))</f>
        <v>75</v>
      </c>
      <c r="P246" s="2">
        <f t="shared" si="18"/>
        <v>0</v>
      </c>
      <c r="Q246" s="2">
        <f t="shared" si="19"/>
        <v>0</v>
      </c>
    </row>
    <row r="247" customHeight="1" spans="1:17">
      <c r="A247" s="2">
        <v>2026</v>
      </c>
      <c r="B247" s="2">
        <v>246</v>
      </c>
      <c r="C247" s="16">
        <f t="shared" si="17"/>
        <v>72.9</v>
      </c>
      <c r="D247" s="2" t="s">
        <v>499</v>
      </c>
      <c r="E247" s="9">
        <v>75</v>
      </c>
      <c r="F247" s="12">
        <v>65</v>
      </c>
      <c r="G247" s="2">
        <v>59</v>
      </c>
      <c r="H247" s="2" t="s">
        <v>54</v>
      </c>
      <c r="I247" s="2" t="s">
        <v>104</v>
      </c>
      <c r="J247" s="4" t="s">
        <v>105</v>
      </c>
      <c r="K247" s="2" t="s">
        <v>500</v>
      </c>
      <c r="M247" s="2">
        <f t="shared" si="15"/>
        <v>105</v>
      </c>
      <c r="N247" s="2">
        <f t="shared" si="16"/>
        <v>71.4</v>
      </c>
      <c r="O247" s="2">
        <f>IF(M247="","",IF(M247&gt;=1000,95,IF(M247&lt;=12.5,50,LOOKUP(M247,{12.5,15,20,30,45,60,75,105,115,150,200,225,250,600,1000},{50,55,60,62,65,68,70,72,75,80,82,85,87,90,95})+(M247-LOOKUP(M247,{12.5,15,20,30,45,60,75,105,115,150,200,225,250,600},{12.5,15,20,30,45,60,75,105,115,150,200,225,250,600}))/(LOOKUP(M247,{12.5,15,20,30,45,60,75,105,115,150,200,225,250,600,1000},{15,20,30,45,60,75,105,115,150,200,225,250,600,1000,1000})-LOOKUP(M247,{12.5,15,20,30,45,60,75,105,115,150,200,225,250,600},{12.5,15,20,30,45,60,75,105,115,150,200,225,250,600}))*(LOOKUP(M247,{12.5,15,20,30,45,60,75,105,115,150,200,225,250,600,1000},{55,60,62,65,68,70,72,75,80,82,85,87,90,95,95})-LOOKUP(M247,{12.5,15,20,30,45,60,75,105,115,150,200,225,250,600,1000},{50,55,60,62,65,68,70,72,75,80,82,85,87,90,95})))))</f>
        <v>72</v>
      </c>
      <c r="P247" s="2">
        <f t="shared" si="18"/>
        <v>3</v>
      </c>
      <c r="Q247" s="2">
        <f t="shared" si="19"/>
        <v>1.5</v>
      </c>
    </row>
    <row r="248" customHeight="1" spans="1:17">
      <c r="B248" s="2">
        <v>247</v>
      </c>
      <c r="C248" s="16">
        <f t="shared" si="17"/>
        <v>72.9</v>
      </c>
      <c r="D248" s="2" t="s">
        <v>501</v>
      </c>
      <c r="E248" s="9">
        <v>73</v>
      </c>
      <c r="F248" s="2">
        <v>58</v>
      </c>
      <c r="G248" s="2">
        <v>42</v>
      </c>
      <c r="H248" s="2" t="s">
        <v>91</v>
      </c>
      <c r="I248" s="2" t="s">
        <v>28</v>
      </c>
      <c r="J248" s="4" t="s">
        <v>140</v>
      </c>
      <c r="M248" s="2">
        <f t="shared" si="15"/>
        <v>20</v>
      </c>
      <c r="N248" s="2">
        <f t="shared" si="16"/>
        <v>66.9</v>
      </c>
      <c r="O248" s="2">
        <f>IF(M248="","",IF(M248&gt;=1000,95,IF(M248&lt;=12.5,50,LOOKUP(M248,{12.5,15,20,30,45,60,75,105,115,150,200,225,250,600,1000},{50,55,60,62,65,68,70,72,75,80,82,85,87,90,95})+(M248-LOOKUP(M248,{12.5,15,20,30,45,60,75,105,115,150,200,225,250,600},{12.5,15,20,30,45,60,75,105,115,150,200,225,250,600}))/(LOOKUP(M248,{12.5,15,20,30,45,60,75,105,115,150,200,225,250,600,1000},{15,20,30,45,60,75,105,115,150,200,225,250,600,1000,1000})-LOOKUP(M248,{12.5,15,20,30,45,60,75,105,115,150,200,225,250,600},{12.5,15,20,30,45,60,75,105,115,150,200,225,250,600}))*(LOOKUP(M248,{12.5,15,20,30,45,60,75,105,115,150,200,225,250,600,1000},{55,60,62,65,68,70,72,75,80,82,85,87,90,95,95})-LOOKUP(M248,{12.5,15,20,30,45,60,75,105,115,150,200,225,250,600,1000},{50,55,60,62,65,68,70,72,75,80,82,85,87,90,95})))))</f>
        <v>60</v>
      </c>
      <c r="P248" s="2">
        <f t="shared" si="18"/>
        <v>13</v>
      </c>
      <c r="Q248" s="2">
        <f t="shared" si="19"/>
        <v>6</v>
      </c>
    </row>
    <row r="249" customHeight="1" spans="1:17">
      <c r="B249" s="2">
        <v>248</v>
      </c>
      <c r="C249" s="16">
        <f t="shared" si="17"/>
        <v>72.9</v>
      </c>
      <c r="D249" s="2" t="s">
        <v>502</v>
      </c>
      <c r="E249" s="9">
        <v>72</v>
      </c>
      <c r="F249" s="2">
        <v>48</v>
      </c>
      <c r="G249" s="2">
        <v>39</v>
      </c>
      <c r="H249" s="2" t="s">
        <v>91</v>
      </c>
      <c r="I249" s="2" t="s">
        <v>503</v>
      </c>
      <c r="J249" s="4" t="s">
        <v>77</v>
      </c>
      <c r="M249" s="2">
        <f t="shared" si="15"/>
        <v>12.5</v>
      </c>
      <c r="N249" s="2">
        <f t="shared" si="16"/>
        <v>63.9</v>
      </c>
      <c r="O249" s="2">
        <f>IF(M249="","",IF(M249&gt;=1000,95,IF(M249&lt;=12.5,50,LOOKUP(M249,{12.5,15,20,30,45,60,75,105,115,150,200,225,250,600,1000},{50,55,60,62,65,68,70,72,75,80,82,85,87,90,95})+(M249-LOOKUP(M249,{12.5,15,20,30,45,60,75,105,115,150,200,225,250,600},{12.5,15,20,30,45,60,75,105,115,150,200,225,250,600}))/(LOOKUP(M249,{12.5,15,20,30,45,60,75,105,115,150,200,225,250,600,1000},{15,20,30,45,60,75,105,115,150,200,225,250,600,1000,1000})-LOOKUP(M249,{12.5,15,20,30,45,60,75,105,115,150,200,225,250,600},{12.5,15,20,30,45,60,75,105,115,150,200,225,250,600}))*(LOOKUP(M249,{12.5,15,20,30,45,60,75,105,115,150,200,225,250,600,1000},{55,60,62,65,68,70,72,75,80,82,85,87,90,95,95})-LOOKUP(M249,{12.5,15,20,30,45,60,75,105,115,150,200,225,250,600,1000},{50,55,60,62,65,68,70,72,75,80,82,85,87,90,95})))))</f>
        <v>50</v>
      </c>
      <c r="P249" s="2">
        <f t="shared" si="18"/>
        <v>22</v>
      </c>
      <c r="Q249" s="2">
        <f t="shared" si="19"/>
        <v>9</v>
      </c>
    </row>
    <row r="250" customHeight="1" spans="1:17">
      <c r="A250" s="2">
        <v>2026</v>
      </c>
      <c r="B250" s="2">
        <v>249</v>
      </c>
      <c r="C250" s="16">
        <f t="shared" si="17"/>
        <v>72.9</v>
      </c>
      <c r="D250" s="2" t="s">
        <v>504</v>
      </c>
      <c r="E250" s="9">
        <v>74</v>
      </c>
      <c r="F250" s="12">
        <v>60</v>
      </c>
      <c r="G250" s="2">
        <v>46</v>
      </c>
      <c r="H250" s="2" t="s">
        <v>347</v>
      </c>
      <c r="I250" s="2" t="s">
        <v>63</v>
      </c>
      <c r="J250" s="4" t="s">
        <v>38</v>
      </c>
      <c r="M250" s="2">
        <f t="shared" si="15"/>
        <v>45</v>
      </c>
      <c r="N250" s="2">
        <f t="shared" si="16"/>
        <v>68.4</v>
      </c>
      <c r="O250" s="2">
        <f>IF(M250="","",IF(M250&gt;=1000,95,IF(M250&lt;=12.5,50,LOOKUP(M250,{12.5,15,20,30,45,60,75,105,115,150,200,225,250,600,1000},{50,55,60,62,65,68,70,72,75,80,82,85,87,90,95})+(M250-LOOKUP(M250,{12.5,15,20,30,45,60,75,105,115,150,200,225,250,600},{12.5,15,20,30,45,60,75,105,115,150,200,225,250,600}))/(LOOKUP(M250,{12.5,15,20,30,45,60,75,105,115,150,200,225,250,600,1000},{15,20,30,45,60,75,105,115,150,200,225,250,600,1000,1000})-LOOKUP(M250,{12.5,15,20,30,45,60,75,105,115,150,200,225,250,600},{12.5,15,20,30,45,60,75,105,115,150,200,225,250,600}))*(LOOKUP(M250,{12.5,15,20,30,45,60,75,105,115,150,200,225,250,600,1000},{55,60,62,65,68,70,72,75,80,82,85,87,90,95,95})-LOOKUP(M250,{12.5,15,20,30,45,60,75,105,115,150,200,225,250,600,1000},{50,55,60,62,65,68,70,72,75,80,82,85,87,90,95})))))</f>
        <v>65</v>
      </c>
      <c r="P250" s="2">
        <f t="shared" si="18"/>
        <v>9</v>
      </c>
      <c r="Q250" s="2">
        <f t="shared" si="19"/>
        <v>4.5</v>
      </c>
    </row>
    <row r="251" customHeight="1" spans="1:17">
      <c r="B251" s="2">
        <v>250</v>
      </c>
      <c r="C251" s="16">
        <f t="shared" si="17"/>
        <v>72.9</v>
      </c>
      <c r="D251" s="2" t="s">
        <v>505</v>
      </c>
      <c r="E251" s="9">
        <v>75</v>
      </c>
      <c r="F251" s="2">
        <v>52</v>
      </c>
      <c r="G251" s="2">
        <v>40</v>
      </c>
      <c r="H251" s="2" t="s">
        <v>367</v>
      </c>
      <c r="I251" s="2" t="s">
        <v>33</v>
      </c>
      <c r="J251" s="4" t="s">
        <v>88</v>
      </c>
      <c r="K251" s="2" t="s">
        <v>506</v>
      </c>
      <c r="M251" s="2">
        <f t="shared" si="15"/>
        <v>30</v>
      </c>
      <c r="N251" s="2">
        <f t="shared" si="16"/>
        <v>66.9</v>
      </c>
      <c r="O251" s="2">
        <f>IF(M251="","",IF(M251&gt;=1000,95,IF(M251&lt;=12.5,50,LOOKUP(M251,{12.5,15,20,30,45,60,75,105,115,150,200,225,250,600,1000},{50,55,60,62,65,68,70,72,75,80,82,85,87,90,95})+(M251-LOOKUP(M251,{12.5,15,20,30,45,60,75,105,115,150,200,225,250,600},{12.5,15,20,30,45,60,75,105,115,150,200,225,250,600}))/(LOOKUP(M251,{12.5,15,20,30,45,60,75,105,115,150,200,225,250,600,1000},{15,20,30,45,60,75,105,115,150,200,225,250,600,1000,1000})-LOOKUP(M251,{12.5,15,20,30,45,60,75,105,115,150,200,225,250,600},{12.5,15,20,30,45,60,75,105,115,150,200,225,250,600}))*(LOOKUP(M251,{12.5,15,20,30,45,60,75,105,115,150,200,225,250,600,1000},{55,60,62,65,68,70,72,75,80,82,85,87,90,95,95})-LOOKUP(M251,{12.5,15,20,30,45,60,75,105,115,150,200,225,250,600,1000},{50,55,60,62,65,68,70,72,75,80,82,85,87,90,95})))))</f>
        <v>62</v>
      </c>
      <c r="P251" s="2">
        <f t="shared" si="18"/>
        <v>13</v>
      </c>
      <c r="Q251" s="2">
        <f t="shared" si="19"/>
        <v>6</v>
      </c>
    </row>
    <row r="252" customHeight="1" spans="1:17">
      <c r="B252" s="2">
        <v>251</v>
      </c>
      <c r="C252" s="16">
        <f t="shared" si="17"/>
        <v>72.9</v>
      </c>
      <c r="D252" s="2" t="s">
        <v>507</v>
      </c>
      <c r="E252" s="9">
        <v>75</v>
      </c>
      <c r="F252" s="2">
        <v>52</v>
      </c>
      <c r="G252" s="2">
        <v>50</v>
      </c>
      <c r="H252" s="2" t="s">
        <v>32</v>
      </c>
      <c r="I252" s="2" t="s">
        <v>33</v>
      </c>
      <c r="J252" s="4" t="s">
        <v>38</v>
      </c>
      <c r="M252" s="2">
        <f t="shared" si="15"/>
        <v>45</v>
      </c>
      <c r="N252" s="2">
        <f t="shared" si="16"/>
        <v>67.9</v>
      </c>
      <c r="O252" s="2">
        <f>IF(M252="","",IF(M252&gt;=1000,95,IF(M252&lt;=12.5,50,LOOKUP(M252,{12.5,15,20,30,45,60,75,105,115,150,200,225,250,600,1000},{50,55,60,62,65,68,70,72,75,80,82,85,87,90,95})+(M252-LOOKUP(M252,{12.5,15,20,30,45,60,75,105,115,150,200,225,250,600},{12.5,15,20,30,45,60,75,105,115,150,200,225,250,600}))/(LOOKUP(M252,{12.5,15,20,30,45,60,75,105,115,150,200,225,250,600,1000},{15,20,30,45,60,75,105,115,150,200,225,250,600,1000,1000})-LOOKUP(M252,{12.5,15,20,30,45,60,75,105,115,150,200,225,250,600},{12.5,15,20,30,45,60,75,105,115,150,200,225,250,600}))*(LOOKUP(M252,{12.5,15,20,30,45,60,75,105,115,150,200,225,250,600,1000},{55,60,62,65,68,70,72,75,80,82,85,87,90,95,95})-LOOKUP(M252,{12.5,15,20,30,45,60,75,105,115,150,200,225,250,600,1000},{50,55,60,62,65,68,70,72,75,80,82,85,87,90,95})))))</f>
        <v>65</v>
      </c>
      <c r="P252" s="2">
        <f t="shared" si="18"/>
        <v>10</v>
      </c>
      <c r="Q252" s="2">
        <f t="shared" si="19"/>
        <v>5</v>
      </c>
    </row>
    <row r="253" customHeight="1" spans="1:17">
      <c r="A253" s="2">
        <v>2026</v>
      </c>
      <c r="B253" s="2">
        <v>252</v>
      </c>
      <c r="C253" s="16">
        <f t="shared" si="17"/>
        <v>72.84</v>
      </c>
      <c r="D253" s="2" t="s">
        <v>508</v>
      </c>
      <c r="E253" s="9">
        <v>75</v>
      </c>
      <c r="F253" s="2">
        <v>50</v>
      </c>
      <c r="G253" s="2">
        <v>20</v>
      </c>
      <c r="H253" s="2" t="s">
        <v>54</v>
      </c>
      <c r="I253" s="2" t="s">
        <v>104</v>
      </c>
      <c r="J253" s="4" t="s">
        <v>29</v>
      </c>
      <c r="M253" s="2">
        <f t="shared" si="15"/>
        <v>15</v>
      </c>
      <c r="N253" s="2">
        <f t="shared" si="16"/>
        <v>64.5</v>
      </c>
      <c r="O253" s="2">
        <f>IF(M253="","",IF(M253&gt;=1000,95,IF(M253&lt;=12.5,50,LOOKUP(M253,{12.5,15,20,30,45,60,75,105,115,150,200,225,250,600,1000},{50,55,60,62,65,68,70,72,75,80,82,85,87,90,95})+(M253-LOOKUP(M253,{12.5,15,20,30,45,60,75,105,115,150,200,225,250,600},{12.5,15,20,30,45,60,75,105,115,150,200,225,250,600}))/(LOOKUP(M253,{12.5,15,20,30,45,60,75,105,115,150,200,225,250,600,1000},{15,20,30,45,60,75,105,115,150,200,225,250,600,1000,1000})-LOOKUP(M253,{12.5,15,20,30,45,60,75,105,115,150,200,225,250,600},{12.5,15,20,30,45,60,75,105,115,150,200,225,250,600}))*(LOOKUP(M253,{12.5,15,20,30,45,60,75,105,115,150,200,225,250,600,1000},{55,60,62,65,68,70,72,75,80,82,85,87,90,95,95})-LOOKUP(M253,{12.5,15,20,30,45,60,75,105,115,150,200,225,250,600,1000},{50,55,60,62,65,68,70,72,75,80,82,85,87,90,95})))))</f>
        <v>55</v>
      </c>
      <c r="P253" s="2">
        <f t="shared" si="18"/>
        <v>20</v>
      </c>
      <c r="Q253" s="2">
        <f t="shared" si="19"/>
        <v>8.34</v>
      </c>
    </row>
    <row r="254" customHeight="1" spans="1:17">
      <c r="A254" s="2">
        <v>2026</v>
      </c>
      <c r="B254" s="2">
        <v>253</v>
      </c>
      <c r="C254" s="16">
        <f t="shared" si="17"/>
        <v>72.83</v>
      </c>
      <c r="D254" s="2" t="s">
        <v>509</v>
      </c>
      <c r="E254" s="9">
        <v>73</v>
      </c>
      <c r="F254" s="2">
        <v>55</v>
      </c>
      <c r="G254" s="2">
        <v>54</v>
      </c>
      <c r="H254" s="2" t="s">
        <v>54</v>
      </c>
      <c r="I254" s="2" t="s">
        <v>28</v>
      </c>
      <c r="J254" s="4" t="s">
        <v>88</v>
      </c>
      <c r="M254" s="2">
        <f t="shared" si="15"/>
        <v>30</v>
      </c>
      <c r="N254" s="2">
        <f t="shared" si="16"/>
        <v>67.5</v>
      </c>
      <c r="O254" s="2">
        <f>IF(M254="","",IF(M254&gt;=1000,95,IF(M254&lt;=12.5,50,LOOKUP(M254,{12.5,15,20,30,45,60,75,105,115,150,200,225,250,600,1000},{50,55,60,62,65,68,70,72,75,80,82,85,87,90,95})+(M254-LOOKUP(M254,{12.5,15,20,30,45,60,75,105,115,150,200,225,250,600},{12.5,15,20,30,45,60,75,105,115,150,200,225,250,600}))/(LOOKUP(M254,{12.5,15,20,30,45,60,75,105,115,150,200,225,250,600,1000},{15,20,30,45,60,75,105,115,150,200,225,250,600,1000,1000})-LOOKUP(M254,{12.5,15,20,30,45,60,75,105,115,150,200,225,250,600},{12.5,15,20,30,45,60,75,105,115,150,200,225,250,600}))*(LOOKUP(M254,{12.5,15,20,30,45,60,75,105,115,150,200,225,250,600,1000},{55,60,62,65,68,70,72,75,80,82,85,87,90,95,95})-LOOKUP(M254,{12.5,15,20,30,45,60,75,105,115,150,200,225,250,600,1000},{50,55,60,62,65,68,70,72,75,80,82,85,87,90,95})))))</f>
        <v>62</v>
      </c>
      <c r="P254" s="2">
        <f t="shared" si="18"/>
        <v>11</v>
      </c>
      <c r="Q254" s="2">
        <f t="shared" si="19"/>
        <v>5.33</v>
      </c>
    </row>
    <row r="255" customHeight="1" spans="1:17">
      <c r="B255" s="2">
        <v>254</v>
      </c>
      <c r="C255" s="16">
        <f t="shared" si="17"/>
        <v>72.8</v>
      </c>
      <c r="D255" s="2" t="s">
        <v>510</v>
      </c>
      <c r="E255" s="9">
        <v>72</v>
      </c>
      <c r="F255" s="12">
        <v>68</v>
      </c>
      <c r="G255" s="12">
        <v>68</v>
      </c>
      <c r="H255" s="2" t="s">
        <v>41</v>
      </c>
      <c r="I255" s="2" t="s">
        <v>128</v>
      </c>
      <c r="J255" s="4" t="s">
        <v>34</v>
      </c>
      <c r="K255" s="2" t="s">
        <v>511</v>
      </c>
      <c r="M255" s="2">
        <f t="shared" si="15"/>
        <v>60</v>
      </c>
      <c r="N255" s="2">
        <f t="shared" si="16"/>
        <v>70.8</v>
      </c>
      <c r="O255" s="2">
        <f>IF(M255="","",IF(M255&gt;=1000,95,IF(M255&lt;=12.5,50,LOOKUP(M255,{12.5,15,20,30,45,60,75,105,115,150,200,225,250,600,1000},{50,55,60,62,65,68,70,72,75,80,82,85,87,90,95})+(M255-LOOKUP(M255,{12.5,15,20,30,45,60,75,105,115,150,200,225,250,600},{12.5,15,20,30,45,60,75,105,115,150,200,225,250,600}))/(LOOKUP(M255,{12.5,15,20,30,45,60,75,105,115,150,200,225,250,600,1000},{15,20,30,45,60,75,105,115,150,200,225,250,600,1000,1000})-LOOKUP(M255,{12.5,15,20,30,45,60,75,105,115,150,200,225,250,600},{12.5,15,20,30,45,60,75,105,115,150,200,225,250,600}))*(LOOKUP(M255,{12.5,15,20,30,45,60,75,105,115,150,200,225,250,600,1000},{55,60,62,65,68,70,72,75,80,82,85,87,90,95,95})-LOOKUP(M255,{12.5,15,20,30,45,60,75,105,115,150,200,225,250,600,1000},{50,55,60,62,65,68,70,72,75,80,82,85,87,90,95})))))</f>
        <v>68</v>
      </c>
      <c r="P255" s="2">
        <f t="shared" si="18"/>
        <v>4</v>
      </c>
      <c r="Q255" s="2">
        <f t="shared" si="19"/>
        <v>2</v>
      </c>
    </row>
    <row r="256" customHeight="1" spans="1:17">
      <c r="B256" s="2">
        <v>255</v>
      </c>
      <c r="C256" s="16">
        <f t="shared" si="17"/>
        <v>72.8</v>
      </c>
      <c r="D256" s="2" t="s">
        <v>512</v>
      </c>
      <c r="E256" s="9">
        <v>75</v>
      </c>
      <c r="F256" s="12">
        <v>67</v>
      </c>
      <c r="G256" s="12">
        <v>69</v>
      </c>
      <c r="H256" s="2" t="s">
        <v>37</v>
      </c>
      <c r="I256" s="2" t="s">
        <v>435</v>
      </c>
      <c r="J256" s="4" t="s">
        <v>148</v>
      </c>
      <c r="M256" s="2">
        <f t="shared" si="15"/>
        <v>115</v>
      </c>
      <c r="N256" s="2">
        <f t="shared" si="16"/>
        <v>72.8</v>
      </c>
      <c r="O256" s="2">
        <f>IF(M256="","",IF(M256&gt;=1000,95,IF(M256&lt;=12.5,50,LOOKUP(M256,{12.5,15,20,30,45,60,75,105,115,150,200,225,250,600,1000},{50,55,60,62,65,68,70,72,75,80,82,85,87,90,95})+(M256-LOOKUP(M256,{12.5,15,20,30,45,60,75,105,115,150,200,225,250,600},{12.5,15,20,30,45,60,75,105,115,150,200,225,250,600}))/(LOOKUP(M256,{12.5,15,20,30,45,60,75,105,115,150,200,225,250,600,1000},{15,20,30,45,60,75,105,115,150,200,225,250,600,1000,1000})-LOOKUP(M256,{12.5,15,20,30,45,60,75,105,115,150,200,225,250,600},{12.5,15,20,30,45,60,75,105,115,150,200,225,250,600}))*(LOOKUP(M256,{12.5,15,20,30,45,60,75,105,115,150,200,225,250,600,1000},{55,60,62,65,68,70,72,75,80,82,85,87,90,95,95})-LOOKUP(M256,{12.5,15,20,30,45,60,75,105,115,150,200,225,250,600,1000},{50,55,60,62,65,68,70,72,75,80,82,85,87,90,95})))))</f>
        <v>75</v>
      </c>
      <c r="P256" s="2">
        <f t="shared" si="18"/>
        <v>0</v>
      </c>
      <c r="Q256" s="2">
        <f t="shared" si="19"/>
        <v>0</v>
      </c>
    </row>
    <row r="257" customHeight="1" spans="1:17">
      <c r="B257" s="2">
        <v>256</v>
      </c>
      <c r="C257" s="16">
        <f t="shared" si="17"/>
        <v>72.8</v>
      </c>
      <c r="D257" s="2" t="s">
        <v>513</v>
      </c>
      <c r="E257" s="9">
        <v>78</v>
      </c>
      <c r="F257" s="2">
        <v>45</v>
      </c>
      <c r="G257" s="2">
        <v>52</v>
      </c>
      <c r="H257" s="2" t="s">
        <v>367</v>
      </c>
      <c r="I257" s="2" t="s">
        <v>33</v>
      </c>
      <c r="J257" s="4" t="s">
        <v>24</v>
      </c>
      <c r="M257" s="2">
        <f t="shared" si="15"/>
        <v>75</v>
      </c>
      <c r="N257" s="2">
        <f t="shared" si="16"/>
        <v>68.8</v>
      </c>
      <c r="O257" s="2">
        <f>IF(M257="","",IF(M257&gt;=1000,95,IF(M257&lt;=12.5,50,LOOKUP(M257,{12.5,15,20,30,45,60,75,105,115,150,200,225,250,600,1000},{50,55,60,62,65,68,70,72,75,80,82,85,87,90,95})+(M257-LOOKUP(M257,{12.5,15,20,30,45,60,75,105,115,150,200,225,250,600},{12.5,15,20,30,45,60,75,105,115,150,200,225,250,600}))/(LOOKUP(M257,{12.5,15,20,30,45,60,75,105,115,150,200,225,250,600,1000},{15,20,30,45,60,75,105,115,150,200,225,250,600,1000,1000})-LOOKUP(M257,{12.5,15,20,30,45,60,75,105,115,150,200,225,250,600},{12.5,15,20,30,45,60,75,105,115,150,200,225,250,600}))*(LOOKUP(M257,{12.5,15,20,30,45,60,75,105,115,150,200,225,250,600,1000},{55,60,62,65,68,70,72,75,80,82,85,87,90,95,95})-LOOKUP(M257,{12.5,15,20,30,45,60,75,105,115,150,200,225,250,600,1000},{50,55,60,62,65,68,70,72,75,80,82,85,87,90,95})))))</f>
        <v>70</v>
      </c>
      <c r="P257" s="2">
        <f t="shared" si="18"/>
        <v>8</v>
      </c>
      <c r="Q257" s="2">
        <f t="shared" si="19"/>
        <v>4</v>
      </c>
    </row>
    <row r="258" customHeight="1" spans="1:17">
      <c r="B258" s="2">
        <v>257</v>
      </c>
      <c r="C258" s="16">
        <f t="shared" si="17"/>
        <v>72.8</v>
      </c>
      <c r="D258" s="2" t="s">
        <v>514</v>
      </c>
      <c r="E258" s="9">
        <v>73</v>
      </c>
      <c r="F258" s="10">
        <v>82</v>
      </c>
      <c r="G258" s="12">
        <v>63</v>
      </c>
      <c r="H258" s="2" t="s">
        <v>515</v>
      </c>
      <c r="I258" s="2" t="s">
        <v>350</v>
      </c>
      <c r="J258" s="4" t="s">
        <v>148</v>
      </c>
      <c r="K258" s="2" t="s">
        <v>516</v>
      </c>
      <c r="M258" s="2">
        <f t="shared" ref="M258:M321" si="20">IF(J258="1000+",1000,(LEFT(J258,FIND("-",J258)-1)+RIGHT(J258,LEN(J258)-FIND("-",J258)))/2)</f>
        <v>115</v>
      </c>
      <c r="N258" s="2">
        <f t="shared" ref="N258:N321" si="21">ROUND(E258*0.7+F258*0.2+G258*0.1,2)</f>
        <v>73.8</v>
      </c>
      <c r="O258" s="2">
        <f>IF(M258="","",IF(M258&gt;=1000,95,IF(M258&lt;=12.5,50,LOOKUP(M258,{12.5,15,20,30,45,60,75,105,115,150,200,225,250,600,1000},{50,55,60,62,65,68,70,72,75,80,82,85,87,90,95})+(M258-LOOKUP(M258,{12.5,15,20,30,45,60,75,105,115,150,200,225,250,600},{12.5,15,20,30,45,60,75,105,115,150,200,225,250,600}))/(LOOKUP(M258,{12.5,15,20,30,45,60,75,105,115,150,200,225,250,600,1000},{15,20,30,45,60,75,105,115,150,200,225,250,600,1000,1000})-LOOKUP(M258,{12.5,15,20,30,45,60,75,105,115,150,200,225,250,600},{12.5,15,20,30,45,60,75,105,115,150,200,225,250,600}))*(LOOKUP(M258,{12.5,15,20,30,45,60,75,105,115,150,200,225,250,600,1000},{55,60,62,65,68,70,72,75,80,82,85,87,90,95,95})-LOOKUP(M258,{12.5,15,20,30,45,60,75,105,115,150,200,225,250,600,1000},{50,55,60,62,65,68,70,72,75,80,82,85,87,90,95})))))</f>
        <v>75</v>
      </c>
      <c r="P258" s="2">
        <f t="shared" si="18"/>
        <v>-2</v>
      </c>
      <c r="Q258" s="2">
        <f t="shared" si="19"/>
        <v>-1</v>
      </c>
    </row>
    <row r="259" customHeight="1" spans="1:17">
      <c r="B259" s="2">
        <v>258</v>
      </c>
      <c r="C259" s="16">
        <f t="shared" si="17"/>
        <v>72.77</v>
      </c>
      <c r="D259" s="2" t="s">
        <v>517</v>
      </c>
      <c r="E259" s="9">
        <v>74</v>
      </c>
      <c r="F259" s="2">
        <v>52</v>
      </c>
      <c r="G259" s="2">
        <v>49</v>
      </c>
      <c r="H259" s="2" t="s">
        <v>91</v>
      </c>
      <c r="I259" s="2" t="s">
        <v>28</v>
      </c>
      <c r="J259" s="4" t="s">
        <v>88</v>
      </c>
      <c r="M259" s="2">
        <f t="shared" si="20"/>
        <v>30</v>
      </c>
      <c r="N259" s="2">
        <f t="shared" si="21"/>
        <v>67.1</v>
      </c>
      <c r="O259" s="2">
        <f>IF(M259="","",IF(M259&gt;=1000,95,IF(M259&lt;=12.5,50,LOOKUP(M259,{12.5,15,20,30,45,60,75,105,115,150,200,225,250,600,1000},{50,55,60,62,65,68,70,72,75,80,82,85,87,90,95})+(M259-LOOKUP(M259,{12.5,15,20,30,45,60,75,105,115,150,200,225,250,600},{12.5,15,20,30,45,60,75,105,115,150,200,225,250,600}))/(LOOKUP(M259,{12.5,15,20,30,45,60,75,105,115,150,200,225,250,600,1000},{15,20,30,45,60,75,105,115,150,200,225,250,600,1000,1000})-LOOKUP(M259,{12.5,15,20,30,45,60,75,105,115,150,200,225,250,600},{12.5,15,20,30,45,60,75,105,115,150,200,225,250,600}))*(LOOKUP(M259,{12.5,15,20,30,45,60,75,105,115,150,200,225,250,600,1000},{55,60,62,65,68,70,72,75,80,82,85,87,90,95,95})-LOOKUP(M259,{12.5,15,20,30,45,60,75,105,115,150,200,225,250,600,1000},{50,55,60,62,65,68,70,72,75,80,82,85,87,90,95})))))</f>
        <v>62</v>
      </c>
      <c r="P259" s="2">
        <f t="shared" si="18"/>
        <v>12</v>
      </c>
      <c r="Q259" s="2">
        <f t="shared" si="19"/>
        <v>5.67</v>
      </c>
    </row>
    <row r="260" customHeight="1" spans="1:17">
      <c r="B260" s="2">
        <v>259</v>
      </c>
      <c r="C260" s="16">
        <f t="shared" si="17"/>
        <v>72.6</v>
      </c>
      <c r="D260" s="2" t="s">
        <v>518</v>
      </c>
      <c r="E260" s="9">
        <v>75</v>
      </c>
      <c r="F260" s="9">
        <v>78</v>
      </c>
      <c r="G260" s="9">
        <v>70</v>
      </c>
      <c r="H260" s="2" t="s">
        <v>326</v>
      </c>
      <c r="I260" s="2" t="s">
        <v>23</v>
      </c>
      <c r="J260" s="4" t="s">
        <v>59</v>
      </c>
      <c r="K260" s="2" t="s">
        <v>519</v>
      </c>
      <c r="M260" s="2">
        <f t="shared" si="20"/>
        <v>150</v>
      </c>
      <c r="N260" s="2">
        <f t="shared" si="21"/>
        <v>75.1</v>
      </c>
      <c r="O260" s="2">
        <f>IF(M260="","",IF(M260&gt;=1000,95,IF(M260&lt;=12.5,50,LOOKUP(M260,{12.5,15,20,30,45,60,75,105,115,150,200,225,250,600,1000},{50,55,60,62,65,68,70,72,75,80,82,85,87,90,95})+(M260-LOOKUP(M260,{12.5,15,20,30,45,60,75,105,115,150,200,225,250,600},{12.5,15,20,30,45,60,75,105,115,150,200,225,250,600}))/(LOOKUP(M260,{12.5,15,20,30,45,60,75,105,115,150,200,225,250,600,1000},{15,20,30,45,60,75,105,115,150,200,225,250,600,1000,1000})-LOOKUP(M260,{12.5,15,20,30,45,60,75,105,115,150,200,225,250,600},{12.5,15,20,30,45,60,75,105,115,150,200,225,250,600}))*(LOOKUP(M260,{12.5,15,20,30,45,60,75,105,115,150,200,225,250,600,1000},{55,60,62,65,68,70,72,75,80,82,85,87,90,95,95})-LOOKUP(M260,{12.5,15,20,30,45,60,75,105,115,150,200,225,250,600,1000},{50,55,60,62,65,68,70,72,75,80,82,85,87,90,95})))))</f>
        <v>80</v>
      </c>
      <c r="P260" s="2">
        <f t="shared" si="18"/>
        <v>-5</v>
      </c>
      <c r="Q260" s="2">
        <f t="shared" si="19"/>
        <v>-2.5</v>
      </c>
    </row>
    <row r="261" customHeight="1" spans="1:17">
      <c r="B261" s="2">
        <v>260</v>
      </c>
      <c r="C261" s="16">
        <f t="shared" ref="C261:C324" si="22">ROUND(MAX(MIN(N261+Q261,100),0),2)</f>
        <v>72.6</v>
      </c>
      <c r="D261" s="2" t="s">
        <v>520</v>
      </c>
      <c r="E261" s="9">
        <v>71</v>
      </c>
      <c r="F261" s="12">
        <v>66</v>
      </c>
      <c r="G261" s="12">
        <v>67</v>
      </c>
      <c r="H261" s="2" t="s">
        <v>37</v>
      </c>
      <c r="I261" s="2" t="s">
        <v>28</v>
      </c>
      <c r="J261" s="4" t="s">
        <v>38</v>
      </c>
      <c r="M261" s="2">
        <f t="shared" si="20"/>
        <v>45</v>
      </c>
      <c r="N261" s="2">
        <f t="shared" si="21"/>
        <v>69.6</v>
      </c>
      <c r="O261" s="2">
        <f>IF(M261="","",IF(M261&gt;=1000,95,IF(M261&lt;=12.5,50,LOOKUP(M261,{12.5,15,20,30,45,60,75,105,115,150,200,225,250,600,1000},{50,55,60,62,65,68,70,72,75,80,82,85,87,90,95})+(M261-LOOKUP(M261,{12.5,15,20,30,45,60,75,105,115,150,200,225,250,600},{12.5,15,20,30,45,60,75,105,115,150,200,225,250,600}))/(LOOKUP(M261,{12.5,15,20,30,45,60,75,105,115,150,200,225,250,600,1000},{15,20,30,45,60,75,105,115,150,200,225,250,600,1000,1000})-LOOKUP(M261,{12.5,15,20,30,45,60,75,105,115,150,200,225,250,600},{12.5,15,20,30,45,60,75,105,115,150,200,225,250,600}))*(LOOKUP(M261,{12.5,15,20,30,45,60,75,105,115,150,200,225,250,600,1000},{55,60,62,65,68,70,72,75,80,82,85,87,90,95,95})-LOOKUP(M261,{12.5,15,20,30,45,60,75,105,115,150,200,225,250,600,1000},{50,55,60,62,65,68,70,72,75,80,82,85,87,90,95})))))</f>
        <v>65</v>
      </c>
      <c r="P261" s="2">
        <f t="shared" si="18"/>
        <v>6</v>
      </c>
      <c r="Q261" s="2">
        <f t="shared" si="19"/>
        <v>3</v>
      </c>
    </row>
    <row r="262" customHeight="1" spans="1:17">
      <c r="A262" s="2">
        <v>2026</v>
      </c>
      <c r="B262" s="2">
        <v>261</v>
      </c>
      <c r="C262" s="16">
        <f t="shared" si="22"/>
        <v>72.6</v>
      </c>
      <c r="D262" s="2" t="s">
        <v>521</v>
      </c>
      <c r="E262" s="9">
        <v>70</v>
      </c>
      <c r="F262" s="12">
        <v>65</v>
      </c>
      <c r="G262" s="2">
        <v>56</v>
      </c>
      <c r="H262" s="2" t="s">
        <v>378</v>
      </c>
      <c r="I262" s="2" t="s">
        <v>28</v>
      </c>
      <c r="J262" s="4" t="s">
        <v>140</v>
      </c>
      <c r="M262" s="2">
        <f t="shared" si="20"/>
        <v>20</v>
      </c>
      <c r="N262" s="2">
        <f t="shared" si="21"/>
        <v>67.6</v>
      </c>
      <c r="O262" s="2">
        <f>IF(M262="","",IF(M262&gt;=1000,95,IF(M262&lt;=12.5,50,LOOKUP(M262,{12.5,15,20,30,45,60,75,105,115,150,200,225,250,600,1000},{50,55,60,62,65,68,70,72,75,80,82,85,87,90,95})+(M262-LOOKUP(M262,{12.5,15,20,30,45,60,75,105,115,150,200,225,250,600},{12.5,15,20,30,45,60,75,105,115,150,200,225,250,600}))/(LOOKUP(M262,{12.5,15,20,30,45,60,75,105,115,150,200,225,250,600,1000},{15,20,30,45,60,75,105,115,150,200,225,250,600,1000,1000})-LOOKUP(M262,{12.5,15,20,30,45,60,75,105,115,150,200,225,250,600},{12.5,15,20,30,45,60,75,105,115,150,200,225,250,600}))*(LOOKUP(M262,{12.5,15,20,30,45,60,75,105,115,150,200,225,250,600,1000},{55,60,62,65,68,70,72,75,80,82,85,87,90,95,95})-LOOKUP(M262,{12.5,15,20,30,45,60,75,105,115,150,200,225,250,600,1000},{50,55,60,62,65,68,70,72,75,80,82,85,87,90,95})))))</f>
        <v>60</v>
      </c>
      <c r="P262" s="2">
        <f t="shared" ref="P262:P325" si="23">E262-O262</f>
        <v>10</v>
      </c>
      <c r="Q262" s="2">
        <f t="shared" ref="Q262:Q325" si="24">ROUND(SIGN(P262)*IF(ABS(P262)&lt;=10,ABS(P262)*0.5,IF(ABS(P262)&lt;=15,5+(ABS(P262)-10)*(1.67/5),6.67+(ABS(P262)-15)*0.333)),2)</f>
        <v>5</v>
      </c>
    </row>
    <row r="263" customHeight="1" spans="1:17">
      <c r="A263" s="2">
        <v>2026</v>
      </c>
      <c r="B263" s="2">
        <v>262</v>
      </c>
      <c r="C263" s="16">
        <f t="shared" si="22"/>
        <v>72.6</v>
      </c>
      <c r="D263" s="2" t="s">
        <v>522</v>
      </c>
      <c r="E263" s="9">
        <v>75</v>
      </c>
      <c r="F263" s="12">
        <v>60</v>
      </c>
      <c r="G263" s="2">
        <v>56</v>
      </c>
      <c r="H263" s="2" t="s">
        <v>54</v>
      </c>
      <c r="I263" s="2" t="s">
        <v>104</v>
      </c>
      <c r="J263" s="4" t="s">
        <v>24</v>
      </c>
      <c r="M263" s="2">
        <f t="shared" si="20"/>
        <v>75</v>
      </c>
      <c r="N263" s="2">
        <f t="shared" si="21"/>
        <v>70.1</v>
      </c>
      <c r="O263" s="2">
        <f>IF(M263="","",IF(M263&gt;=1000,95,IF(M263&lt;=12.5,50,LOOKUP(M263,{12.5,15,20,30,45,60,75,105,115,150,200,225,250,600,1000},{50,55,60,62,65,68,70,72,75,80,82,85,87,90,95})+(M263-LOOKUP(M263,{12.5,15,20,30,45,60,75,105,115,150,200,225,250,600},{12.5,15,20,30,45,60,75,105,115,150,200,225,250,600}))/(LOOKUP(M263,{12.5,15,20,30,45,60,75,105,115,150,200,225,250,600,1000},{15,20,30,45,60,75,105,115,150,200,225,250,600,1000,1000})-LOOKUP(M263,{12.5,15,20,30,45,60,75,105,115,150,200,225,250,600},{12.5,15,20,30,45,60,75,105,115,150,200,225,250,600}))*(LOOKUP(M263,{12.5,15,20,30,45,60,75,105,115,150,200,225,250,600,1000},{55,60,62,65,68,70,72,75,80,82,85,87,90,95,95})-LOOKUP(M263,{12.5,15,20,30,45,60,75,105,115,150,200,225,250,600,1000},{50,55,60,62,65,68,70,72,75,80,82,85,87,90,95})))))</f>
        <v>70</v>
      </c>
      <c r="P263" s="2">
        <f t="shared" si="23"/>
        <v>5</v>
      </c>
      <c r="Q263" s="2">
        <f t="shared" si="24"/>
        <v>2.5</v>
      </c>
    </row>
    <row r="264" customHeight="1" spans="1:17">
      <c r="B264" s="2">
        <v>263</v>
      </c>
      <c r="C264" s="16">
        <f t="shared" si="22"/>
        <v>72.57</v>
      </c>
      <c r="D264" s="2" t="s">
        <v>523</v>
      </c>
      <c r="E264" s="9">
        <v>74</v>
      </c>
      <c r="F264" s="2">
        <v>58</v>
      </c>
      <c r="G264" s="2">
        <v>35</v>
      </c>
      <c r="H264" s="2" t="s">
        <v>524</v>
      </c>
      <c r="I264" s="2" t="s">
        <v>321</v>
      </c>
      <c r="J264" s="4" t="s">
        <v>88</v>
      </c>
      <c r="M264" s="2">
        <f t="shared" si="20"/>
        <v>30</v>
      </c>
      <c r="N264" s="2">
        <f t="shared" si="21"/>
        <v>66.9</v>
      </c>
      <c r="O264" s="2">
        <f>IF(M264="","",IF(M264&gt;=1000,95,IF(M264&lt;=12.5,50,LOOKUP(M264,{12.5,15,20,30,45,60,75,105,115,150,200,225,250,600,1000},{50,55,60,62,65,68,70,72,75,80,82,85,87,90,95})+(M264-LOOKUP(M264,{12.5,15,20,30,45,60,75,105,115,150,200,225,250,600},{12.5,15,20,30,45,60,75,105,115,150,200,225,250,600}))/(LOOKUP(M264,{12.5,15,20,30,45,60,75,105,115,150,200,225,250,600,1000},{15,20,30,45,60,75,105,115,150,200,225,250,600,1000,1000})-LOOKUP(M264,{12.5,15,20,30,45,60,75,105,115,150,200,225,250,600},{12.5,15,20,30,45,60,75,105,115,150,200,225,250,600}))*(LOOKUP(M264,{12.5,15,20,30,45,60,75,105,115,150,200,225,250,600,1000},{55,60,62,65,68,70,72,75,80,82,85,87,90,95,95})-LOOKUP(M264,{12.5,15,20,30,45,60,75,105,115,150,200,225,250,600,1000},{50,55,60,62,65,68,70,72,75,80,82,85,87,90,95})))))</f>
        <v>62</v>
      </c>
      <c r="P264" s="2">
        <f t="shared" si="23"/>
        <v>12</v>
      </c>
      <c r="Q264" s="2">
        <f t="shared" si="24"/>
        <v>5.67</v>
      </c>
    </row>
    <row r="265" customHeight="1" spans="1:17">
      <c r="A265" s="2">
        <v>2026</v>
      </c>
      <c r="B265" s="2">
        <v>264</v>
      </c>
      <c r="C265" s="16">
        <f t="shared" si="22"/>
        <v>72.56</v>
      </c>
      <c r="D265" s="2" t="s">
        <v>525</v>
      </c>
      <c r="E265" s="9">
        <v>75</v>
      </c>
      <c r="F265" s="8">
        <v>99</v>
      </c>
      <c r="G265" s="10">
        <v>86</v>
      </c>
      <c r="H265" s="2" t="s">
        <v>347</v>
      </c>
      <c r="I265" s="2" t="s">
        <v>104</v>
      </c>
      <c r="J265" s="4" t="s">
        <v>43</v>
      </c>
      <c r="M265" s="2">
        <f t="shared" si="20"/>
        <v>1000</v>
      </c>
      <c r="N265" s="2">
        <f t="shared" si="21"/>
        <v>80.9</v>
      </c>
      <c r="O265" s="2">
        <f>IF(M265="","",IF(M265&gt;=1000,95,IF(M265&lt;=12.5,50,LOOKUP(M265,{12.5,15,20,30,45,60,75,105,115,150,200,225,250,600,1000},{50,55,60,62,65,68,70,72,75,80,82,85,87,90,95})+(M265-LOOKUP(M265,{12.5,15,20,30,45,60,75,105,115,150,200,225,250,600},{12.5,15,20,30,45,60,75,105,115,150,200,225,250,600}))/(LOOKUP(M265,{12.5,15,20,30,45,60,75,105,115,150,200,225,250,600,1000},{15,20,30,45,60,75,105,115,150,200,225,250,600,1000,1000})-LOOKUP(M265,{12.5,15,20,30,45,60,75,105,115,150,200,225,250,600},{12.5,15,20,30,45,60,75,105,115,150,200,225,250,600}))*(LOOKUP(M265,{12.5,15,20,30,45,60,75,105,115,150,200,225,250,600,1000},{55,60,62,65,68,70,72,75,80,82,85,87,90,95,95})-LOOKUP(M265,{12.5,15,20,30,45,60,75,105,115,150,200,225,250,600,1000},{50,55,60,62,65,68,70,72,75,80,82,85,87,90,95})))))</f>
        <v>95</v>
      </c>
      <c r="P265" s="2">
        <f t="shared" si="23"/>
        <v>-20</v>
      </c>
      <c r="Q265" s="2">
        <f t="shared" si="24"/>
        <v>-8.34</v>
      </c>
    </row>
    <row r="266" customHeight="1" spans="1:17">
      <c r="B266" s="2">
        <v>265</v>
      </c>
      <c r="C266" s="16">
        <f t="shared" si="22"/>
        <v>72.5</v>
      </c>
      <c r="D266" s="2" t="s">
        <v>526</v>
      </c>
      <c r="E266" s="9">
        <v>76</v>
      </c>
      <c r="F266" s="10">
        <v>80</v>
      </c>
      <c r="G266" s="9">
        <v>78</v>
      </c>
      <c r="H266" s="2" t="s">
        <v>122</v>
      </c>
      <c r="I266" s="2" t="s">
        <v>18</v>
      </c>
      <c r="J266" s="4" t="s">
        <v>19</v>
      </c>
      <c r="K266" s="2" t="s">
        <v>527</v>
      </c>
      <c r="M266" s="2">
        <f t="shared" si="20"/>
        <v>225</v>
      </c>
      <c r="N266" s="2">
        <f t="shared" si="21"/>
        <v>77</v>
      </c>
      <c r="O266" s="2">
        <f>IF(M266="","",IF(M266&gt;=1000,95,IF(M266&lt;=12.5,50,LOOKUP(M266,{12.5,15,20,30,45,60,75,105,115,150,200,225,250,600,1000},{50,55,60,62,65,68,70,72,75,80,82,85,87,90,95})+(M266-LOOKUP(M266,{12.5,15,20,30,45,60,75,105,115,150,200,225,250,600},{12.5,15,20,30,45,60,75,105,115,150,200,225,250,600}))/(LOOKUP(M266,{12.5,15,20,30,45,60,75,105,115,150,200,225,250,600,1000},{15,20,30,45,60,75,105,115,150,200,225,250,600,1000,1000})-LOOKUP(M266,{12.5,15,20,30,45,60,75,105,115,150,200,225,250,600},{12.5,15,20,30,45,60,75,105,115,150,200,225,250,600}))*(LOOKUP(M266,{12.5,15,20,30,45,60,75,105,115,150,200,225,250,600,1000},{55,60,62,65,68,70,72,75,80,82,85,87,90,95,95})-LOOKUP(M266,{12.5,15,20,30,45,60,75,105,115,150,200,225,250,600,1000},{50,55,60,62,65,68,70,72,75,80,82,85,87,90,95})))))</f>
        <v>85</v>
      </c>
      <c r="P266" s="2">
        <f t="shared" si="23"/>
        <v>-9</v>
      </c>
      <c r="Q266" s="2">
        <f t="shared" si="24"/>
        <v>-4.5</v>
      </c>
    </row>
    <row r="267" customHeight="1" spans="1:17">
      <c r="B267" s="2">
        <v>266</v>
      </c>
      <c r="C267" s="16">
        <f t="shared" si="22"/>
        <v>72.5</v>
      </c>
      <c r="D267" s="2" t="s">
        <v>528</v>
      </c>
      <c r="E267" s="9">
        <v>75</v>
      </c>
      <c r="F267" s="9">
        <v>72</v>
      </c>
      <c r="G267" s="10">
        <v>81</v>
      </c>
      <c r="H267" s="2" t="s">
        <v>300</v>
      </c>
      <c r="I267" s="2" t="s">
        <v>159</v>
      </c>
      <c r="J267" s="4" t="s">
        <v>59</v>
      </c>
      <c r="M267" s="2">
        <f t="shared" si="20"/>
        <v>150</v>
      </c>
      <c r="N267" s="2">
        <f t="shared" si="21"/>
        <v>75</v>
      </c>
      <c r="O267" s="2">
        <f>IF(M267="","",IF(M267&gt;=1000,95,IF(M267&lt;=12.5,50,LOOKUP(M267,{12.5,15,20,30,45,60,75,105,115,150,200,225,250,600,1000},{50,55,60,62,65,68,70,72,75,80,82,85,87,90,95})+(M267-LOOKUP(M267,{12.5,15,20,30,45,60,75,105,115,150,200,225,250,600},{12.5,15,20,30,45,60,75,105,115,150,200,225,250,600}))/(LOOKUP(M267,{12.5,15,20,30,45,60,75,105,115,150,200,225,250,600,1000},{15,20,30,45,60,75,105,115,150,200,225,250,600,1000,1000})-LOOKUP(M267,{12.5,15,20,30,45,60,75,105,115,150,200,225,250,600},{12.5,15,20,30,45,60,75,105,115,150,200,225,250,600}))*(LOOKUP(M267,{12.5,15,20,30,45,60,75,105,115,150,200,225,250,600,1000},{55,60,62,65,68,70,72,75,80,82,85,87,90,95,95})-LOOKUP(M267,{12.5,15,20,30,45,60,75,105,115,150,200,225,250,600,1000},{50,55,60,62,65,68,70,72,75,80,82,85,87,90,95})))))</f>
        <v>80</v>
      </c>
      <c r="P267" s="2">
        <f t="shared" si="23"/>
        <v>-5</v>
      </c>
      <c r="Q267" s="2">
        <f t="shared" si="24"/>
        <v>-2.5</v>
      </c>
    </row>
    <row r="268" customHeight="1" spans="1:17">
      <c r="B268" s="2">
        <v>267</v>
      </c>
      <c r="C268" s="16">
        <f t="shared" si="22"/>
        <v>72.5</v>
      </c>
      <c r="D268" s="2" t="s">
        <v>529</v>
      </c>
      <c r="E268" s="9">
        <v>77</v>
      </c>
      <c r="F268" s="12">
        <v>68</v>
      </c>
      <c r="G268" s="12">
        <v>65</v>
      </c>
      <c r="H268" s="2" t="s">
        <v>175</v>
      </c>
      <c r="I268" s="2" t="s">
        <v>239</v>
      </c>
      <c r="J268" s="4" t="s">
        <v>59</v>
      </c>
      <c r="K268" s="2" t="s">
        <v>530</v>
      </c>
      <c r="M268" s="2">
        <f t="shared" si="20"/>
        <v>150</v>
      </c>
      <c r="N268" s="2">
        <f t="shared" si="21"/>
        <v>74</v>
      </c>
      <c r="O268" s="2">
        <f>IF(M268="","",IF(M268&gt;=1000,95,IF(M268&lt;=12.5,50,LOOKUP(M268,{12.5,15,20,30,45,60,75,105,115,150,200,225,250,600,1000},{50,55,60,62,65,68,70,72,75,80,82,85,87,90,95})+(M268-LOOKUP(M268,{12.5,15,20,30,45,60,75,105,115,150,200,225,250,600},{12.5,15,20,30,45,60,75,105,115,150,200,225,250,600}))/(LOOKUP(M268,{12.5,15,20,30,45,60,75,105,115,150,200,225,250,600,1000},{15,20,30,45,60,75,105,115,150,200,225,250,600,1000,1000})-LOOKUP(M268,{12.5,15,20,30,45,60,75,105,115,150,200,225,250,600},{12.5,15,20,30,45,60,75,105,115,150,200,225,250,600}))*(LOOKUP(M268,{12.5,15,20,30,45,60,75,105,115,150,200,225,250,600,1000},{55,60,62,65,68,70,72,75,80,82,85,87,90,95,95})-LOOKUP(M268,{12.5,15,20,30,45,60,75,105,115,150,200,225,250,600,1000},{50,55,60,62,65,68,70,72,75,80,82,85,87,90,95})))))</f>
        <v>80</v>
      </c>
      <c r="P268" s="2">
        <f t="shared" si="23"/>
        <v>-3</v>
      </c>
      <c r="Q268" s="2">
        <f t="shared" si="24"/>
        <v>-1.5</v>
      </c>
    </row>
    <row r="269" customHeight="1" spans="1:17">
      <c r="A269" s="2">
        <v>2026</v>
      </c>
      <c r="B269" s="2">
        <v>268</v>
      </c>
      <c r="C269" s="16">
        <f t="shared" si="22"/>
        <v>72.5</v>
      </c>
      <c r="D269" s="2" t="s">
        <v>531</v>
      </c>
      <c r="E269" s="9">
        <v>77</v>
      </c>
      <c r="F269" s="12">
        <v>68</v>
      </c>
      <c r="G269" s="12">
        <v>65</v>
      </c>
      <c r="H269" s="2" t="s">
        <v>54</v>
      </c>
      <c r="I269" s="2" t="s">
        <v>104</v>
      </c>
      <c r="J269" s="4" t="s">
        <v>59</v>
      </c>
      <c r="K269" s="2" t="s">
        <v>106</v>
      </c>
      <c r="M269" s="2">
        <f t="shared" si="20"/>
        <v>150</v>
      </c>
      <c r="N269" s="2">
        <f t="shared" si="21"/>
        <v>74</v>
      </c>
      <c r="O269" s="2">
        <f>IF(M269="","",IF(M269&gt;=1000,95,IF(M269&lt;=12.5,50,LOOKUP(M269,{12.5,15,20,30,45,60,75,105,115,150,200,225,250,600,1000},{50,55,60,62,65,68,70,72,75,80,82,85,87,90,95})+(M269-LOOKUP(M269,{12.5,15,20,30,45,60,75,105,115,150,200,225,250,600},{12.5,15,20,30,45,60,75,105,115,150,200,225,250,600}))/(LOOKUP(M269,{12.5,15,20,30,45,60,75,105,115,150,200,225,250,600,1000},{15,20,30,45,60,75,105,115,150,200,225,250,600,1000,1000})-LOOKUP(M269,{12.5,15,20,30,45,60,75,105,115,150,200,225,250,600},{12.5,15,20,30,45,60,75,105,115,150,200,225,250,600}))*(LOOKUP(M269,{12.5,15,20,30,45,60,75,105,115,150,200,225,250,600,1000},{55,60,62,65,68,70,72,75,80,82,85,87,90,95,95})-LOOKUP(M269,{12.5,15,20,30,45,60,75,105,115,150,200,225,250,600,1000},{50,55,60,62,65,68,70,72,75,80,82,85,87,90,95})))))</f>
        <v>80</v>
      </c>
      <c r="P269" s="2">
        <f t="shared" si="23"/>
        <v>-3</v>
      </c>
      <c r="Q269" s="2">
        <f t="shared" si="24"/>
        <v>-1.5</v>
      </c>
    </row>
    <row r="270" customHeight="1" spans="1:17">
      <c r="B270" s="2">
        <v>269</v>
      </c>
      <c r="C270" s="16">
        <f t="shared" si="22"/>
        <v>72.5</v>
      </c>
      <c r="D270" s="2" t="s">
        <v>532</v>
      </c>
      <c r="E270" s="9">
        <v>72</v>
      </c>
      <c r="F270" s="12">
        <v>60</v>
      </c>
      <c r="G270" s="12">
        <v>66</v>
      </c>
      <c r="H270" s="2" t="s">
        <v>211</v>
      </c>
      <c r="I270" s="2" t="s">
        <v>18</v>
      </c>
      <c r="J270" s="4" t="s">
        <v>38</v>
      </c>
      <c r="M270" s="2">
        <f t="shared" si="20"/>
        <v>45</v>
      </c>
      <c r="N270" s="2">
        <f t="shared" si="21"/>
        <v>69</v>
      </c>
      <c r="O270" s="2">
        <f>IF(M270="","",IF(M270&gt;=1000,95,IF(M270&lt;=12.5,50,LOOKUP(M270,{12.5,15,20,30,45,60,75,105,115,150,200,225,250,600,1000},{50,55,60,62,65,68,70,72,75,80,82,85,87,90,95})+(M270-LOOKUP(M270,{12.5,15,20,30,45,60,75,105,115,150,200,225,250,600},{12.5,15,20,30,45,60,75,105,115,150,200,225,250,600}))/(LOOKUP(M270,{12.5,15,20,30,45,60,75,105,115,150,200,225,250,600,1000},{15,20,30,45,60,75,105,115,150,200,225,250,600,1000,1000})-LOOKUP(M270,{12.5,15,20,30,45,60,75,105,115,150,200,225,250,600},{12.5,15,20,30,45,60,75,105,115,150,200,225,250,600}))*(LOOKUP(M270,{12.5,15,20,30,45,60,75,105,115,150,200,225,250,600,1000},{55,60,62,65,68,70,72,75,80,82,85,87,90,95,95})-LOOKUP(M270,{12.5,15,20,30,45,60,75,105,115,150,200,225,250,600,1000},{50,55,60,62,65,68,70,72,75,80,82,85,87,90,95})))))</f>
        <v>65</v>
      </c>
      <c r="P270" s="2">
        <f t="shared" si="23"/>
        <v>7</v>
      </c>
      <c r="Q270" s="2">
        <f t="shared" si="24"/>
        <v>3.5</v>
      </c>
    </row>
    <row r="271" customHeight="1" spans="1:17">
      <c r="A271" s="2">
        <v>2026</v>
      </c>
      <c r="B271" s="2">
        <v>270</v>
      </c>
      <c r="C271" s="16">
        <f t="shared" si="22"/>
        <v>72.5</v>
      </c>
      <c r="D271" s="2" t="s">
        <v>533</v>
      </c>
      <c r="E271" s="9">
        <v>76</v>
      </c>
      <c r="F271" s="2">
        <v>50</v>
      </c>
      <c r="G271" s="2">
        <v>53</v>
      </c>
      <c r="H271" s="2" t="s">
        <v>54</v>
      </c>
      <c r="I271" s="2" t="s">
        <v>28</v>
      </c>
      <c r="J271" s="4" t="s">
        <v>34</v>
      </c>
      <c r="K271" s="2" t="s">
        <v>534</v>
      </c>
      <c r="M271" s="2">
        <f t="shared" si="20"/>
        <v>60</v>
      </c>
      <c r="N271" s="2">
        <f t="shared" si="21"/>
        <v>68.5</v>
      </c>
      <c r="O271" s="2">
        <f>IF(M271="","",IF(M271&gt;=1000,95,IF(M271&lt;=12.5,50,LOOKUP(M271,{12.5,15,20,30,45,60,75,105,115,150,200,225,250,600,1000},{50,55,60,62,65,68,70,72,75,80,82,85,87,90,95})+(M271-LOOKUP(M271,{12.5,15,20,30,45,60,75,105,115,150,200,225,250,600},{12.5,15,20,30,45,60,75,105,115,150,200,225,250,600}))/(LOOKUP(M271,{12.5,15,20,30,45,60,75,105,115,150,200,225,250,600,1000},{15,20,30,45,60,75,105,115,150,200,225,250,600,1000,1000})-LOOKUP(M271,{12.5,15,20,30,45,60,75,105,115,150,200,225,250,600},{12.5,15,20,30,45,60,75,105,115,150,200,225,250,600}))*(LOOKUP(M271,{12.5,15,20,30,45,60,75,105,115,150,200,225,250,600,1000},{55,60,62,65,68,70,72,75,80,82,85,87,90,95,95})-LOOKUP(M271,{12.5,15,20,30,45,60,75,105,115,150,200,225,250,600,1000},{50,55,60,62,65,68,70,72,75,80,82,85,87,90,95})))))</f>
        <v>68</v>
      </c>
      <c r="P271" s="2">
        <f t="shared" si="23"/>
        <v>8</v>
      </c>
      <c r="Q271" s="2">
        <f t="shared" si="24"/>
        <v>4</v>
      </c>
    </row>
    <row r="272" customHeight="1" spans="1:17">
      <c r="A272" s="2">
        <v>2026</v>
      </c>
      <c r="B272" s="2">
        <v>271</v>
      </c>
      <c r="C272" s="16">
        <f t="shared" si="22"/>
        <v>72.5</v>
      </c>
      <c r="D272" s="2" t="s">
        <v>535</v>
      </c>
      <c r="E272" s="9">
        <v>76</v>
      </c>
      <c r="F272" s="2">
        <v>56</v>
      </c>
      <c r="G272" s="2">
        <v>41</v>
      </c>
      <c r="H272" s="2" t="s">
        <v>113</v>
      </c>
      <c r="I272" s="2" t="s">
        <v>28</v>
      </c>
      <c r="J272" s="4" t="s">
        <v>34</v>
      </c>
      <c r="K272" s="2" t="s">
        <v>536</v>
      </c>
      <c r="M272" s="2">
        <f t="shared" si="20"/>
        <v>60</v>
      </c>
      <c r="N272" s="2">
        <f t="shared" si="21"/>
        <v>68.5</v>
      </c>
      <c r="O272" s="2">
        <f>IF(M272="","",IF(M272&gt;=1000,95,IF(M272&lt;=12.5,50,LOOKUP(M272,{12.5,15,20,30,45,60,75,105,115,150,200,225,250,600,1000},{50,55,60,62,65,68,70,72,75,80,82,85,87,90,95})+(M272-LOOKUP(M272,{12.5,15,20,30,45,60,75,105,115,150,200,225,250,600},{12.5,15,20,30,45,60,75,105,115,150,200,225,250,600}))/(LOOKUP(M272,{12.5,15,20,30,45,60,75,105,115,150,200,225,250,600,1000},{15,20,30,45,60,75,105,115,150,200,225,250,600,1000,1000})-LOOKUP(M272,{12.5,15,20,30,45,60,75,105,115,150,200,225,250,600},{12.5,15,20,30,45,60,75,105,115,150,200,225,250,600}))*(LOOKUP(M272,{12.5,15,20,30,45,60,75,105,115,150,200,225,250,600,1000},{55,60,62,65,68,70,72,75,80,82,85,87,90,95,95})-LOOKUP(M272,{12.5,15,20,30,45,60,75,105,115,150,200,225,250,600,1000},{50,55,60,62,65,68,70,72,75,80,82,85,87,90,95})))))</f>
        <v>68</v>
      </c>
      <c r="P272" s="2">
        <f t="shared" si="23"/>
        <v>8</v>
      </c>
      <c r="Q272" s="2">
        <f t="shared" si="24"/>
        <v>4</v>
      </c>
    </row>
    <row r="273" customHeight="1" spans="1:17">
      <c r="A273" s="2">
        <v>2026</v>
      </c>
      <c r="B273" s="2">
        <v>272</v>
      </c>
      <c r="C273" s="16">
        <f t="shared" si="22"/>
        <v>72.47</v>
      </c>
      <c r="D273" s="2" t="s">
        <v>537</v>
      </c>
      <c r="E273" s="9">
        <v>71</v>
      </c>
      <c r="F273" s="2">
        <v>55</v>
      </c>
      <c r="G273" s="2">
        <v>31</v>
      </c>
      <c r="H273" s="2" t="s">
        <v>135</v>
      </c>
      <c r="I273" s="2" t="s">
        <v>28</v>
      </c>
      <c r="J273" s="4" t="s">
        <v>77</v>
      </c>
      <c r="M273" s="2">
        <f t="shared" si="20"/>
        <v>12.5</v>
      </c>
      <c r="N273" s="2">
        <f t="shared" si="21"/>
        <v>63.8</v>
      </c>
      <c r="O273" s="2">
        <f>IF(M273="","",IF(M273&gt;=1000,95,IF(M273&lt;=12.5,50,LOOKUP(M273,{12.5,15,20,30,45,60,75,105,115,150,200,225,250,600,1000},{50,55,60,62,65,68,70,72,75,80,82,85,87,90,95})+(M273-LOOKUP(M273,{12.5,15,20,30,45,60,75,105,115,150,200,225,250,600},{12.5,15,20,30,45,60,75,105,115,150,200,225,250,600}))/(LOOKUP(M273,{12.5,15,20,30,45,60,75,105,115,150,200,225,250,600,1000},{15,20,30,45,60,75,105,115,150,200,225,250,600,1000,1000})-LOOKUP(M273,{12.5,15,20,30,45,60,75,105,115,150,200,225,250,600},{12.5,15,20,30,45,60,75,105,115,150,200,225,250,600}))*(LOOKUP(M273,{12.5,15,20,30,45,60,75,105,115,150,200,225,250,600,1000},{55,60,62,65,68,70,72,75,80,82,85,87,90,95,95})-LOOKUP(M273,{12.5,15,20,30,45,60,75,105,115,150,200,225,250,600,1000},{50,55,60,62,65,68,70,72,75,80,82,85,87,90,95})))))</f>
        <v>50</v>
      </c>
      <c r="P273" s="2">
        <f t="shared" si="23"/>
        <v>21</v>
      </c>
      <c r="Q273" s="2">
        <f t="shared" si="24"/>
        <v>8.67</v>
      </c>
    </row>
    <row r="274" customHeight="1" spans="1:17">
      <c r="A274" s="2">
        <v>2026</v>
      </c>
      <c r="B274" s="2">
        <v>273</v>
      </c>
      <c r="C274" s="16">
        <f t="shared" si="22"/>
        <v>72.47</v>
      </c>
      <c r="D274" s="2" t="s">
        <v>538</v>
      </c>
      <c r="E274" s="9">
        <v>72</v>
      </c>
      <c r="F274" s="2">
        <v>58</v>
      </c>
      <c r="G274" s="2">
        <v>48</v>
      </c>
      <c r="H274" s="2" t="s">
        <v>54</v>
      </c>
      <c r="I274" s="2" t="s">
        <v>28</v>
      </c>
      <c r="J274" s="4" t="s">
        <v>140</v>
      </c>
      <c r="M274" s="2">
        <f t="shared" si="20"/>
        <v>20</v>
      </c>
      <c r="N274" s="2">
        <f t="shared" si="21"/>
        <v>66.8</v>
      </c>
      <c r="O274" s="2">
        <f>IF(M274="","",IF(M274&gt;=1000,95,IF(M274&lt;=12.5,50,LOOKUP(M274,{12.5,15,20,30,45,60,75,105,115,150,200,225,250,600,1000},{50,55,60,62,65,68,70,72,75,80,82,85,87,90,95})+(M274-LOOKUP(M274,{12.5,15,20,30,45,60,75,105,115,150,200,225,250,600},{12.5,15,20,30,45,60,75,105,115,150,200,225,250,600}))/(LOOKUP(M274,{12.5,15,20,30,45,60,75,105,115,150,200,225,250,600,1000},{15,20,30,45,60,75,105,115,150,200,225,250,600,1000,1000})-LOOKUP(M274,{12.5,15,20,30,45,60,75,105,115,150,200,225,250,600},{12.5,15,20,30,45,60,75,105,115,150,200,225,250,600}))*(LOOKUP(M274,{12.5,15,20,30,45,60,75,105,115,150,200,225,250,600,1000},{55,60,62,65,68,70,72,75,80,82,85,87,90,95,95})-LOOKUP(M274,{12.5,15,20,30,45,60,75,105,115,150,200,225,250,600,1000},{50,55,60,62,65,68,70,72,75,80,82,85,87,90,95})))))</f>
        <v>60</v>
      </c>
      <c r="P274" s="2">
        <f t="shared" si="23"/>
        <v>12</v>
      </c>
      <c r="Q274" s="2">
        <f t="shared" si="24"/>
        <v>5.67</v>
      </c>
    </row>
    <row r="275" customHeight="1" spans="1:17">
      <c r="B275" s="2">
        <v>274</v>
      </c>
      <c r="C275" s="16">
        <f t="shared" si="22"/>
        <v>72.4</v>
      </c>
      <c r="D275" s="2" t="s">
        <v>539</v>
      </c>
      <c r="E275" s="9">
        <v>76</v>
      </c>
      <c r="F275" s="10">
        <v>80</v>
      </c>
      <c r="G275" s="9">
        <v>77</v>
      </c>
      <c r="H275" s="2" t="s">
        <v>189</v>
      </c>
      <c r="I275" s="2" t="s">
        <v>42</v>
      </c>
      <c r="J275" s="4" t="s">
        <v>19</v>
      </c>
      <c r="K275" s="2" t="s">
        <v>540</v>
      </c>
      <c r="M275" s="2">
        <f t="shared" si="20"/>
        <v>225</v>
      </c>
      <c r="N275" s="2">
        <f t="shared" si="21"/>
        <v>76.9</v>
      </c>
      <c r="O275" s="2">
        <f>IF(M275="","",IF(M275&gt;=1000,95,IF(M275&lt;=12.5,50,LOOKUP(M275,{12.5,15,20,30,45,60,75,105,115,150,200,225,250,600,1000},{50,55,60,62,65,68,70,72,75,80,82,85,87,90,95})+(M275-LOOKUP(M275,{12.5,15,20,30,45,60,75,105,115,150,200,225,250,600},{12.5,15,20,30,45,60,75,105,115,150,200,225,250,600}))/(LOOKUP(M275,{12.5,15,20,30,45,60,75,105,115,150,200,225,250,600,1000},{15,20,30,45,60,75,105,115,150,200,225,250,600,1000,1000})-LOOKUP(M275,{12.5,15,20,30,45,60,75,105,115,150,200,225,250,600},{12.5,15,20,30,45,60,75,105,115,150,200,225,250,600}))*(LOOKUP(M275,{12.5,15,20,30,45,60,75,105,115,150,200,225,250,600,1000},{55,60,62,65,68,70,72,75,80,82,85,87,90,95,95})-LOOKUP(M275,{12.5,15,20,30,45,60,75,105,115,150,200,225,250,600,1000},{50,55,60,62,65,68,70,72,75,80,82,85,87,90,95})))))</f>
        <v>85</v>
      </c>
      <c r="P275" s="2">
        <f t="shared" si="23"/>
        <v>-9</v>
      </c>
      <c r="Q275" s="2">
        <f t="shared" si="24"/>
        <v>-4.5</v>
      </c>
    </row>
    <row r="276" customHeight="1" spans="1:17">
      <c r="B276" s="2">
        <v>275</v>
      </c>
      <c r="C276" s="16">
        <f t="shared" si="22"/>
        <v>72.4</v>
      </c>
      <c r="D276" s="2" t="s">
        <v>541</v>
      </c>
      <c r="E276" s="9">
        <v>78</v>
      </c>
      <c r="F276" s="9">
        <v>70</v>
      </c>
      <c r="G276" s="9">
        <v>73</v>
      </c>
      <c r="H276" s="2" t="s">
        <v>37</v>
      </c>
      <c r="I276" s="2" t="s">
        <v>447</v>
      </c>
      <c r="J276" s="4" t="s">
        <v>19</v>
      </c>
      <c r="K276" s="2" t="s">
        <v>542</v>
      </c>
      <c r="M276" s="2">
        <f t="shared" si="20"/>
        <v>225</v>
      </c>
      <c r="N276" s="2">
        <f t="shared" si="21"/>
        <v>75.9</v>
      </c>
      <c r="O276" s="2">
        <f>IF(M276="","",IF(M276&gt;=1000,95,IF(M276&lt;=12.5,50,LOOKUP(M276,{12.5,15,20,30,45,60,75,105,115,150,200,225,250,600,1000},{50,55,60,62,65,68,70,72,75,80,82,85,87,90,95})+(M276-LOOKUP(M276,{12.5,15,20,30,45,60,75,105,115,150,200,225,250,600},{12.5,15,20,30,45,60,75,105,115,150,200,225,250,600}))/(LOOKUP(M276,{12.5,15,20,30,45,60,75,105,115,150,200,225,250,600,1000},{15,20,30,45,60,75,105,115,150,200,225,250,600,1000,1000})-LOOKUP(M276,{12.5,15,20,30,45,60,75,105,115,150,200,225,250,600},{12.5,15,20,30,45,60,75,105,115,150,200,225,250,600}))*(LOOKUP(M276,{12.5,15,20,30,45,60,75,105,115,150,200,225,250,600,1000},{55,60,62,65,68,70,72,75,80,82,85,87,90,95,95})-LOOKUP(M276,{12.5,15,20,30,45,60,75,105,115,150,200,225,250,600,1000},{50,55,60,62,65,68,70,72,75,80,82,85,87,90,95})))))</f>
        <v>85</v>
      </c>
      <c r="P276" s="2">
        <f t="shared" si="23"/>
        <v>-7</v>
      </c>
      <c r="Q276" s="2">
        <f t="shared" si="24"/>
        <v>-3.5</v>
      </c>
    </row>
    <row r="277" customHeight="1" spans="1:17">
      <c r="A277" s="2">
        <v>2026</v>
      </c>
      <c r="B277" s="2">
        <v>276</v>
      </c>
      <c r="C277" s="16">
        <f t="shared" si="22"/>
        <v>72.4</v>
      </c>
      <c r="D277" s="2" t="s">
        <v>543</v>
      </c>
      <c r="E277" s="9">
        <v>70</v>
      </c>
      <c r="F277" s="12">
        <v>66</v>
      </c>
      <c r="G277" s="2">
        <v>52</v>
      </c>
      <c r="H277" s="2" t="s">
        <v>54</v>
      </c>
      <c r="I277" s="2" t="s">
        <v>28</v>
      </c>
      <c r="J277" s="4" t="s">
        <v>140</v>
      </c>
      <c r="M277" s="2">
        <f t="shared" si="20"/>
        <v>20</v>
      </c>
      <c r="N277" s="2">
        <f t="shared" si="21"/>
        <v>67.4</v>
      </c>
      <c r="O277" s="2">
        <f>IF(M277="","",IF(M277&gt;=1000,95,IF(M277&lt;=12.5,50,LOOKUP(M277,{12.5,15,20,30,45,60,75,105,115,150,200,225,250,600,1000},{50,55,60,62,65,68,70,72,75,80,82,85,87,90,95})+(M277-LOOKUP(M277,{12.5,15,20,30,45,60,75,105,115,150,200,225,250,600},{12.5,15,20,30,45,60,75,105,115,150,200,225,250,600}))/(LOOKUP(M277,{12.5,15,20,30,45,60,75,105,115,150,200,225,250,600,1000},{15,20,30,45,60,75,105,115,150,200,225,250,600,1000,1000})-LOOKUP(M277,{12.5,15,20,30,45,60,75,105,115,150,200,225,250,600},{12.5,15,20,30,45,60,75,105,115,150,200,225,250,600}))*(LOOKUP(M277,{12.5,15,20,30,45,60,75,105,115,150,200,225,250,600,1000},{55,60,62,65,68,70,72,75,80,82,85,87,90,95,95})-LOOKUP(M277,{12.5,15,20,30,45,60,75,105,115,150,200,225,250,600,1000},{50,55,60,62,65,68,70,72,75,80,82,85,87,90,95})))))</f>
        <v>60</v>
      </c>
      <c r="P277" s="2">
        <f t="shared" si="23"/>
        <v>10</v>
      </c>
      <c r="Q277" s="2">
        <f t="shared" si="24"/>
        <v>5</v>
      </c>
    </row>
    <row r="278" customHeight="1" spans="1:17">
      <c r="A278" s="2">
        <v>2026</v>
      </c>
      <c r="B278" s="2">
        <v>277</v>
      </c>
      <c r="C278" s="16">
        <f t="shared" si="22"/>
        <v>72.4</v>
      </c>
      <c r="D278" s="2" t="s">
        <v>544</v>
      </c>
      <c r="E278" s="9">
        <v>76</v>
      </c>
      <c r="F278" s="2">
        <v>54</v>
      </c>
      <c r="G278" s="12">
        <v>64</v>
      </c>
      <c r="H278" s="2" t="s">
        <v>54</v>
      </c>
      <c r="I278" s="2" t="s">
        <v>104</v>
      </c>
      <c r="J278" s="4" t="s">
        <v>105</v>
      </c>
      <c r="M278" s="2">
        <f t="shared" si="20"/>
        <v>105</v>
      </c>
      <c r="N278" s="2">
        <f t="shared" si="21"/>
        <v>70.4</v>
      </c>
      <c r="O278" s="2">
        <f>IF(M278="","",IF(M278&gt;=1000,95,IF(M278&lt;=12.5,50,LOOKUP(M278,{12.5,15,20,30,45,60,75,105,115,150,200,225,250,600,1000},{50,55,60,62,65,68,70,72,75,80,82,85,87,90,95})+(M278-LOOKUP(M278,{12.5,15,20,30,45,60,75,105,115,150,200,225,250,600},{12.5,15,20,30,45,60,75,105,115,150,200,225,250,600}))/(LOOKUP(M278,{12.5,15,20,30,45,60,75,105,115,150,200,225,250,600,1000},{15,20,30,45,60,75,105,115,150,200,225,250,600,1000,1000})-LOOKUP(M278,{12.5,15,20,30,45,60,75,105,115,150,200,225,250,600},{12.5,15,20,30,45,60,75,105,115,150,200,225,250,600}))*(LOOKUP(M278,{12.5,15,20,30,45,60,75,105,115,150,200,225,250,600,1000},{55,60,62,65,68,70,72,75,80,82,85,87,90,95,95})-LOOKUP(M278,{12.5,15,20,30,45,60,75,105,115,150,200,225,250,600,1000},{50,55,60,62,65,68,70,72,75,80,82,85,87,90,95})))))</f>
        <v>72</v>
      </c>
      <c r="P278" s="2">
        <f t="shared" si="23"/>
        <v>4</v>
      </c>
      <c r="Q278" s="2">
        <f t="shared" si="24"/>
        <v>2</v>
      </c>
    </row>
    <row r="279" customHeight="1" spans="1:17">
      <c r="B279" s="2">
        <v>278</v>
      </c>
      <c r="C279" s="16">
        <f t="shared" si="22"/>
        <v>72.37</v>
      </c>
      <c r="D279" s="2" t="s">
        <v>545</v>
      </c>
      <c r="E279" s="9">
        <v>72</v>
      </c>
      <c r="F279" s="2">
        <v>55</v>
      </c>
      <c r="G279" s="2">
        <v>53</v>
      </c>
      <c r="H279" s="2" t="s">
        <v>41</v>
      </c>
      <c r="I279" s="2" t="s">
        <v>63</v>
      </c>
      <c r="J279" s="4" t="s">
        <v>140</v>
      </c>
      <c r="K279" s="2" t="s">
        <v>546</v>
      </c>
      <c r="M279" s="2">
        <f t="shared" si="20"/>
        <v>20</v>
      </c>
      <c r="N279" s="2">
        <f t="shared" si="21"/>
        <v>66.7</v>
      </c>
      <c r="O279" s="2">
        <f>IF(M279="","",IF(M279&gt;=1000,95,IF(M279&lt;=12.5,50,LOOKUP(M279,{12.5,15,20,30,45,60,75,105,115,150,200,225,250,600,1000},{50,55,60,62,65,68,70,72,75,80,82,85,87,90,95})+(M279-LOOKUP(M279,{12.5,15,20,30,45,60,75,105,115,150,200,225,250,600},{12.5,15,20,30,45,60,75,105,115,150,200,225,250,600}))/(LOOKUP(M279,{12.5,15,20,30,45,60,75,105,115,150,200,225,250,600,1000},{15,20,30,45,60,75,105,115,150,200,225,250,600,1000,1000})-LOOKUP(M279,{12.5,15,20,30,45,60,75,105,115,150,200,225,250,600},{12.5,15,20,30,45,60,75,105,115,150,200,225,250,600}))*(LOOKUP(M279,{12.5,15,20,30,45,60,75,105,115,150,200,225,250,600,1000},{55,60,62,65,68,70,72,75,80,82,85,87,90,95,95})-LOOKUP(M279,{12.5,15,20,30,45,60,75,105,115,150,200,225,250,600,1000},{50,55,60,62,65,68,70,72,75,80,82,85,87,90,95})))))</f>
        <v>60</v>
      </c>
      <c r="P279" s="2">
        <f t="shared" si="23"/>
        <v>12</v>
      </c>
      <c r="Q279" s="2">
        <f t="shared" si="24"/>
        <v>5.67</v>
      </c>
    </row>
    <row r="280" customHeight="1" spans="1:17">
      <c r="A280" s="2">
        <v>2026</v>
      </c>
      <c r="B280" s="2">
        <v>279</v>
      </c>
      <c r="C280" s="16">
        <f t="shared" si="22"/>
        <v>72.3</v>
      </c>
      <c r="D280" s="2" t="s">
        <v>547</v>
      </c>
      <c r="E280" s="9">
        <v>76</v>
      </c>
      <c r="F280" s="2">
        <v>55</v>
      </c>
      <c r="G280" s="2">
        <v>41</v>
      </c>
      <c r="H280" s="2" t="s">
        <v>54</v>
      </c>
      <c r="I280" s="2" t="s">
        <v>33</v>
      </c>
      <c r="J280" s="4" t="s">
        <v>34</v>
      </c>
      <c r="M280" s="2">
        <f t="shared" si="20"/>
        <v>60</v>
      </c>
      <c r="N280" s="2">
        <f t="shared" si="21"/>
        <v>68.3</v>
      </c>
      <c r="O280" s="2">
        <f>IF(M280="","",IF(M280&gt;=1000,95,IF(M280&lt;=12.5,50,LOOKUP(M280,{12.5,15,20,30,45,60,75,105,115,150,200,225,250,600,1000},{50,55,60,62,65,68,70,72,75,80,82,85,87,90,95})+(M280-LOOKUP(M280,{12.5,15,20,30,45,60,75,105,115,150,200,225,250,600},{12.5,15,20,30,45,60,75,105,115,150,200,225,250,600}))/(LOOKUP(M280,{12.5,15,20,30,45,60,75,105,115,150,200,225,250,600,1000},{15,20,30,45,60,75,105,115,150,200,225,250,600,1000,1000})-LOOKUP(M280,{12.5,15,20,30,45,60,75,105,115,150,200,225,250,600},{12.5,15,20,30,45,60,75,105,115,150,200,225,250,600}))*(LOOKUP(M280,{12.5,15,20,30,45,60,75,105,115,150,200,225,250,600,1000},{55,60,62,65,68,70,72,75,80,82,85,87,90,95,95})-LOOKUP(M280,{12.5,15,20,30,45,60,75,105,115,150,200,225,250,600,1000},{50,55,60,62,65,68,70,72,75,80,82,85,87,90,95})))))</f>
        <v>68</v>
      </c>
      <c r="P280" s="2">
        <f t="shared" si="23"/>
        <v>8</v>
      </c>
      <c r="Q280" s="2">
        <f t="shared" si="24"/>
        <v>4</v>
      </c>
    </row>
    <row r="281" customHeight="1" spans="1:17">
      <c r="A281" s="2">
        <v>2026</v>
      </c>
      <c r="B281" s="2">
        <v>280</v>
      </c>
      <c r="C281" s="16">
        <f t="shared" si="22"/>
        <v>72.3</v>
      </c>
      <c r="D281" s="2" t="s">
        <v>548</v>
      </c>
      <c r="E281" s="9">
        <v>74</v>
      </c>
      <c r="F281" s="12">
        <v>65</v>
      </c>
      <c r="G281" s="12">
        <v>65</v>
      </c>
      <c r="H281" s="2" t="s">
        <v>54</v>
      </c>
      <c r="I281" s="2" t="s">
        <v>58</v>
      </c>
      <c r="J281" s="4" t="s">
        <v>105</v>
      </c>
      <c r="M281" s="2">
        <f t="shared" si="20"/>
        <v>105</v>
      </c>
      <c r="N281" s="2">
        <f t="shared" si="21"/>
        <v>71.3</v>
      </c>
      <c r="O281" s="2">
        <f>IF(M281="","",IF(M281&gt;=1000,95,IF(M281&lt;=12.5,50,LOOKUP(M281,{12.5,15,20,30,45,60,75,105,115,150,200,225,250,600,1000},{50,55,60,62,65,68,70,72,75,80,82,85,87,90,95})+(M281-LOOKUP(M281,{12.5,15,20,30,45,60,75,105,115,150,200,225,250,600},{12.5,15,20,30,45,60,75,105,115,150,200,225,250,600}))/(LOOKUP(M281,{12.5,15,20,30,45,60,75,105,115,150,200,225,250,600,1000},{15,20,30,45,60,75,105,115,150,200,225,250,600,1000,1000})-LOOKUP(M281,{12.5,15,20,30,45,60,75,105,115,150,200,225,250,600},{12.5,15,20,30,45,60,75,105,115,150,200,225,250,600}))*(LOOKUP(M281,{12.5,15,20,30,45,60,75,105,115,150,200,225,250,600,1000},{55,60,62,65,68,70,72,75,80,82,85,87,90,95,95})-LOOKUP(M281,{12.5,15,20,30,45,60,75,105,115,150,200,225,250,600,1000},{50,55,60,62,65,68,70,72,75,80,82,85,87,90,95})))))</f>
        <v>72</v>
      </c>
      <c r="P281" s="2">
        <f t="shared" si="23"/>
        <v>2</v>
      </c>
      <c r="Q281" s="2">
        <f t="shared" si="24"/>
        <v>1</v>
      </c>
    </row>
    <row r="282" customHeight="1" spans="1:17">
      <c r="A282" s="2">
        <v>2026</v>
      </c>
      <c r="B282" s="2">
        <v>281</v>
      </c>
      <c r="C282" s="16">
        <f t="shared" si="22"/>
        <v>72.3</v>
      </c>
      <c r="D282" s="2" t="s">
        <v>549</v>
      </c>
      <c r="E282" s="9">
        <v>73</v>
      </c>
      <c r="F282" s="12">
        <v>65</v>
      </c>
      <c r="G282" s="2">
        <v>57</v>
      </c>
      <c r="H282" s="2" t="s">
        <v>54</v>
      </c>
      <c r="I282" s="2" t="s">
        <v>33</v>
      </c>
      <c r="J282" s="4" t="s">
        <v>34</v>
      </c>
      <c r="M282" s="2">
        <f t="shared" si="20"/>
        <v>60</v>
      </c>
      <c r="N282" s="2">
        <f t="shared" si="21"/>
        <v>69.8</v>
      </c>
      <c r="O282" s="2">
        <f>IF(M282="","",IF(M282&gt;=1000,95,IF(M282&lt;=12.5,50,LOOKUP(M282,{12.5,15,20,30,45,60,75,105,115,150,200,225,250,600,1000},{50,55,60,62,65,68,70,72,75,80,82,85,87,90,95})+(M282-LOOKUP(M282,{12.5,15,20,30,45,60,75,105,115,150,200,225,250,600},{12.5,15,20,30,45,60,75,105,115,150,200,225,250,600}))/(LOOKUP(M282,{12.5,15,20,30,45,60,75,105,115,150,200,225,250,600,1000},{15,20,30,45,60,75,105,115,150,200,225,250,600,1000,1000})-LOOKUP(M282,{12.5,15,20,30,45,60,75,105,115,150,200,225,250,600},{12.5,15,20,30,45,60,75,105,115,150,200,225,250,600}))*(LOOKUP(M282,{12.5,15,20,30,45,60,75,105,115,150,200,225,250,600,1000},{55,60,62,65,68,70,72,75,80,82,85,87,90,95,95})-LOOKUP(M282,{12.5,15,20,30,45,60,75,105,115,150,200,225,250,600,1000},{50,55,60,62,65,68,70,72,75,80,82,85,87,90,95})))))</f>
        <v>68</v>
      </c>
      <c r="P282" s="2">
        <f t="shared" si="23"/>
        <v>5</v>
      </c>
      <c r="Q282" s="2">
        <f t="shared" si="24"/>
        <v>2.5</v>
      </c>
    </row>
    <row r="283" customHeight="1" spans="1:17">
      <c r="B283" s="2">
        <v>282</v>
      </c>
      <c r="C283" s="16">
        <f t="shared" si="22"/>
        <v>72.3</v>
      </c>
      <c r="D283" s="2" t="s">
        <v>550</v>
      </c>
      <c r="E283" s="9">
        <v>75</v>
      </c>
      <c r="F283" s="9">
        <v>72</v>
      </c>
      <c r="G283" s="9">
        <v>79</v>
      </c>
      <c r="H283" s="2" t="s">
        <v>37</v>
      </c>
      <c r="I283" s="2" t="s">
        <v>18</v>
      </c>
      <c r="J283" s="4" t="s">
        <v>59</v>
      </c>
      <c r="M283" s="2">
        <f t="shared" si="20"/>
        <v>150</v>
      </c>
      <c r="N283" s="2">
        <f t="shared" si="21"/>
        <v>74.8</v>
      </c>
      <c r="O283" s="2">
        <f>IF(M283="","",IF(M283&gt;=1000,95,IF(M283&lt;=12.5,50,LOOKUP(M283,{12.5,15,20,30,45,60,75,105,115,150,200,225,250,600,1000},{50,55,60,62,65,68,70,72,75,80,82,85,87,90,95})+(M283-LOOKUP(M283,{12.5,15,20,30,45,60,75,105,115,150,200,225,250,600},{12.5,15,20,30,45,60,75,105,115,150,200,225,250,600}))/(LOOKUP(M283,{12.5,15,20,30,45,60,75,105,115,150,200,225,250,600,1000},{15,20,30,45,60,75,105,115,150,200,225,250,600,1000,1000})-LOOKUP(M283,{12.5,15,20,30,45,60,75,105,115,150,200,225,250,600},{12.5,15,20,30,45,60,75,105,115,150,200,225,250,600}))*(LOOKUP(M283,{12.5,15,20,30,45,60,75,105,115,150,200,225,250,600,1000},{55,60,62,65,68,70,72,75,80,82,85,87,90,95,95})-LOOKUP(M283,{12.5,15,20,30,45,60,75,105,115,150,200,225,250,600,1000},{50,55,60,62,65,68,70,72,75,80,82,85,87,90,95})))))</f>
        <v>80</v>
      </c>
      <c r="P283" s="2">
        <f t="shared" si="23"/>
        <v>-5</v>
      </c>
      <c r="Q283" s="2">
        <f t="shared" si="24"/>
        <v>-2.5</v>
      </c>
    </row>
    <row r="284" customHeight="1" spans="1:17">
      <c r="A284" s="2">
        <v>2026</v>
      </c>
      <c r="B284" s="2">
        <v>283</v>
      </c>
      <c r="C284" s="16">
        <f t="shared" si="22"/>
        <v>72.3</v>
      </c>
      <c r="D284" s="2" t="s">
        <v>551</v>
      </c>
      <c r="E284" s="9">
        <v>73</v>
      </c>
      <c r="F284" s="12">
        <v>65</v>
      </c>
      <c r="G284" s="12">
        <v>67</v>
      </c>
      <c r="H284" s="2" t="s">
        <v>54</v>
      </c>
      <c r="I284" s="2" t="s">
        <v>104</v>
      </c>
      <c r="J284" s="4" t="s">
        <v>24</v>
      </c>
      <c r="M284" s="2">
        <f t="shared" si="20"/>
        <v>75</v>
      </c>
      <c r="N284" s="2">
        <f t="shared" si="21"/>
        <v>70.8</v>
      </c>
      <c r="O284" s="2">
        <f>IF(M284="","",IF(M284&gt;=1000,95,IF(M284&lt;=12.5,50,LOOKUP(M284,{12.5,15,20,30,45,60,75,105,115,150,200,225,250,600,1000},{50,55,60,62,65,68,70,72,75,80,82,85,87,90,95})+(M284-LOOKUP(M284,{12.5,15,20,30,45,60,75,105,115,150,200,225,250,600},{12.5,15,20,30,45,60,75,105,115,150,200,225,250,600}))/(LOOKUP(M284,{12.5,15,20,30,45,60,75,105,115,150,200,225,250,600,1000},{15,20,30,45,60,75,105,115,150,200,225,250,600,1000,1000})-LOOKUP(M284,{12.5,15,20,30,45,60,75,105,115,150,200,225,250,600},{12.5,15,20,30,45,60,75,105,115,150,200,225,250,600}))*(LOOKUP(M284,{12.5,15,20,30,45,60,75,105,115,150,200,225,250,600,1000},{55,60,62,65,68,70,72,75,80,82,85,87,90,95,95})-LOOKUP(M284,{12.5,15,20,30,45,60,75,105,115,150,200,225,250,600,1000},{50,55,60,62,65,68,70,72,75,80,82,85,87,90,95})))))</f>
        <v>70</v>
      </c>
      <c r="P284" s="2">
        <f t="shared" si="23"/>
        <v>3</v>
      </c>
      <c r="Q284" s="2">
        <f t="shared" si="24"/>
        <v>1.5</v>
      </c>
    </row>
    <row r="285" customHeight="1" spans="1:17">
      <c r="A285" s="2">
        <v>2026</v>
      </c>
      <c r="B285" s="2">
        <v>284</v>
      </c>
      <c r="C285" s="16">
        <f t="shared" si="22"/>
        <v>72.3</v>
      </c>
      <c r="D285" s="2" t="s">
        <v>552</v>
      </c>
      <c r="E285" s="9">
        <v>74</v>
      </c>
      <c r="F285" s="12">
        <v>64</v>
      </c>
      <c r="G285" s="12">
        <v>67</v>
      </c>
      <c r="H285" s="2" t="s">
        <v>54</v>
      </c>
      <c r="I285" s="2" t="s">
        <v>104</v>
      </c>
      <c r="J285" s="4" t="s">
        <v>105</v>
      </c>
      <c r="M285" s="2">
        <f t="shared" si="20"/>
        <v>105</v>
      </c>
      <c r="N285" s="2">
        <f t="shared" si="21"/>
        <v>71.3</v>
      </c>
      <c r="O285" s="2">
        <f>IF(M285="","",IF(M285&gt;=1000,95,IF(M285&lt;=12.5,50,LOOKUP(M285,{12.5,15,20,30,45,60,75,105,115,150,200,225,250,600,1000},{50,55,60,62,65,68,70,72,75,80,82,85,87,90,95})+(M285-LOOKUP(M285,{12.5,15,20,30,45,60,75,105,115,150,200,225,250,600},{12.5,15,20,30,45,60,75,105,115,150,200,225,250,600}))/(LOOKUP(M285,{12.5,15,20,30,45,60,75,105,115,150,200,225,250,600,1000},{15,20,30,45,60,75,105,115,150,200,225,250,600,1000,1000})-LOOKUP(M285,{12.5,15,20,30,45,60,75,105,115,150,200,225,250,600},{12.5,15,20,30,45,60,75,105,115,150,200,225,250,600}))*(LOOKUP(M285,{12.5,15,20,30,45,60,75,105,115,150,200,225,250,600,1000},{55,60,62,65,68,70,72,75,80,82,85,87,90,95,95})-LOOKUP(M285,{12.5,15,20,30,45,60,75,105,115,150,200,225,250,600,1000},{50,55,60,62,65,68,70,72,75,80,82,85,87,90,95})))))</f>
        <v>72</v>
      </c>
      <c r="P285" s="2">
        <f t="shared" si="23"/>
        <v>2</v>
      </c>
      <c r="Q285" s="2">
        <f t="shared" si="24"/>
        <v>1</v>
      </c>
    </row>
    <row r="286" customHeight="1" spans="1:17">
      <c r="B286" s="2">
        <v>285</v>
      </c>
      <c r="C286" s="16">
        <f t="shared" si="22"/>
        <v>72.3</v>
      </c>
      <c r="D286" s="2" t="s">
        <v>553</v>
      </c>
      <c r="E286" s="12">
        <v>69</v>
      </c>
      <c r="F286" s="2">
        <v>54</v>
      </c>
      <c r="G286" s="2">
        <v>52</v>
      </c>
      <c r="H286" s="2" t="s">
        <v>91</v>
      </c>
      <c r="I286" s="2" t="s">
        <v>503</v>
      </c>
      <c r="J286" s="4" t="s">
        <v>77</v>
      </c>
      <c r="M286" s="2">
        <f t="shared" si="20"/>
        <v>12.5</v>
      </c>
      <c r="N286" s="2">
        <f t="shared" si="21"/>
        <v>64.3</v>
      </c>
      <c r="O286" s="2">
        <f>IF(M286="","",IF(M286&gt;=1000,95,IF(M286&lt;=12.5,50,LOOKUP(M286,{12.5,15,20,30,45,60,75,105,115,150,200,225,250,600,1000},{50,55,60,62,65,68,70,72,75,80,82,85,87,90,95})+(M286-LOOKUP(M286,{12.5,15,20,30,45,60,75,105,115,150,200,225,250,600},{12.5,15,20,30,45,60,75,105,115,150,200,225,250,600}))/(LOOKUP(M286,{12.5,15,20,30,45,60,75,105,115,150,200,225,250,600,1000},{15,20,30,45,60,75,105,115,150,200,225,250,600,1000,1000})-LOOKUP(M286,{12.5,15,20,30,45,60,75,105,115,150,200,225,250,600},{12.5,15,20,30,45,60,75,105,115,150,200,225,250,600}))*(LOOKUP(M286,{12.5,15,20,30,45,60,75,105,115,150,200,225,250,600,1000},{55,60,62,65,68,70,72,75,80,82,85,87,90,95,95})-LOOKUP(M286,{12.5,15,20,30,45,60,75,105,115,150,200,225,250,600,1000},{50,55,60,62,65,68,70,72,75,80,82,85,87,90,95})))))</f>
        <v>50</v>
      </c>
      <c r="P286" s="2">
        <f t="shared" si="23"/>
        <v>19</v>
      </c>
      <c r="Q286" s="2">
        <f t="shared" si="24"/>
        <v>8</v>
      </c>
    </row>
    <row r="287" customHeight="1" spans="1:17">
      <c r="A287" s="2">
        <v>2026</v>
      </c>
      <c r="B287" s="2">
        <v>286</v>
      </c>
      <c r="C287" s="16">
        <f t="shared" si="22"/>
        <v>72.23</v>
      </c>
      <c r="D287" s="2" t="s">
        <v>554</v>
      </c>
      <c r="E287" s="9">
        <v>71</v>
      </c>
      <c r="F287" s="12">
        <v>60</v>
      </c>
      <c r="G287" s="2">
        <v>52</v>
      </c>
      <c r="H287" s="2" t="s">
        <v>54</v>
      </c>
      <c r="I287" s="2" t="s">
        <v>28</v>
      </c>
      <c r="J287" s="4" t="s">
        <v>140</v>
      </c>
      <c r="M287" s="2">
        <f t="shared" si="20"/>
        <v>20</v>
      </c>
      <c r="N287" s="2">
        <f t="shared" si="21"/>
        <v>66.9</v>
      </c>
      <c r="O287" s="2">
        <f>IF(M287="","",IF(M287&gt;=1000,95,IF(M287&lt;=12.5,50,LOOKUP(M287,{12.5,15,20,30,45,60,75,105,115,150,200,225,250,600,1000},{50,55,60,62,65,68,70,72,75,80,82,85,87,90,95})+(M287-LOOKUP(M287,{12.5,15,20,30,45,60,75,105,115,150,200,225,250,600},{12.5,15,20,30,45,60,75,105,115,150,200,225,250,600}))/(LOOKUP(M287,{12.5,15,20,30,45,60,75,105,115,150,200,225,250,600,1000},{15,20,30,45,60,75,105,115,150,200,225,250,600,1000,1000})-LOOKUP(M287,{12.5,15,20,30,45,60,75,105,115,150,200,225,250,600},{12.5,15,20,30,45,60,75,105,115,150,200,225,250,600}))*(LOOKUP(M287,{12.5,15,20,30,45,60,75,105,115,150,200,225,250,600,1000},{55,60,62,65,68,70,72,75,80,82,85,87,90,95,95})-LOOKUP(M287,{12.5,15,20,30,45,60,75,105,115,150,200,225,250,600,1000},{50,55,60,62,65,68,70,72,75,80,82,85,87,90,95})))))</f>
        <v>60</v>
      </c>
      <c r="P287" s="2">
        <f t="shared" si="23"/>
        <v>11</v>
      </c>
      <c r="Q287" s="2">
        <f t="shared" si="24"/>
        <v>5.33</v>
      </c>
    </row>
    <row r="288" customHeight="1" spans="1:17">
      <c r="B288" s="2">
        <v>287</v>
      </c>
      <c r="C288" s="16">
        <f t="shared" si="22"/>
        <v>72.2</v>
      </c>
      <c r="D288" s="2" t="s">
        <v>555</v>
      </c>
      <c r="E288" s="9">
        <v>71</v>
      </c>
      <c r="F288" s="9">
        <v>75</v>
      </c>
      <c r="G288" s="9">
        <v>70</v>
      </c>
      <c r="H288" s="2" t="s">
        <v>244</v>
      </c>
      <c r="I288" s="2" t="s">
        <v>63</v>
      </c>
      <c r="J288" s="4" t="s">
        <v>24</v>
      </c>
      <c r="M288" s="2">
        <f t="shared" si="20"/>
        <v>75</v>
      </c>
      <c r="N288" s="2">
        <f t="shared" si="21"/>
        <v>71.7</v>
      </c>
      <c r="O288" s="2">
        <f>IF(M288="","",IF(M288&gt;=1000,95,IF(M288&lt;=12.5,50,LOOKUP(M288,{12.5,15,20,30,45,60,75,105,115,150,200,225,250,600,1000},{50,55,60,62,65,68,70,72,75,80,82,85,87,90,95})+(M288-LOOKUP(M288,{12.5,15,20,30,45,60,75,105,115,150,200,225,250,600},{12.5,15,20,30,45,60,75,105,115,150,200,225,250,600}))/(LOOKUP(M288,{12.5,15,20,30,45,60,75,105,115,150,200,225,250,600,1000},{15,20,30,45,60,75,105,115,150,200,225,250,600,1000,1000})-LOOKUP(M288,{12.5,15,20,30,45,60,75,105,115,150,200,225,250,600},{12.5,15,20,30,45,60,75,105,115,150,200,225,250,600}))*(LOOKUP(M288,{12.5,15,20,30,45,60,75,105,115,150,200,225,250,600,1000},{55,60,62,65,68,70,72,75,80,82,85,87,90,95,95})-LOOKUP(M288,{12.5,15,20,30,45,60,75,105,115,150,200,225,250,600,1000},{50,55,60,62,65,68,70,72,75,80,82,85,87,90,95})))))</f>
        <v>70</v>
      </c>
      <c r="P288" s="2">
        <f t="shared" si="23"/>
        <v>1</v>
      </c>
      <c r="Q288" s="2">
        <f t="shared" si="24"/>
        <v>0.5</v>
      </c>
    </row>
    <row r="289" customHeight="1" spans="1:17">
      <c r="A289" s="2">
        <v>2026</v>
      </c>
      <c r="B289" s="2">
        <v>288</v>
      </c>
      <c r="C289" s="16">
        <f t="shared" si="22"/>
        <v>72.2</v>
      </c>
      <c r="D289" s="2" t="s">
        <v>556</v>
      </c>
      <c r="E289" s="9">
        <v>72</v>
      </c>
      <c r="F289" s="2">
        <v>58</v>
      </c>
      <c r="G289" s="2">
        <v>52</v>
      </c>
      <c r="H289" s="2" t="s">
        <v>54</v>
      </c>
      <c r="I289" s="2" t="s">
        <v>28</v>
      </c>
      <c r="J289" s="4" t="s">
        <v>88</v>
      </c>
      <c r="M289" s="2">
        <f t="shared" si="20"/>
        <v>30</v>
      </c>
      <c r="N289" s="2">
        <f t="shared" si="21"/>
        <v>67.2</v>
      </c>
      <c r="O289" s="2">
        <f>IF(M289="","",IF(M289&gt;=1000,95,IF(M289&lt;=12.5,50,LOOKUP(M289,{12.5,15,20,30,45,60,75,105,115,150,200,225,250,600,1000},{50,55,60,62,65,68,70,72,75,80,82,85,87,90,95})+(M289-LOOKUP(M289,{12.5,15,20,30,45,60,75,105,115,150,200,225,250,600},{12.5,15,20,30,45,60,75,105,115,150,200,225,250,600}))/(LOOKUP(M289,{12.5,15,20,30,45,60,75,105,115,150,200,225,250,600,1000},{15,20,30,45,60,75,105,115,150,200,225,250,600,1000,1000})-LOOKUP(M289,{12.5,15,20,30,45,60,75,105,115,150,200,225,250,600},{12.5,15,20,30,45,60,75,105,115,150,200,225,250,600}))*(LOOKUP(M289,{12.5,15,20,30,45,60,75,105,115,150,200,225,250,600,1000},{55,60,62,65,68,70,72,75,80,82,85,87,90,95,95})-LOOKUP(M289,{12.5,15,20,30,45,60,75,105,115,150,200,225,250,600,1000},{50,55,60,62,65,68,70,72,75,80,82,85,87,90,95})))))</f>
        <v>62</v>
      </c>
      <c r="P289" s="2">
        <f t="shared" si="23"/>
        <v>10</v>
      </c>
      <c r="Q289" s="2">
        <f t="shared" si="24"/>
        <v>5</v>
      </c>
    </row>
    <row r="290" customHeight="1" spans="1:17">
      <c r="A290" s="2">
        <v>2026</v>
      </c>
      <c r="B290" s="2">
        <v>289</v>
      </c>
      <c r="C290" s="16">
        <f t="shared" si="22"/>
        <v>72.1</v>
      </c>
      <c r="D290" s="2" t="s">
        <v>557</v>
      </c>
      <c r="E290" s="9">
        <v>74</v>
      </c>
      <c r="F290" s="2">
        <v>57</v>
      </c>
      <c r="G290" s="2">
        <v>44</v>
      </c>
      <c r="H290" s="2" t="s">
        <v>54</v>
      </c>
      <c r="I290" s="2" t="s">
        <v>449</v>
      </c>
      <c r="J290" s="4" t="s">
        <v>38</v>
      </c>
      <c r="M290" s="2">
        <f t="shared" si="20"/>
        <v>45</v>
      </c>
      <c r="N290" s="2">
        <f t="shared" si="21"/>
        <v>67.6</v>
      </c>
      <c r="O290" s="2">
        <f>IF(M290="","",IF(M290&gt;=1000,95,IF(M290&lt;=12.5,50,LOOKUP(M290,{12.5,15,20,30,45,60,75,105,115,150,200,225,250,600,1000},{50,55,60,62,65,68,70,72,75,80,82,85,87,90,95})+(M290-LOOKUP(M290,{12.5,15,20,30,45,60,75,105,115,150,200,225,250,600},{12.5,15,20,30,45,60,75,105,115,150,200,225,250,600}))/(LOOKUP(M290,{12.5,15,20,30,45,60,75,105,115,150,200,225,250,600,1000},{15,20,30,45,60,75,105,115,150,200,225,250,600,1000,1000})-LOOKUP(M290,{12.5,15,20,30,45,60,75,105,115,150,200,225,250,600},{12.5,15,20,30,45,60,75,105,115,150,200,225,250,600}))*(LOOKUP(M290,{12.5,15,20,30,45,60,75,105,115,150,200,225,250,600,1000},{55,60,62,65,68,70,72,75,80,82,85,87,90,95,95})-LOOKUP(M290,{12.5,15,20,30,45,60,75,105,115,150,200,225,250,600,1000},{50,55,60,62,65,68,70,72,75,80,82,85,87,90,95})))))</f>
        <v>65</v>
      </c>
      <c r="P290" s="2">
        <f t="shared" si="23"/>
        <v>9</v>
      </c>
      <c r="Q290" s="2">
        <f t="shared" si="24"/>
        <v>4.5</v>
      </c>
    </row>
    <row r="291" customHeight="1" spans="1:17">
      <c r="B291" s="2">
        <v>290</v>
      </c>
      <c r="C291" s="16">
        <f t="shared" si="22"/>
        <v>72.07</v>
      </c>
      <c r="D291" s="2" t="s">
        <v>558</v>
      </c>
      <c r="E291" s="9">
        <v>70</v>
      </c>
      <c r="F291" s="2">
        <v>55</v>
      </c>
      <c r="G291" s="2">
        <v>54</v>
      </c>
      <c r="H291" s="2" t="s">
        <v>41</v>
      </c>
      <c r="I291" s="2" t="s">
        <v>28</v>
      </c>
      <c r="J291" s="4" t="s">
        <v>29</v>
      </c>
      <c r="M291" s="2">
        <f t="shared" si="20"/>
        <v>15</v>
      </c>
      <c r="N291" s="2">
        <f t="shared" si="21"/>
        <v>65.4</v>
      </c>
      <c r="O291" s="2">
        <f>IF(M291="","",IF(M291&gt;=1000,95,IF(M291&lt;=12.5,50,LOOKUP(M291,{12.5,15,20,30,45,60,75,105,115,150,200,225,250,600,1000},{50,55,60,62,65,68,70,72,75,80,82,85,87,90,95})+(M291-LOOKUP(M291,{12.5,15,20,30,45,60,75,105,115,150,200,225,250,600},{12.5,15,20,30,45,60,75,105,115,150,200,225,250,600}))/(LOOKUP(M291,{12.5,15,20,30,45,60,75,105,115,150,200,225,250,600,1000},{15,20,30,45,60,75,105,115,150,200,225,250,600,1000,1000})-LOOKUP(M291,{12.5,15,20,30,45,60,75,105,115,150,200,225,250,600},{12.5,15,20,30,45,60,75,105,115,150,200,225,250,600}))*(LOOKUP(M291,{12.5,15,20,30,45,60,75,105,115,150,200,225,250,600,1000},{55,60,62,65,68,70,72,75,80,82,85,87,90,95,95})-LOOKUP(M291,{12.5,15,20,30,45,60,75,105,115,150,200,225,250,600,1000},{50,55,60,62,65,68,70,72,75,80,82,85,87,90,95})))))</f>
        <v>55</v>
      </c>
      <c r="P291" s="2">
        <f t="shared" si="23"/>
        <v>15</v>
      </c>
      <c r="Q291" s="2">
        <f t="shared" si="24"/>
        <v>6.67</v>
      </c>
    </row>
    <row r="292" customHeight="1" spans="1:17">
      <c r="A292" s="2">
        <v>2026</v>
      </c>
      <c r="B292" s="2">
        <v>291</v>
      </c>
      <c r="C292" s="16">
        <f t="shared" si="22"/>
        <v>72.03</v>
      </c>
      <c r="D292" s="2" t="s">
        <v>559</v>
      </c>
      <c r="E292" s="9">
        <v>71</v>
      </c>
      <c r="F292" s="12">
        <v>60</v>
      </c>
      <c r="G292" s="2">
        <v>50</v>
      </c>
      <c r="H292" s="2" t="s">
        <v>37</v>
      </c>
      <c r="I292" s="2" t="s">
        <v>28</v>
      </c>
      <c r="J292" s="4" t="s">
        <v>140</v>
      </c>
      <c r="M292" s="2">
        <f t="shared" si="20"/>
        <v>20</v>
      </c>
      <c r="N292" s="2">
        <f t="shared" si="21"/>
        <v>66.7</v>
      </c>
      <c r="O292" s="2">
        <f>IF(M292="","",IF(M292&gt;=1000,95,IF(M292&lt;=12.5,50,LOOKUP(M292,{12.5,15,20,30,45,60,75,105,115,150,200,225,250,600,1000},{50,55,60,62,65,68,70,72,75,80,82,85,87,90,95})+(M292-LOOKUP(M292,{12.5,15,20,30,45,60,75,105,115,150,200,225,250,600},{12.5,15,20,30,45,60,75,105,115,150,200,225,250,600}))/(LOOKUP(M292,{12.5,15,20,30,45,60,75,105,115,150,200,225,250,600,1000},{15,20,30,45,60,75,105,115,150,200,225,250,600,1000,1000})-LOOKUP(M292,{12.5,15,20,30,45,60,75,105,115,150,200,225,250,600},{12.5,15,20,30,45,60,75,105,115,150,200,225,250,600}))*(LOOKUP(M292,{12.5,15,20,30,45,60,75,105,115,150,200,225,250,600,1000},{55,60,62,65,68,70,72,75,80,82,85,87,90,95,95})-LOOKUP(M292,{12.5,15,20,30,45,60,75,105,115,150,200,225,250,600,1000},{50,55,60,62,65,68,70,72,75,80,82,85,87,90,95})))))</f>
        <v>60</v>
      </c>
      <c r="P292" s="2">
        <f t="shared" si="23"/>
        <v>11</v>
      </c>
      <c r="Q292" s="2">
        <f t="shared" si="24"/>
        <v>5.33</v>
      </c>
    </row>
    <row r="293" customHeight="1" spans="1:17">
      <c r="A293" s="2">
        <v>2026</v>
      </c>
      <c r="B293" s="2">
        <v>292</v>
      </c>
      <c r="C293" s="16">
        <f t="shared" si="22"/>
        <v>72</v>
      </c>
      <c r="D293" s="2" t="s">
        <v>560</v>
      </c>
      <c r="E293" s="9">
        <v>72</v>
      </c>
      <c r="F293" s="9">
        <v>72</v>
      </c>
      <c r="G293" s="12">
        <v>62</v>
      </c>
      <c r="H293" s="2" t="s">
        <v>54</v>
      </c>
      <c r="I293" s="2" t="s">
        <v>183</v>
      </c>
      <c r="J293" s="4" t="s">
        <v>24</v>
      </c>
      <c r="M293" s="2">
        <f t="shared" si="20"/>
        <v>75</v>
      </c>
      <c r="N293" s="2">
        <f t="shared" si="21"/>
        <v>71</v>
      </c>
      <c r="O293" s="2">
        <f>IF(M293="","",IF(M293&gt;=1000,95,IF(M293&lt;=12.5,50,LOOKUP(M293,{12.5,15,20,30,45,60,75,105,115,150,200,225,250,600,1000},{50,55,60,62,65,68,70,72,75,80,82,85,87,90,95})+(M293-LOOKUP(M293,{12.5,15,20,30,45,60,75,105,115,150,200,225,250,600},{12.5,15,20,30,45,60,75,105,115,150,200,225,250,600}))/(LOOKUP(M293,{12.5,15,20,30,45,60,75,105,115,150,200,225,250,600,1000},{15,20,30,45,60,75,105,115,150,200,225,250,600,1000,1000})-LOOKUP(M293,{12.5,15,20,30,45,60,75,105,115,150,200,225,250,600},{12.5,15,20,30,45,60,75,105,115,150,200,225,250,600}))*(LOOKUP(M293,{12.5,15,20,30,45,60,75,105,115,150,200,225,250,600,1000},{55,60,62,65,68,70,72,75,80,82,85,87,90,95,95})-LOOKUP(M293,{12.5,15,20,30,45,60,75,105,115,150,200,225,250,600,1000},{50,55,60,62,65,68,70,72,75,80,82,85,87,90,95})))))</f>
        <v>70</v>
      </c>
      <c r="P293" s="2">
        <f t="shared" si="23"/>
        <v>2</v>
      </c>
      <c r="Q293" s="2">
        <f t="shared" si="24"/>
        <v>1</v>
      </c>
    </row>
    <row r="294" customHeight="1" spans="1:17">
      <c r="B294" s="2">
        <v>293</v>
      </c>
      <c r="C294" s="16">
        <f t="shared" si="22"/>
        <v>72</v>
      </c>
      <c r="D294" s="2" t="s">
        <v>561</v>
      </c>
      <c r="E294" s="9">
        <v>72</v>
      </c>
      <c r="F294" s="12">
        <v>65</v>
      </c>
      <c r="G294" s="12">
        <v>66</v>
      </c>
      <c r="H294" s="2" t="s">
        <v>41</v>
      </c>
      <c r="I294" s="2" t="s">
        <v>104</v>
      </c>
      <c r="J294" s="4" t="s">
        <v>34</v>
      </c>
      <c r="M294" s="2">
        <f t="shared" si="20"/>
        <v>60</v>
      </c>
      <c r="N294" s="2">
        <f t="shared" si="21"/>
        <v>70</v>
      </c>
      <c r="O294" s="2">
        <f>IF(M294="","",IF(M294&gt;=1000,95,IF(M294&lt;=12.5,50,LOOKUP(M294,{12.5,15,20,30,45,60,75,105,115,150,200,225,250,600,1000},{50,55,60,62,65,68,70,72,75,80,82,85,87,90,95})+(M294-LOOKUP(M294,{12.5,15,20,30,45,60,75,105,115,150,200,225,250,600},{12.5,15,20,30,45,60,75,105,115,150,200,225,250,600}))/(LOOKUP(M294,{12.5,15,20,30,45,60,75,105,115,150,200,225,250,600,1000},{15,20,30,45,60,75,105,115,150,200,225,250,600,1000,1000})-LOOKUP(M294,{12.5,15,20,30,45,60,75,105,115,150,200,225,250,600},{12.5,15,20,30,45,60,75,105,115,150,200,225,250,600}))*(LOOKUP(M294,{12.5,15,20,30,45,60,75,105,115,150,200,225,250,600,1000},{55,60,62,65,68,70,72,75,80,82,85,87,90,95,95})-LOOKUP(M294,{12.5,15,20,30,45,60,75,105,115,150,200,225,250,600,1000},{50,55,60,62,65,68,70,72,75,80,82,85,87,90,95})))))</f>
        <v>68</v>
      </c>
      <c r="P294" s="2">
        <f t="shared" si="23"/>
        <v>4</v>
      </c>
      <c r="Q294" s="2">
        <f t="shared" si="24"/>
        <v>2</v>
      </c>
    </row>
    <row r="295" customHeight="1" spans="1:17">
      <c r="A295" s="2">
        <v>2026</v>
      </c>
      <c r="B295" s="2">
        <v>294</v>
      </c>
      <c r="C295" s="16">
        <f t="shared" si="22"/>
        <v>72</v>
      </c>
      <c r="D295" s="2" t="s">
        <v>562</v>
      </c>
      <c r="E295" s="9">
        <v>72</v>
      </c>
      <c r="F295" s="12">
        <v>69</v>
      </c>
      <c r="G295" s="2">
        <v>58</v>
      </c>
      <c r="H295" s="2" t="s">
        <v>41</v>
      </c>
      <c r="I295" s="2" t="s">
        <v>229</v>
      </c>
      <c r="J295" s="4" t="s">
        <v>34</v>
      </c>
      <c r="M295" s="2">
        <f t="shared" si="20"/>
        <v>60</v>
      </c>
      <c r="N295" s="2">
        <f t="shared" si="21"/>
        <v>70</v>
      </c>
      <c r="O295" s="2">
        <f>IF(M295="","",IF(M295&gt;=1000,95,IF(M295&lt;=12.5,50,LOOKUP(M295,{12.5,15,20,30,45,60,75,105,115,150,200,225,250,600,1000},{50,55,60,62,65,68,70,72,75,80,82,85,87,90,95})+(M295-LOOKUP(M295,{12.5,15,20,30,45,60,75,105,115,150,200,225,250,600},{12.5,15,20,30,45,60,75,105,115,150,200,225,250,600}))/(LOOKUP(M295,{12.5,15,20,30,45,60,75,105,115,150,200,225,250,600,1000},{15,20,30,45,60,75,105,115,150,200,225,250,600,1000,1000})-LOOKUP(M295,{12.5,15,20,30,45,60,75,105,115,150,200,225,250,600},{12.5,15,20,30,45,60,75,105,115,150,200,225,250,600}))*(LOOKUP(M295,{12.5,15,20,30,45,60,75,105,115,150,200,225,250,600,1000},{55,60,62,65,68,70,72,75,80,82,85,87,90,95,95})-LOOKUP(M295,{12.5,15,20,30,45,60,75,105,115,150,200,225,250,600,1000},{50,55,60,62,65,68,70,72,75,80,82,85,87,90,95})))))</f>
        <v>68</v>
      </c>
      <c r="P295" s="2">
        <f t="shared" si="23"/>
        <v>4</v>
      </c>
      <c r="Q295" s="2">
        <f t="shared" si="24"/>
        <v>2</v>
      </c>
    </row>
    <row r="296" customHeight="1" spans="1:17">
      <c r="A296" s="2">
        <v>2026</v>
      </c>
      <c r="B296" s="2">
        <v>295</v>
      </c>
      <c r="C296" s="16">
        <f t="shared" si="22"/>
        <v>72</v>
      </c>
      <c r="D296" s="2" t="s">
        <v>563</v>
      </c>
      <c r="E296" s="9">
        <v>74</v>
      </c>
      <c r="F296" s="12">
        <v>62</v>
      </c>
      <c r="G296" s="12">
        <v>68</v>
      </c>
      <c r="H296" s="2" t="s">
        <v>87</v>
      </c>
      <c r="I296" s="2" t="s">
        <v>104</v>
      </c>
      <c r="J296" s="4" t="s">
        <v>105</v>
      </c>
      <c r="M296" s="2">
        <f t="shared" si="20"/>
        <v>105</v>
      </c>
      <c r="N296" s="2">
        <f t="shared" si="21"/>
        <v>71</v>
      </c>
      <c r="O296" s="2">
        <f>IF(M296="","",IF(M296&gt;=1000,95,IF(M296&lt;=12.5,50,LOOKUP(M296,{12.5,15,20,30,45,60,75,105,115,150,200,225,250,600,1000},{50,55,60,62,65,68,70,72,75,80,82,85,87,90,95})+(M296-LOOKUP(M296,{12.5,15,20,30,45,60,75,105,115,150,200,225,250,600},{12.5,15,20,30,45,60,75,105,115,150,200,225,250,600}))/(LOOKUP(M296,{12.5,15,20,30,45,60,75,105,115,150,200,225,250,600,1000},{15,20,30,45,60,75,105,115,150,200,225,250,600,1000,1000})-LOOKUP(M296,{12.5,15,20,30,45,60,75,105,115,150,200,225,250,600},{12.5,15,20,30,45,60,75,105,115,150,200,225,250,600}))*(LOOKUP(M296,{12.5,15,20,30,45,60,75,105,115,150,200,225,250,600,1000},{55,60,62,65,68,70,72,75,80,82,85,87,90,95,95})-LOOKUP(M296,{12.5,15,20,30,45,60,75,105,115,150,200,225,250,600,1000},{50,55,60,62,65,68,70,72,75,80,82,85,87,90,95})))))</f>
        <v>72</v>
      </c>
      <c r="P296" s="2">
        <f t="shared" si="23"/>
        <v>2</v>
      </c>
      <c r="Q296" s="2">
        <f t="shared" si="24"/>
        <v>1</v>
      </c>
    </row>
    <row r="297" customHeight="1" spans="1:17">
      <c r="A297" s="2">
        <v>2026</v>
      </c>
      <c r="B297" s="2">
        <v>296</v>
      </c>
      <c r="C297" s="16">
        <f t="shared" si="22"/>
        <v>71.97</v>
      </c>
      <c r="D297" s="2" t="s">
        <v>564</v>
      </c>
      <c r="E297" s="9">
        <v>72</v>
      </c>
      <c r="F297" s="2">
        <v>57</v>
      </c>
      <c r="G297" s="2">
        <v>45</v>
      </c>
      <c r="H297" s="2" t="s">
        <v>281</v>
      </c>
      <c r="I297" s="2" t="s">
        <v>63</v>
      </c>
      <c r="J297" s="4" t="s">
        <v>140</v>
      </c>
      <c r="M297" s="2">
        <f t="shared" si="20"/>
        <v>20</v>
      </c>
      <c r="N297" s="2">
        <f t="shared" si="21"/>
        <v>66.3</v>
      </c>
      <c r="O297" s="2">
        <f>IF(M297="","",IF(M297&gt;=1000,95,IF(M297&lt;=12.5,50,LOOKUP(M297,{12.5,15,20,30,45,60,75,105,115,150,200,225,250,600,1000},{50,55,60,62,65,68,70,72,75,80,82,85,87,90,95})+(M297-LOOKUP(M297,{12.5,15,20,30,45,60,75,105,115,150,200,225,250,600},{12.5,15,20,30,45,60,75,105,115,150,200,225,250,600}))/(LOOKUP(M297,{12.5,15,20,30,45,60,75,105,115,150,200,225,250,600,1000},{15,20,30,45,60,75,105,115,150,200,225,250,600,1000,1000})-LOOKUP(M297,{12.5,15,20,30,45,60,75,105,115,150,200,225,250,600},{12.5,15,20,30,45,60,75,105,115,150,200,225,250,600}))*(LOOKUP(M297,{12.5,15,20,30,45,60,75,105,115,150,200,225,250,600,1000},{55,60,62,65,68,70,72,75,80,82,85,87,90,95,95})-LOOKUP(M297,{12.5,15,20,30,45,60,75,105,115,150,200,225,250,600,1000},{50,55,60,62,65,68,70,72,75,80,82,85,87,90,95})))))</f>
        <v>60</v>
      </c>
      <c r="P297" s="2">
        <f t="shared" si="23"/>
        <v>12</v>
      </c>
      <c r="Q297" s="2">
        <f t="shared" si="24"/>
        <v>5.67</v>
      </c>
    </row>
    <row r="298" customHeight="1" spans="1:17">
      <c r="A298" s="2">
        <v>2026</v>
      </c>
      <c r="B298" s="2">
        <v>297</v>
      </c>
      <c r="C298" s="16">
        <f t="shared" si="22"/>
        <v>71.94</v>
      </c>
      <c r="D298" s="2" t="s">
        <v>565</v>
      </c>
      <c r="E298" s="12">
        <v>69</v>
      </c>
      <c r="F298" s="12">
        <v>61</v>
      </c>
      <c r="G298" s="2">
        <v>51</v>
      </c>
      <c r="H298" s="2" t="s">
        <v>37</v>
      </c>
      <c r="I298" s="2" t="s">
        <v>28</v>
      </c>
      <c r="J298" s="4" t="s">
        <v>29</v>
      </c>
      <c r="M298" s="2">
        <f t="shared" si="20"/>
        <v>15</v>
      </c>
      <c r="N298" s="2">
        <f t="shared" si="21"/>
        <v>65.6</v>
      </c>
      <c r="O298" s="2">
        <f>IF(M298="","",IF(M298&gt;=1000,95,IF(M298&lt;=12.5,50,LOOKUP(M298,{12.5,15,20,30,45,60,75,105,115,150,200,225,250,600,1000},{50,55,60,62,65,68,70,72,75,80,82,85,87,90,95})+(M298-LOOKUP(M298,{12.5,15,20,30,45,60,75,105,115,150,200,225,250,600},{12.5,15,20,30,45,60,75,105,115,150,200,225,250,600}))/(LOOKUP(M298,{12.5,15,20,30,45,60,75,105,115,150,200,225,250,600,1000},{15,20,30,45,60,75,105,115,150,200,225,250,600,1000,1000})-LOOKUP(M298,{12.5,15,20,30,45,60,75,105,115,150,200,225,250,600},{12.5,15,20,30,45,60,75,105,115,150,200,225,250,600}))*(LOOKUP(M298,{12.5,15,20,30,45,60,75,105,115,150,200,225,250,600,1000},{55,60,62,65,68,70,72,75,80,82,85,87,90,95,95})-LOOKUP(M298,{12.5,15,20,30,45,60,75,105,115,150,200,225,250,600,1000},{50,55,60,62,65,68,70,72,75,80,82,85,87,90,95})))))</f>
        <v>55</v>
      </c>
      <c r="P298" s="2">
        <f t="shared" si="23"/>
        <v>14</v>
      </c>
      <c r="Q298" s="2">
        <f t="shared" si="24"/>
        <v>6.34</v>
      </c>
    </row>
    <row r="299" customHeight="1" spans="1:17">
      <c r="B299" s="2">
        <v>298</v>
      </c>
      <c r="C299" s="16">
        <f t="shared" si="22"/>
        <v>71.9</v>
      </c>
      <c r="D299" s="2" t="s">
        <v>566</v>
      </c>
      <c r="E299" s="9">
        <v>73</v>
      </c>
      <c r="F299" s="12">
        <v>68</v>
      </c>
      <c r="G299" s="2">
        <v>57</v>
      </c>
      <c r="H299" s="2" t="s">
        <v>480</v>
      </c>
      <c r="I299" s="2" t="s">
        <v>354</v>
      </c>
      <c r="J299" s="4" t="s">
        <v>24</v>
      </c>
      <c r="K299" s="2" t="s">
        <v>567</v>
      </c>
      <c r="M299" s="2">
        <f t="shared" si="20"/>
        <v>75</v>
      </c>
      <c r="N299" s="2">
        <f t="shared" si="21"/>
        <v>70.4</v>
      </c>
      <c r="O299" s="2">
        <f>IF(M299="","",IF(M299&gt;=1000,95,IF(M299&lt;=12.5,50,LOOKUP(M299,{12.5,15,20,30,45,60,75,105,115,150,200,225,250,600,1000},{50,55,60,62,65,68,70,72,75,80,82,85,87,90,95})+(M299-LOOKUP(M299,{12.5,15,20,30,45,60,75,105,115,150,200,225,250,600},{12.5,15,20,30,45,60,75,105,115,150,200,225,250,600}))/(LOOKUP(M299,{12.5,15,20,30,45,60,75,105,115,150,200,225,250,600,1000},{15,20,30,45,60,75,105,115,150,200,225,250,600,1000,1000})-LOOKUP(M299,{12.5,15,20,30,45,60,75,105,115,150,200,225,250,600},{12.5,15,20,30,45,60,75,105,115,150,200,225,250,600}))*(LOOKUP(M299,{12.5,15,20,30,45,60,75,105,115,150,200,225,250,600,1000},{55,60,62,65,68,70,72,75,80,82,85,87,90,95,95})-LOOKUP(M299,{12.5,15,20,30,45,60,75,105,115,150,200,225,250,600,1000},{50,55,60,62,65,68,70,72,75,80,82,85,87,90,95})))))</f>
        <v>70</v>
      </c>
      <c r="P299" s="2">
        <f t="shared" si="23"/>
        <v>3</v>
      </c>
      <c r="Q299" s="2">
        <f t="shared" si="24"/>
        <v>1.5</v>
      </c>
    </row>
    <row r="300" customHeight="1" spans="1:17">
      <c r="B300" s="2">
        <v>299</v>
      </c>
      <c r="C300" s="16">
        <f t="shared" si="22"/>
        <v>71.9</v>
      </c>
      <c r="D300" s="2" t="s">
        <v>568</v>
      </c>
      <c r="E300" s="9">
        <v>74</v>
      </c>
      <c r="F300" s="12">
        <v>67</v>
      </c>
      <c r="G300" s="9">
        <v>72</v>
      </c>
      <c r="H300" s="2" t="s">
        <v>122</v>
      </c>
      <c r="I300" s="2" t="s">
        <v>104</v>
      </c>
      <c r="J300" s="4" t="s">
        <v>148</v>
      </c>
      <c r="M300" s="2">
        <f t="shared" si="20"/>
        <v>115</v>
      </c>
      <c r="N300" s="2">
        <f t="shared" si="21"/>
        <v>72.4</v>
      </c>
      <c r="O300" s="2">
        <f>IF(M300="","",IF(M300&gt;=1000,95,IF(M300&lt;=12.5,50,LOOKUP(M300,{12.5,15,20,30,45,60,75,105,115,150,200,225,250,600,1000},{50,55,60,62,65,68,70,72,75,80,82,85,87,90,95})+(M300-LOOKUP(M300,{12.5,15,20,30,45,60,75,105,115,150,200,225,250,600},{12.5,15,20,30,45,60,75,105,115,150,200,225,250,600}))/(LOOKUP(M300,{12.5,15,20,30,45,60,75,105,115,150,200,225,250,600,1000},{15,20,30,45,60,75,105,115,150,200,225,250,600,1000,1000})-LOOKUP(M300,{12.5,15,20,30,45,60,75,105,115,150,200,225,250,600},{12.5,15,20,30,45,60,75,105,115,150,200,225,250,600}))*(LOOKUP(M300,{12.5,15,20,30,45,60,75,105,115,150,200,225,250,600,1000},{55,60,62,65,68,70,72,75,80,82,85,87,90,95,95})-LOOKUP(M300,{12.5,15,20,30,45,60,75,105,115,150,200,225,250,600,1000},{50,55,60,62,65,68,70,72,75,80,82,85,87,90,95})))))</f>
        <v>75</v>
      </c>
      <c r="P300" s="2">
        <f t="shared" si="23"/>
        <v>-1</v>
      </c>
      <c r="Q300" s="2">
        <f t="shared" si="24"/>
        <v>-0.5</v>
      </c>
    </row>
    <row r="301" customHeight="1" spans="1:17">
      <c r="B301" s="2">
        <v>300</v>
      </c>
      <c r="C301" s="16">
        <f t="shared" si="22"/>
        <v>71.84</v>
      </c>
      <c r="D301" s="2" t="s">
        <v>569</v>
      </c>
      <c r="E301" s="9">
        <v>76</v>
      </c>
      <c r="F301" s="2">
        <v>48</v>
      </c>
      <c r="G301" s="2">
        <v>27</v>
      </c>
      <c r="H301" s="2" t="s">
        <v>122</v>
      </c>
      <c r="I301" s="2" t="s">
        <v>28</v>
      </c>
      <c r="J301" s="4" t="s">
        <v>88</v>
      </c>
      <c r="M301" s="2">
        <f t="shared" si="20"/>
        <v>30</v>
      </c>
      <c r="N301" s="2">
        <f t="shared" si="21"/>
        <v>65.5</v>
      </c>
      <c r="O301" s="2">
        <f>IF(M301="","",IF(M301&gt;=1000,95,IF(M301&lt;=12.5,50,LOOKUP(M301,{12.5,15,20,30,45,60,75,105,115,150,200,225,250,600,1000},{50,55,60,62,65,68,70,72,75,80,82,85,87,90,95})+(M301-LOOKUP(M301,{12.5,15,20,30,45,60,75,105,115,150,200,225,250,600},{12.5,15,20,30,45,60,75,105,115,150,200,225,250,600}))/(LOOKUP(M301,{12.5,15,20,30,45,60,75,105,115,150,200,225,250,600,1000},{15,20,30,45,60,75,105,115,150,200,225,250,600,1000,1000})-LOOKUP(M301,{12.5,15,20,30,45,60,75,105,115,150,200,225,250,600},{12.5,15,20,30,45,60,75,105,115,150,200,225,250,600}))*(LOOKUP(M301,{12.5,15,20,30,45,60,75,105,115,150,200,225,250,600,1000},{55,60,62,65,68,70,72,75,80,82,85,87,90,95,95})-LOOKUP(M301,{12.5,15,20,30,45,60,75,105,115,150,200,225,250,600,1000},{50,55,60,62,65,68,70,72,75,80,82,85,87,90,95})))))</f>
        <v>62</v>
      </c>
      <c r="P301" s="2">
        <f t="shared" si="23"/>
        <v>14</v>
      </c>
      <c r="Q301" s="2">
        <f t="shared" si="24"/>
        <v>6.34</v>
      </c>
    </row>
    <row r="302" customHeight="1" spans="1:17">
      <c r="A302" s="2">
        <v>2026</v>
      </c>
      <c r="B302" s="2">
        <v>301</v>
      </c>
      <c r="C302" s="16">
        <f t="shared" si="22"/>
        <v>71.8</v>
      </c>
      <c r="D302" s="2" t="s">
        <v>570</v>
      </c>
      <c r="E302" s="12">
        <v>69</v>
      </c>
      <c r="F302" s="12">
        <v>65</v>
      </c>
      <c r="G302" s="12">
        <v>60</v>
      </c>
      <c r="H302" s="2" t="s">
        <v>54</v>
      </c>
      <c r="I302" s="2" t="s">
        <v>63</v>
      </c>
      <c r="J302" s="4" t="s">
        <v>140</v>
      </c>
      <c r="M302" s="2">
        <f t="shared" si="20"/>
        <v>20</v>
      </c>
      <c r="N302" s="2">
        <f t="shared" si="21"/>
        <v>67.3</v>
      </c>
      <c r="O302" s="2">
        <f>IF(M302="","",IF(M302&gt;=1000,95,IF(M302&lt;=12.5,50,LOOKUP(M302,{12.5,15,20,30,45,60,75,105,115,150,200,225,250,600,1000},{50,55,60,62,65,68,70,72,75,80,82,85,87,90,95})+(M302-LOOKUP(M302,{12.5,15,20,30,45,60,75,105,115,150,200,225,250,600},{12.5,15,20,30,45,60,75,105,115,150,200,225,250,600}))/(LOOKUP(M302,{12.5,15,20,30,45,60,75,105,115,150,200,225,250,600,1000},{15,20,30,45,60,75,105,115,150,200,225,250,600,1000,1000})-LOOKUP(M302,{12.5,15,20,30,45,60,75,105,115,150,200,225,250,600},{12.5,15,20,30,45,60,75,105,115,150,200,225,250,600}))*(LOOKUP(M302,{12.5,15,20,30,45,60,75,105,115,150,200,225,250,600,1000},{55,60,62,65,68,70,72,75,80,82,85,87,90,95,95})-LOOKUP(M302,{12.5,15,20,30,45,60,75,105,115,150,200,225,250,600,1000},{50,55,60,62,65,68,70,72,75,80,82,85,87,90,95})))))</f>
        <v>60</v>
      </c>
      <c r="P302" s="2">
        <f t="shared" si="23"/>
        <v>9</v>
      </c>
      <c r="Q302" s="2">
        <f t="shared" si="24"/>
        <v>4.5</v>
      </c>
    </row>
    <row r="303" customHeight="1" spans="1:17">
      <c r="A303" s="2">
        <v>2026</v>
      </c>
      <c r="B303" s="2">
        <v>302</v>
      </c>
      <c r="C303" s="16">
        <f t="shared" si="22"/>
        <v>71.8</v>
      </c>
      <c r="D303" s="2" t="s">
        <v>571</v>
      </c>
      <c r="E303" s="9">
        <v>72</v>
      </c>
      <c r="F303" s="2">
        <v>55</v>
      </c>
      <c r="G303" s="2">
        <v>54</v>
      </c>
      <c r="H303" s="2" t="s">
        <v>54</v>
      </c>
      <c r="I303" s="2" t="s">
        <v>63</v>
      </c>
      <c r="J303" s="4" t="s">
        <v>88</v>
      </c>
      <c r="M303" s="2">
        <f t="shared" si="20"/>
        <v>30</v>
      </c>
      <c r="N303" s="2">
        <f t="shared" si="21"/>
        <v>66.8</v>
      </c>
      <c r="O303" s="2">
        <f>IF(M303="","",IF(M303&gt;=1000,95,IF(M303&lt;=12.5,50,LOOKUP(M303,{12.5,15,20,30,45,60,75,105,115,150,200,225,250,600,1000},{50,55,60,62,65,68,70,72,75,80,82,85,87,90,95})+(M303-LOOKUP(M303,{12.5,15,20,30,45,60,75,105,115,150,200,225,250,600},{12.5,15,20,30,45,60,75,105,115,150,200,225,250,600}))/(LOOKUP(M303,{12.5,15,20,30,45,60,75,105,115,150,200,225,250,600,1000},{15,20,30,45,60,75,105,115,150,200,225,250,600,1000,1000})-LOOKUP(M303,{12.5,15,20,30,45,60,75,105,115,150,200,225,250,600},{12.5,15,20,30,45,60,75,105,115,150,200,225,250,600}))*(LOOKUP(M303,{12.5,15,20,30,45,60,75,105,115,150,200,225,250,600,1000},{55,60,62,65,68,70,72,75,80,82,85,87,90,95,95})-LOOKUP(M303,{12.5,15,20,30,45,60,75,105,115,150,200,225,250,600,1000},{50,55,60,62,65,68,70,72,75,80,82,85,87,90,95})))))</f>
        <v>62</v>
      </c>
      <c r="P303" s="2">
        <f t="shared" si="23"/>
        <v>10</v>
      </c>
      <c r="Q303" s="2">
        <f t="shared" si="24"/>
        <v>5</v>
      </c>
    </row>
    <row r="304" customHeight="1" spans="1:17">
      <c r="B304" s="2">
        <v>303</v>
      </c>
      <c r="C304" s="16">
        <f t="shared" si="22"/>
        <v>71.8</v>
      </c>
      <c r="D304" s="2" t="s">
        <v>572</v>
      </c>
      <c r="E304" s="9">
        <v>77</v>
      </c>
      <c r="F304" s="9">
        <v>76</v>
      </c>
      <c r="G304" s="10">
        <v>87</v>
      </c>
      <c r="H304" s="2" t="s">
        <v>573</v>
      </c>
      <c r="I304" s="2" t="s">
        <v>50</v>
      </c>
      <c r="J304" s="4" t="s">
        <v>73</v>
      </c>
      <c r="M304" s="2">
        <f t="shared" si="20"/>
        <v>600</v>
      </c>
      <c r="N304" s="2">
        <f t="shared" si="21"/>
        <v>77.8</v>
      </c>
      <c r="O304" s="2">
        <f>IF(M304="","",IF(M304&gt;=1000,95,IF(M304&lt;=12.5,50,LOOKUP(M304,{12.5,15,20,30,45,60,75,105,115,150,200,225,250,600,1000},{50,55,60,62,65,68,70,72,75,80,82,85,87,90,95})+(M304-LOOKUP(M304,{12.5,15,20,30,45,60,75,105,115,150,200,225,250,600},{12.5,15,20,30,45,60,75,105,115,150,200,225,250,600}))/(LOOKUP(M304,{12.5,15,20,30,45,60,75,105,115,150,200,225,250,600,1000},{15,20,30,45,60,75,105,115,150,200,225,250,600,1000,1000})-LOOKUP(M304,{12.5,15,20,30,45,60,75,105,115,150,200,225,250,600},{12.5,15,20,30,45,60,75,105,115,150,200,225,250,600}))*(LOOKUP(M304,{12.5,15,20,30,45,60,75,105,115,150,200,225,250,600,1000},{55,60,62,65,68,70,72,75,80,82,85,87,90,95,95})-LOOKUP(M304,{12.5,15,20,30,45,60,75,105,115,150,200,225,250,600,1000},{50,55,60,62,65,68,70,72,75,80,82,85,87,90,95})))))</f>
        <v>90</v>
      </c>
      <c r="P304" s="2">
        <f t="shared" si="23"/>
        <v>-13</v>
      </c>
      <c r="Q304" s="2">
        <f t="shared" si="24"/>
        <v>-6</v>
      </c>
    </row>
    <row r="305" customHeight="1" spans="1:17">
      <c r="A305" s="2">
        <v>2026</v>
      </c>
      <c r="B305" s="2">
        <v>304</v>
      </c>
      <c r="C305" s="16">
        <f t="shared" si="22"/>
        <v>71.8</v>
      </c>
      <c r="D305" s="2" t="s">
        <v>574</v>
      </c>
      <c r="E305" s="9">
        <v>74</v>
      </c>
      <c r="F305" s="12">
        <v>62</v>
      </c>
      <c r="G305" s="2">
        <v>56</v>
      </c>
      <c r="H305" s="2" t="s">
        <v>54</v>
      </c>
      <c r="I305" s="2" t="s">
        <v>104</v>
      </c>
      <c r="J305" s="4" t="s">
        <v>24</v>
      </c>
      <c r="M305" s="2">
        <f t="shared" si="20"/>
        <v>75</v>
      </c>
      <c r="N305" s="2">
        <f t="shared" si="21"/>
        <v>69.8</v>
      </c>
      <c r="O305" s="2">
        <f>IF(M305="","",IF(M305&gt;=1000,95,IF(M305&lt;=12.5,50,LOOKUP(M305,{12.5,15,20,30,45,60,75,105,115,150,200,225,250,600,1000},{50,55,60,62,65,68,70,72,75,80,82,85,87,90,95})+(M305-LOOKUP(M305,{12.5,15,20,30,45,60,75,105,115,150,200,225,250,600},{12.5,15,20,30,45,60,75,105,115,150,200,225,250,600}))/(LOOKUP(M305,{12.5,15,20,30,45,60,75,105,115,150,200,225,250,600,1000},{15,20,30,45,60,75,105,115,150,200,225,250,600,1000,1000})-LOOKUP(M305,{12.5,15,20,30,45,60,75,105,115,150,200,225,250,600},{12.5,15,20,30,45,60,75,105,115,150,200,225,250,600}))*(LOOKUP(M305,{12.5,15,20,30,45,60,75,105,115,150,200,225,250,600,1000},{55,60,62,65,68,70,72,75,80,82,85,87,90,95,95})-LOOKUP(M305,{12.5,15,20,30,45,60,75,105,115,150,200,225,250,600,1000},{50,55,60,62,65,68,70,72,75,80,82,85,87,90,95})))))</f>
        <v>70</v>
      </c>
      <c r="P305" s="2">
        <f t="shared" si="23"/>
        <v>4</v>
      </c>
      <c r="Q305" s="2">
        <f t="shared" si="24"/>
        <v>2</v>
      </c>
    </row>
    <row r="306" customHeight="1" spans="1:17">
      <c r="A306" s="2">
        <v>2026</v>
      </c>
      <c r="B306" s="2">
        <v>305</v>
      </c>
      <c r="C306" s="16">
        <f t="shared" si="22"/>
        <v>71.8</v>
      </c>
      <c r="D306" s="2" t="s">
        <v>575</v>
      </c>
      <c r="E306" s="9">
        <v>73</v>
      </c>
      <c r="F306" s="2">
        <v>49</v>
      </c>
      <c r="G306" s="2">
        <v>49</v>
      </c>
      <c r="H306" s="2" t="s">
        <v>54</v>
      </c>
      <c r="I306" s="2" t="s">
        <v>63</v>
      </c>
      <c r="J306" s="4" t="s">
        <v>140</v>
      </c>
      <c r="M306" s="2">
        <f t="shared" si="20"/>
        <v>20</v>
      </c>
      <c r="N306" s="2">
        <f t="shared" si="21"/>
        <v>65.8</v>
      </c>
      <c r="O306" s="2">
        <f>IF(M306="","",IF(M306&gt;=1000,95,IF(M306&lt;=12.5,50,LOOKUP(M306,{12.5,15,20,30,45,60,75,105,115,150,200,225,250,600,1000},{50,55,60,62,65,68,70,72,75,80,82,85,87,90,95})+(M306-LOOKUP(M306,{12.5,15,20,30,45,60,75,105,115,150,200,225,250,600},{12.5,15,20,30,45,60,75,105,115,150,200,225,250,600}))/(LOOKUP(M306,{12.5,15,20,30,45,60,75,105,115,150,200,225,250,600,1000},{15,20,30,45,60,75,105,115,150,200,225,250,600,1000,1000})-LOOKUP(M306,{12.5,15,20,30,45,60,75,105,115,150,200,225,250,600},{12.5,15,20,30,45,60,75,105,115,150,200,225,250,600}))*(LOOKUP(M306,{12.5,15,20,30,45,60,75,105,115,150,200,225,250,600,1000},{55,60,62,65,68,70,72,75,80,82,85,87,90,95,95})-LOOKUP(M306,{12.5,15,20,30,45,60,75,105,115,150,200,225,250,600,1000},{50,55,60,62,65,68,70,72,75,80,82,85,87,90,95})))))</f>
        <v>60</v>
      </c>
      <c r="P306" s="2">
        <f t="shared" si="23"/>
        <v>13</v>
      </c>
      <c r="Q306" s="2">
        <f t="shared" si="24"/>
        <v>6</v>
      </c>
    </row>
    <row r="307" customHeight="1" spans="1:17">
      <c r="B307" s="2">
        <v>306</v>
      </c>
      <c r="C307" s="16">
        <f t="shared" si="22"/>
        <v>71.73</v>
      </c>
      <c r="D307" s="2" t="s">
        <v>576</v>
      </c>
      <c r="E307" s="9">
        <v>75</v>
      </c>
      <c r="F307" s="10">
        <v>83</v>
      </c>
      <c r="G307" s="8">
        <v>93</v>
      </c>
      <c r="H307" s="2" t="s">
        <v>469</v>
      </c>
      <c r="I307" s="2" t="s">
        <v>577</v>
      </c>
      <c r="J307" s="4" t="s">
        <v>73</v>
      </c>
      <c r="K307" s="2" t="s">
        <v>578</v>
      </c>
      <c r="M307" s="2">
        <f t="shared" si="20"/>
        <v>600</v>
      </c>
      <c r="N307" s="2">
        <f t="shared" si="21"/>
        <v>78.4</v>
      </c>
      <c r="O307" s="2">
        <f>IF(M307="","",IF(M307&gt;=1000,95,IF(M307&lt;=12.5,50,LOOKUP(M307,{12.5,15,20,30,45,60,75,105,115,150,200,225,250,600,1000},{50,55,60,62,65,68,70,72,75,80,82,85,87,90,95})+(M307-LOOKUP(M307,{12.5,15,20,30,45,60,75,105,115,150,200,225,250,600},{12.5,15,20,30,45,60,75,105,115,150,200,225,250,600}))/(LOOKUP(M307,{12.5,15,20,30,45,60,75,105,115,150,200,225,250,600,1000},{15,20,30,45,60,75,105,115,150,200,225,250,600,1000,1000})-LOOKUP(M307,{12.5,15,20,30,45,60,75,105,115,150,200,225,250,600},{12.5,15,20,30,45,60,75,105,115,150,200,225,250,600}))*(LOOKUP(M307,{12.5,15,20,30,45,60,75,105,115,150,200,225,250,600,1000},{55,60,62,65,68,70,72,75,80,82,85,87,90,95,95})-LOOKUP(M307,{12.5,15,20,30,45,60,75,105,115,150,200,225,250,600,1000},{50,55,60,62,65,68,70,72,75,80,82,85,87,90,95})))))</f>
        <v>90</v>
      </c>
      <c r="P307" s="2">
        <f t="shared" si="23"/>
        <v>-15</v>
      </c>
      <c r="Q307" s="2">
        <f t="shared" si="24"/>
        <v>-6.67</v>
      </c>
    </row>
    <row r="308" customHeight="1" spans="1:17">
      <c r="A308" s="2">
        <v>2026</v>
      </c>
      <c r="B308" s="2">
        <v>307</v>
      </c>
      <c r="C308" s="16">
        <f t="shared" si="22"/>
        <v>71.7</v>
      </c>
      <c r="D308" s="2" t="s">
        <v>579</v>
      </c>
      <c r="E308" s="9">
        <v>74</v>
      </c>
      <c r="F308" s="12">
        <v>61</v>
      </c>
      <c r="G308" s="2">
        <v>57</v>
      </c>
      <c r="H308" s="2" t="s">
        <v>54</v>
      </c>
      <c r="I308" s="2" t="s">
        <v>580</v>
      </c>
      <c r="J308" s="4" t="s">
        <v>24</v>
      </c>
      <c r="K308" s="2" t="s">
        <v>581</v>
      </c>
      <c r="M308" s="2">
        <f t="shared" si="20"/>
        <v>75</v>
      </c>
      <c r="N308" s="2">
        <f t="shared" si="21"/>
        <v>69.7</v>
      </c>
      <c r="O308" s="2">
        <f>IF(M308="","",IF(M308&gt;=1000,95,IF(M308&lt;=12.5,50,LOOKUP(M308,{12.5,15,20,30,45,60,75,105,115,150,200,225,250,600,1000},{50,55,60,62,65,68,70,72,75,80,82,85,87,90,95})+(M308-LOOKUP(M308,{12.5,15,20,30,45,60,75,105,115,150,200,225,250,600},{12.5,15,20,30,45,60,75,105,115,150,200,225,250,600}))/(LOOKUP(M308,{12.5,15,20,30,45,60,75,105,115,150,200,225,250,600,1000},{15,20,30,45,60,75,105,115,150,200,225,250,600,1000,1000})-LOOKUP(M308,{12.5,15,20,30,45,60,75,105,115,150,200,225,250,600},{12.5,15,20,30,45,60,75,105,115,150,200,225,250,600}))*(LOOKUP(M308,{12.5,15,20,30,45,60,75,105,115,150,200,225,250,600,1000},{55,60,62,65,68,70,72,75,80,82,85,87,90,95,95})-LOOKUP(M308,{12.5,15,20,30,45,60,75,105,115,150,200,225,250,600,1000},{50,55,60,62,65,68,70,72,75,80,82,85,87,90,95})))))</f>
        <v>70</v>
      </c>
      <c r="P308" s="2">
        <f t="shared" si="23"/>
        <v>4</v>
      </c>
      <c r="Q308" s="2">
        <f t="shared" si="24"/>
        <v>2</v>
      </c>
    </row>
    <row r="309" customHeight="1" spans="1:17">
      <c r="A309" s="2">
        <v>2026</v>
      </c>
      <c r="B309" s="2">
        <v>308</v>
      </c>
      <c r="C309" s="16">
        <f t="shared" si="22"/>
        <v>71.7</v>
      </c>
      <c r="D309" s="2" t="s">
        <v>582</v>
      </c>
      <c r="E309" s="12">
        <v>69</v>
      </c>
      <c r="F309" s="12">
        <v>69</v>
      </c>
      <c r="G309" s="2">
        <v>51</v>
      </c>
      <c r="H309" s="2" t="s">
        <v>378</v>
      </c>
      <c r="I309" s="2" t="s">
        <v>28</v>
      </c>
      <c r="J309" s="4" t="s">
        <v>140</v>
      </c>
      <c r="M309" s="2">
        <f t="shared" si="20"/>
        <v>20</v>
      </c>
      <c r="N309" s="2">
        <f t="shared" si="21"/>
        <v>67.2</v>
      </c>
      <c r="O309" s="2">
        <f>IF(M309="","",IF(M309&gt;=1000,95,IF(M309&lt;=12.5,50,LOOKUP(M309,{12.5,15,20,30,45,60,75,105,115,150,200,225,250,600,1000},{50,55,60,62,65,68,70,72,75,80,82,85,87,90,95})+(M309-LOOKUP(M309,{12.5,15,20,30,45,60,75,105,115,150,200,225,250,600},{12.5,15,20,30,45,60,75,105,115,150,200,225,250,600}))/(LOOKUP(M309,{12.5,15,20,30,45,60,75,105,115,150,200,225,250,600,1000},{15,20,30,45,60,75,105,115,150,200,225,250,600,1000,1000})-LOOKUP(M309,{12.5,15,20,30,45,60,75,105,115,150,200,225,250,600},{12.5,15,20,30,45,60,75,105,115,150,200,225,250,600}))*(LOOKUP(M309,{12.5,15,20,30,45,60,75,105,115,150,200,225,250,600,1000},{55,60,62,65,68,70,72,75,80,82,85,87,90,95,95})-LOOKUP(M309,{12.5,15,20,30,45,60,75,105,115,150,200,225,250,600,1000},{50,55,60,62,65,68,70,72,75,80,82,85,87,90,95})))))</f>
        <v>60</v>
      </c>
      <c r="P309" s="2">
        <f t="shared" si="23"/>
        <v>9</v>
      </c>
      <c r="Q309" s="2">
        <f t="shared" si="24"/>
        <v>4.5</v>
      </c>
    </row>
    <row r="310" customHeight="1" spans="1:17">
      <c r="B310" s="2">
        <v>309</v>
      </c>
      <c r="C310" s="16">
        <f t="shared" si="22"/>
        <v>71.63</v>
      </c>
      <c r="D310" s="2" t="s">
        <v>583</v>
      </c>
      <c r="E310" s="9">
        <v>71</v>
      </c>
      <c r="F310" s="12">
        <v>64</v>
      </c>
      <c r="G310" s="2">
        <v>38</v>
      </c>
      <c r="H310" s="2" t="s">
        <v>480</v>
      </c>
      <c r="I310" s="2" t="s">
        <v>28</v>
      </c>
      <c r="J310" s="4" t="s">
        <v>140</v>
      </c>
      <c r="K310" s="2" t="s">
        <v>584</v>
      </c>
      <c r="M310" s="2">
        <f t="shared" si="20"/>
        <v>20</v>
      </c>
      <c r="N310" s="2">
        <f t="shared" si="21"/>
        <v>66.3</v>
      </c>
      <c r="O310" s="2">
        <f>IF(M310="","",IF(M310&gt;=1000,95,IF(M310&lt;=12.5,50,LOOKUP(M310,{12.5,15,20,30,45,60,75,105,115,150,200,225,250,600,1000},{50,55,60,62,65,68,70,72,75,80,82,85,87,90,95})+(M310-LOOKUP(M310,{12.5,15,20,30,45,60,75,105,115,150,200,225,250,600},{12.5,15,20,30,45,60,75,105,115,150,200,225,250,600}))/(LOOKUP(M310,{12.5,15,20,30,45,60,75,105,115,150,200,225,250,600,1000},{15,20,30,45,60,75,105,115,150,200,225,250,600,1000,1000})-LOOKUP(M310,{12.5,15,20,30,45,60,75,105,115,150,200,225,250,600},{12.5,15,20,30,45,60,75,105,115,150,200,225,250,600}))*(LOOKUP(M310,{12.5,15,20,30,45,60,75,105,115,150,200,225,250,600,1000},{55,60,62,65,68,70,72,75,80,82,85,87,90,95,95})-LOOKUP(M310,{12.5,15,20,30,45,60,75,105,115,150,200,225,250,600,1000},{50,55,60,62,65,68,70,72,75,80,82,85,87,90,95})))))</f>
        <v>60</v>
      </c>
      <c r="P310" s="2">
        <f t="shared" si="23"/>
        <v>11</v>
      </c>
      <c r="Q310" s="2">
        <f t="shared" si="24"/>
        <v>5.33</v>
      </c>
    </row>
    <row r="311" customHeight="1" spans="1:17">
      <c r="A311" s="2">
        <v>2026</v>
      </c>
      <c r="B311" s="2">
        <v>310</v>
      </c>
      <c r="C311" s="16">
        <f t="shared" si="22"/>
        <v>71.6</v>
      </c>
      <c r="D311" s="2" t="s">
        <v>585</v>
      </c>
      <c r="E311" s="9">
        <v>70</v>
      </c>
      <c r="F311" s="12">
        <v>65</v>
      </c>
      <c r="G311" s="2">
        <v>56</v>
      </c>
      <c r="H311" s="2" t="s">
        <v>54</v>
      </c>
      <c r="I311" s="2" t="s">
        <v>586</v>
      </c>
      <c r="J311" s="4" t="s">
        <v>88</v>
      </c>
      <c r="M311" s="2">
        <f t="shared" si="20"/>
        <v>30</v>
      </c>
      <c r="N311" s="2">
        <f t="shared" si="21"/>
        <v>67.6</v>
      </c>
      <c r="O311" s="2">
        <f>IF(M311="","",IF(M311&gt;=1000,95,IF(M311&lt;=12.5,50,LOOKUP(M311,{12.5,15,20,30,45,60,75,105,115,150,200,225,250,600,1000},{50,55,60,62,65,68,70,72,75,80,82,85,87,90,95})+(M311-LOOKUP(M311,{12.5,15,20,30,45,60,75,105,115,150,200,225,250,600},{12.5,15,20,30,45,60,75,105,115,150,200,225,250,600}))/(LOOKUP(M311,{12.5,15,20,30,45,60,75,105,115,150,200,225,250,600,1000},{15,20,30,45,60,75,105,115,150,200,225,250,600,1000,1000})-LOOKUP(M311,{12.5,15,20,30,45,60,75,105,115,150,200,225,250,600},{12.5,15,20,30,45,60,75,105,115,150,200,225,250,600}))*(LOOKUP(M311,{12.5,15,20,30,45,60,75,105,115,150,200,225,250,600,1000},{55,60,62,65,68,70,72,75,80,82,85,87,90,95,95})-LOOKUP(M311,{12.5,15,20,30,45,60,75,105,115,150,200,225,250,600,1000},{50,55,60,62,65,68,70,72,75,80,82,85,87,90,95})))))</f>
        <v>62</v>
      </c>
      <c r="P311" s="2">
        <f t="shared" si="23"/>
        <v>8</v>
      </c>
      <c r="Q311" s="2">
        <f t="shared" si="24"/>
        <v>4</v>
      </c>
    </row>
    <row r="312" customHeight="1" spans="1:17">
      <c r="A312" s="2">
        <v>2026</v>
      </c>
      <c r="B312" s="2">
        <v>311</v>
      </c>
      <c r="C312" s="16">
        <f t="shared" si="22"/>
        <v>71.6</v>
      </c>
      <c r="D312" s="2" t="s">
        <v>587</v>
      </c>
      <c r="E312" s="2">
        <v>71</v>
      </c>
      <c r="F312" s="2">
        <v>81</v>
      </c>
      <c r="G312" s="2">
        <v>62</v>
      </c>
      <c r="H312" s="2" t="s">
        <v>41</v>
      </c>
      <c r="I312" s="2" t="s">
        <v>50</v>
      </c>
      <c r="J312" s="4" t="s">
        <v>105</v>
      </c>
      <c r="M312" s="2">
        <f t="shared" si="20"/>
        <v>105</v>
      </c>
      <c r="N312" s="2">
        <f t="shared" si="21"/>
        <v>72.1</v>
      </c>
      <c r="O312" s="2">
        <f>IF(M312="","",IF(M312&gt;=1000,95,IF(M312&lt;=12.5,50,LOOKUP(M312,{12.5,15,20,30,45,60,75,105,115,150,200,225,250,600,1000},{50,55,60,62,65,68,70,72,75,80,82,85,87,90,95})+(M312-LOOKUP(M312,{12.5,15,20,30,45,60,75,105,115,150,200,225,250,600},{12.5,15,20,30,45,60,75,105,115,150,200,225,250,600}))/(LOOKUP(M312,{12.5,15,20,30,45,60,75,105,115,150,200,225,250,600,1000},{15,20,30,45,60,75,105,115,150,200,225,250,600,1000,1000})-LOOKUP(M312,{12.5,15,20,30,45,60,75,105,115,150,200,225,250,600},{12.5,15,20,30,45,60,75,105,115,150,200,225,250,600}))*(LOOKUP(M312,{12.5,15,20,30,45,60,75,105,115,150,200,225,250,600,1000},{55,60,62,65,68,70,72,75,80,82,85,87,90,95,95})-LOOKUP(M312,{12.5,15,20,30,45,60,75,105,115,150,200,225,250,600,1000},{50,55,60,62,65,68,70,72,75,80,82,85,87,90,95})))))</f>
        <v>72</v>
      </c>
      <c r="P312" s="2">
        <f t="shared" si="23"/>
        <v>-1</v>
      </c>
      <c r="Q312" s="2">
        <f t="shared" si="24"/>
        <v>-0.5</v>
      </c>
    </row>
    <row r="313" customHeight="1" spans="1:17">
      <c r="B313" s="2">
        <v>312</v>
      </c>
      <c r="C313" s="16">
        <f t="shared" si="22"/>
        <v>71.6</v>
      </c>
      <c r="D313" s="2" t="s">
        <v>588</v>
      </c>
      <c r="E313" s="9">
        <v>72</v>
      </c>
      <c r="F313" s="9">
        <v>77</v>
      </c>
      <c r="G313" s="9">
        <v>73</v>
      </c>
      <c r="H313" s="2" t="s">
        <v>37</v>
      </c>
      <c r="I313" s="2" t="s">
        <v>589</v>
      </c>
      <c r="J313" s="4" t="s">
        <v>148</v>
      </c>
      <c r="M313" s="2">
        <f t="shared" si="20"/>
        <v>115</v>
      </c>
      <c r="N313" s="2">
        <f t="shared" si="21"/>
        <v>73.1</v>
      </c>
      <c r="O313" s="2">
        <f>IF(M313="","",IF(M313&gt;=1000,95,IF(M313&lt;=12.5,50,LOOKUP(M313,{12.5,15,20,30,45,60,75,105,115,150,200,225,250,600,1000},{50,55,60,62,65,68,70,72,75,80,82,85,87,90,95})+(M313-LOOKUP(M313,{12.5,15,20,30,45,60,75,105,115,150,200,225,250,600},{12.5,15,20,30,45,60,75,105,115,150,200,225,250,600}))/(LOOKUP(M313,{12.5,15,20,30,45,60,75,105,115,150,200,225,250,600,1000},{15,20,30,45,60,75,105,115,150,200,225,250,600,1000,1000})-LOOKUP(M313,{12.5,15,20,30,45,60,75,105,115,150,200,225,250,600},{12.5,15,20,30,45,60,75,105,115,150,200,225,250,600}))*(LOOKUP(M313,{12.5,15,20,30,45,60,75,105,115,150,200,225,250,600,1000},{55,60,62,65,68,70,72,75,80,82,85,87,90,95,95})-LOOKUP(M313,{12.5,15,20,30,45,60,75,105,115,150,200,225,250,600,1000},{50,55,60,62,65,68,70,72,75,80,82,85,87,90,95})))))</f>
        <v>75</v>
      </c>
      <c r="P313" s="2">
        <f t="shared" si="23"/>
        <v>-3</v>
      </c>
      <c r="Q313" s="2">
        <f t="shared" si="24"/>
        <v>-1.5</v>
      </c>
    </row>
    <row r="314" customHeight="1" spans="1:17">
      <c r="B314" s="2">
        <v>313</v>
      </c>
      <c r="C314" s="16">
        <f t="shared" si="22"/>
        <v>71.57</v>
      </c>
      <c r="D314" s="2" t="s">
        <v>590</v>
      </c>
      <c r="E314" s="9">
        <v>70</v>
      </c>
      <c r="F314" s="2">
        <v>52</v>
      </c>
      <c r="G314" s="2">
        <v>55</v>
      </c>
      <c r="H314" s="2" t="s">
        <v>591</v>
      </c>
      <c r="I314" s="2" t="s">
        <v>592</v>
      </c>
      <c r="J314" s="4" t="s">
        <v>29</v>
      </c>
      <c r="K314" s="2" t="s">
        <v>593</v>
      </c>
      <c r="M314" s="2">
        <f t="shared" si="20"/>
        <v>15</v>
      </c>
      <c r="N314" s="2">
        <f t="shared" si="21"/>
        <v>64.9</v>
      </c>
      <c r="O314" s="2">
        <f>IF(M314="","",IF(M314&gt;=1000,95,IF(M314&lt;=12.5,50,LOOKUP(M314,{12.5,15,20,30,45,60,75,105,115,150,200,225,250,600,1000},{50,55,60,62,65,68,70,72,75,80,82,85,87,90,95})+(M314-LOOKUP(M314,{12.5,15,20,30,45,60,75,105,115,150,200,225,250,600},{12.5,15,20,30,45,60,75,105,115,150,200,225,250,600}))/(LOOKUP(M314,{12.5,15,20,30,45,60,75,105,115,150,200,225,250,600,1000},{15,20,30,45,60,75,105,115,150,200,225,250,600,1000,1000})-LOOKUP(M314,{12.5,15,20,30,45,60,75,105,115,150,200,225,250,600},{12.5,15,20,30,45,60,75,105,115,150,200,225,250,600}))*(LOOKUP(M314,{12.5,15,20,30,45,60,75,105,115,150,200,225,250,600,1000},{55,60,62,65,68,70,72,75,80,82,85,87,90,95,95})-LOOKUP(M314,{12.5,15,20,30,45,60,75,105,115,150,200,225,250,600,1000},{50,55,60,62,65,68,70,72,75,80,82,85,87,90,95})))))</f>
        <v>55</v>
      </c>
      <c r="P314" s="2">
        <f t="shared" si="23"/>
        <v>15</v>
      </c>
      <c r="Q314" s="2">
        <f t="shared" si="24"/>
        <v>6.67</v>
      </c>
    </row>
    <row r="315" customHeight="1" spans="1:17">
      <c r="A315" s="2">
        <v>2026</v>
      </c>
      <c r="B315" s="2">
        <v>314</v>
      </c>
      <c r="C315" s="16">
        <f t="shared" si="22"/>
        <v>71.5</v>
      </c>
      <c r="D315" s="2" t="s">
        <v>594</v>
      </c>
      <c r="E315" s="9">
        <v>73</v>
      </c>
      <c r="F315" s="2">
        <v>57</v>
      </c>
      <c r="G315" s="2">
        <v>50</v>
      </c>
      <c r="H315" s="2" t="s">
        <v>264</v>
      </c>
      <c r="I315" s="2" t="s">
        <v>28</v>
      </c>
      <c r="J315" s="4" t="s">
        <v>38</v>
      </c>
      <c r="M315" s="2">
        <f t="shared" si="20"/>
        <v>45</v>
      </c>
      <c r="N315" s="2">
        <f t="shared" si="21"/>
        <v>67.5</v>
      </c>
      <c r="O315" s="2">
        <f>IF(M315="","",IF(M315&gt;=1000,95,IF(M315&lt;=12.5,50,LOOKUP(M315,{12.5,15,20,30,45,60,75,105,115,150,200,225,250,600,1000},{50,55,60,62,65,68,70,72,75,80,82,85,87,90,95})+(M315-LOOKUP(M315,{12.5,15,20,30,45,60,75,105,115,150,200,225,250,600},{12.5,15,20,30,45,60,75,105,115,150,200,225,250,600}))/(LOOKUP(M315,{12.5,15,20,30,45,60,75,105,115,150,200,225,250,600,1000},{15,20,30,45,60,75,105,115,150,200,225,250,600,1000,1000})-LOOKUP(M315,{12.5,15,20,30,45,60,75,105,115,150,200,225,250,600},{12.5,15,20,30,45,60,75,105,115,150,200,225,250,600}))*(LOOKUP(M315,{12.5,15,20,30,45,60,75,105,115,150,200,225,250,600,1000},{55,60,62,65,68,70,72,75,80,82,85,87,90,95,95})-LOOKUP(M315,{12.5,15,20,30,45,60,75,105,115,150,200,225,250,600,1000},{50,55,60,62,65,68,70,72,75,80,82,85,87,90,95})))))</f>
        <v>65</v>
      </c>
      <c r="P315" s="2">
        <f t="shared" si="23"/>
        <v>8</v>
      </c>
      <c r="Q315" s="2">
        <f t="shared" si="24"/>
        <v>4</v>
      </c>
    </row>
    <row r="316" customHeight="1" spans="1:17">
      <c r="B316" s="2">
        <v>315</v>
      </c>
      <c r="C316" s="16">
        <f t="shared" si="22"/>
        <v>71.5</v>
      </c>
      <c r="D316" s="2" t="s">
        <v>595</v>
      </c>
      <c r="E316" s="9">
        <v>75</v>
      </c>
      <c r="F316" s="2">
        <v>50</v>
      </c>
      <c r="G316" s="2">
        <v>40</v>
      </c>
      <c r="H316" s="2" t="s">
        <v>66</v>
      </c>
      <c r="I316" s="2" t="s">
        <v>63</v>
      </c>
      <c r="J316" s="4" t="s">
        <v>38</v>
      </c>
      <c r="M316" s="2">
        <f t="shared" si="20"/>
        <v>45</v>
      </c>
      <c r="N316" s="2">
        <f t="shared" si="21"/>
        <v>66.5</v>
      </c>
      <c r="O316" s="2">
        <f>IF(M316="","",IF(M316&gt;=1000,95,IF(M316&lt;=12.5,50,LOOKUP(M316,{12.5,15,20,30,45,60,75,105,115,150,200,225,250,600,1000},{50,55,60,62,65,68,70,72,75,80,82,85,87,90,95})+(M316-LOOKUP(M316,{12.5,15,20,30,45,60,75,105,115,150,200,225,250,600},{12.5,15,20,30,45,60,75,105,115,150,200,225,250,600}))/(LOOKUP(M316,{12.5,15,20,30,45,60,75,105,115,150,200,225,250,600,1000},{15,20,30,45,60,75,105,115,150,200,225,250,600,1000,1000})-LOOKUP(M316,{12.5,15,20,30,45,60,75,105,115,150,200,225,250,600},{12.5,15,20,30,45,60,75,105,115,150,200,225,250,600}))*(LOOKUP(M316,{12.5,15,20,30,45,60,75,105,115,150,200,225,250,600,1000},{55,60,62,65,68,70,72,75,80,82,85,87,90,95,95})-LOOKUP(M316,{12.5,15,20,30,45,60,75,105,115,150,200,225,250,600,1000},{50,55,60,62,65,68,70,72,75,80,82,85,87,90,95})))))</f>
        <v>65</v>
      </c>
      <c r="P316" s="2">
        <f t="shared" si="23"/>
        <v>10</v>
      </c>
      <c r="Q316" s="2">
        <f t="shared" si="24"/>
        <v>5</v>
      </c>
    </row>
    <row r="317" customHeight="1" spans="1:17">
      <c r="B317" s="2">
        <v>316</v>
      </c>
      <c r="C317" s="16">
        <f t="shared" si="22"/>
        <v>71.47</v>
      </c>
      <c r="D317" s="2" t="s">
        <v>596</v>
      </c>
      <c r="E317" s="9">
        <v>70</v>
      </c>
      <c r="F317" s="2">
        <v>54</v>
      </c>
      <c r="G317" s="2">
        <v>50</v>
      </c>
      <c r="H317" s="2" t="s">
        <v>480</v>
      </c>
      <c r="I317" s="2" t="s">
        <v>28</v>
      </c>
      <c r="J317" s="4" t="s">
        <v>29</v>
      </c>
      <c r="M317" s="2">
        <f t="shared" si="20"/>
        <v>15</v>
      </c>
      <c r="N317" s="2">
        <f t="shared" si="21"/>
        <v>64.8</v>
      </c>
      <c r="O317" s="2">
        <f>IF(M317="","",IF(M317&gt;=1000,95,IF(M317&lt;=12.5,50,LOOKUP(M317,{12.5,15,20,30,45,60,75,105,115,150,200,225,250,600,1000},{50,55,60,62,65,68,70,72,75,80,82,85,87,90,95})+(M317-LOOKUP(M317,{12.5,15,20,30,45,60,75,105,115,150,200,225,250,600},{12.5,15,20,30,45,60,75,105,115,150,200,225,250,600}))/(LOOKUP(M317,{12.5,15,20,30,45,60,75,105,115,150,200,225,250,600,1000},{15,20,30,45,60,75,105,115,150,200,225,250,600,1000,1000})-LOOKUP(M317,{12.5,15,20,30,45,60,75,105,115,150,200,225,250,600},{12.5,15,20,30,45,60,75,105,115,150,200,225,250,600}))*(LOOKUP(M317,{12.5,15,20,30,45,60,75,105,115,150,200,225,250,600,1000},{55,60,62,65,68,70,72,75,80,82,85,87,90,95,95})-LOOKUP(M317,{12.5,15,20,30,45,60,75,105,115,150,200,225,250,600,1000},{50,55,60,62,65,68,70,72,75,80,82,85,87,90,95})))))</f>
        <v>55</v>
      </c>
      <c r="P317" s="2">
        <f t="shared" si="23"/>
        <v>15</v>
      </c>
      <c r="Q317" s="2">
        <f t="shared" si="24"/>
        <v>6.67</v>
      </c>
    </row>
    <row r="318" customHeight="1" spans="1:17">
      <c r="B318" s="2">
        <v>317</v>
      </c>
      <c r="C318" s="16">
        <f t="shared" si="22"/>
        <v>71.43</v>
      </c>
      <c r="D318" s="2" t="s">
        <v>597</v>
      </c>
      <c r="E318" s="9">
        <v>71</v>
      </c>
      <c r="F318" s="2">
        <v>55</v>
      </c>
      <c r="G318" s="2">
        <v>54</v>
      </c>
      <c r="H318" s="2" t="s">
        <v>17</v>
      </c>
      <c r="I318" s="2" t="s">
        <v>28</v>
      </c>
      <c r="J318" s="4" t="s">
        <v>140</v>
      </c>
      <c r="M318" s="2">
        <f t="shared" si="20"/>
        <v>20</v>
      </c>
      <c r="N318" s="2">
        <f t="shared" si="21"/>
        <v>66.1</v>
      </c>
      <c r="O318" s="2">
        <f>IF(M318="","",IF(M318&gt;=1000,95,IF(M318&lt;=12.5,50,LOOKUP(M318,{12.5,15,20,30,45,60,75,105,115,150,200,225,250,600,1000},{50,55,60,62,65,68,70,72,75,80,82,85,87,90,95})+(M318-LOOKUP(M318,{12.5,15,20,30,45,60,75,105,115,150,200,225,250,600},{12.5,15,20,30,45,60,75,105,115,150,200,225,250,600}))/(LOOKUP(M318,{12.5,15,20,30,45,60,75,105,115,150,200,225,250,600,1000},{15,20,30,45,60,75,105,115,150,200,225,250,600,1000,1000})-LOOKUP(M318,{12.5,15,20,30,45,60,75,105,115,150,200,225,250,600},{12.5,15,20,30,45,60,75,105,115,150,200,225,250,600}))*(LOOKUP(M318,{12.5,15,20,30,45,60,75,105,115,150,200,225,250,600,1000},{55,60,62,65,68,70,72,75,80,82,85,87,90,95,95})-LOOKUP(M318,{12.5,15,20,30,45,60,75,105,115,150,200,225,250,600,1000},{50,55,60,62,65,68,70,72,75,80,82,85,87,90,95})))))</f>
        <v>60</v>
      </c>
      <c r="P318" s="2">
        <f t="shared" si="23"/>
        <v>11</v>
      </c>
      <c r="Q318" s="2">
        <f t="shared" si="24"/>
        <v>5.33</v>
      </c>
    </row>
    <row r="319" customHeight="1" spans="1:17">
      <c r="A319" s="2">
        <v>2026</v>
      </c>
      <c r="B319" s="2">
        <v>318</v>
      </c>
      <c r="C319" s="16">
        <f t="shared" si="22"/>
        <v>71.4</v>
      </c>
      <c r="D319" s="2" t="s">
        <v>598</v>
      </c>
      <c r="E319" s="2">
        <v>72</v>
      </c>
      <c r="F319" s="2">
        <v>62</v>
      </c>
      <c r="G319" s="2">
        <v>36</v>
      </c>
      <c r="H319" s="2" t="s">
        <v>54</v>
      </c>
      <c r="I319" s="2" t="s">
        <v>104</v>
      </c>
      <c r="J319" s="4" t="s">
        <v>88</v>
      </c>
      <c r="M319" s="2">
        <f t="shared" si="20"/>
        <v>30</v>
      </c>
      <c r="N319" s="2">
        <f t="shared" si="21"/>
        <v>66.4</v>
      </c>
      <c r="O319" s="2">
        <f>IF(M319="","",IF(M319&gt;=1000,95,IF(M319&lt;=12.5,50,LOOKUP(M319,{12.5,15,20,30,45,60,75,105,115,150,200,225,250,600,1000},{50,55,60,62,65,68,70,72,75,80,82,85,87,90,95})+(M319-LOOKUP(M319,{12.5,15,20,30,45,60,75,105,115,150,200,225,250,600},{12.5,15,20,30,45,60,75,105,115,150,200,225,250,600}))/(LOOKUP(M319,{12.5,15,20,30,45,60,75,105,115,150,200,225,250,600,1000},{15,20,30,45,60,75,105,115,150,200,225,250,600,1000,1000})-LOOKUP(M319,{12.5,15,20,30,45,60,75,105,115,150,200,225,250,600},{12.5,15,20,30,45,60,75,105,115,150,200,225,250,600}))*(LOOKUP(M319,{12.5,15,20,30,45,60,75,105,115,150,200,225,250,600,1000},{55,60,62,65,68,70,72,75,80,82,85,87,90,95,95})-LOOKUP(M319,{12.5,15,20,30,45,60,75,105,115,150,200,225,250,600,1000},{50,55,60,62,65,68,70,72,75,80,82,85,87,90,95})))))</f>
        <v>62</v>
      </c>
      <c r="P319" s="2">
        <f t="shared" si="23"/>
        <v>10</v>
      </c>
      <c r="Q319" s="2">
        <f t="shared" si="24"/>
        <v>5</v>
      </c>
    </row>
    <row r="320" customHeight="1" spans="1:17">
      <c r="B320" s="2">
        <v>319</v>
      </c>
      <c r="C320" s="16">
        <f t="shared" si="22"/>
        <v>71.4</v>
      </c>
      <c r="D320" s="2" t="s">
        <v>599</v>
      </c>
      <c r="E320" s="9">
        <v>74</v>
      </c>
      <c r="F320" s="10">
        <v>88</v>
      </c>
      <c r="G320" s="8">
        <v>90</v>
      </c>
      <c r="H320" s="2" t="s">
        <v>600</v>
      </c>
      <c r="I320" s="2" t="s">
        <v>159</v>
      </c>
      <c r="J320" s="4" t="s">
        <v>73</v>
      </c>
      <c r="M320" s="2">
        <f t="shared" si="20"/>
        <v>600</v>
      </c>
      <c r="N320" s="2">
        <f t="shared" si="21"/>
        <v>78.4</v>
      </c>
      <c r="O320" s="2">
        <f>IF(M320="","",IF(M320&gt;=1000,95,IF(M320&lt;=12.5,50,LOOKUP(M320,{12.5,15,20,30,45,60,75,105,115,150,200,225,250,600,1000},{50,55,60,62,65,68,70,72,75,80,82,85,87,90,95})+(M320-LOOKUP(M320,{12.5,15,20,30,45,60,75,105,115,150,200,225,250,600},{12.5,15,20,30,45,60,75,105,115,150,200,225,250,600}))/(LOOKUP(M320,{12.5,15,20,30,45,60,75,105,115,150,200,225,250,600,1000},{15,20,30,45,60,75,105,115,150,200,225,250,600,1000,1000})-LOOKUP(M320,{12.5,15,20,30,45,60,75,105,115,150,200,225,250,600},{12.5,15,20,30,45,60,75,105,115,150,200,225,250,600}))*(LOOKUP(M320,{12.5,15,20,30,45,60,75,105,115,150,200,225,250,600,1000},{55,60,62,65,68,70,72,75,80,82,85,87,90,95,95})-LOOKUP(M320,{12.5,15,20,30,45,60,75,105,115,150,200,225,250,600,1000},{50,55,60,62,65,68,70,72,75,80,82,85,87,90,95})))))</f>
        <v>90</v>
      </c>
      <c r="P320" s="2">
        <f t="shared" si="23"/>
        <v>-16</v>
      </c>
      <c r="Q320" s="2">
        <f t="shared" si="24"/>
        <v>-7</v>
      </c>
    </row>
    <row r="321" customHeight="1" spans="1:17">
      <c r="B321" s="2">
        <v>320</v>
      </c>
      <c r="C321" s="16">
        <f t="shared" si="22"/>
        <v>71.4</v>
      </c>
      <c r="D321" s="2" t="s">
        <v>601</v>
      </c>
      <c r="E321" s="9">
        <v>70</v>
      </c>
      <c r="F321" s="9">
        <v>75</v>
      </c>
      <c r="G321" s="9">
        <v>74</v>
      </c>
      <c r="H321" s="2" t="s">
        <v>91</v>
      </c>
      <c r="I321" s="2" t="s">
        <v>58</v>
      </c>
      <c r="J321" s="4" t="s">
        <v>24</v>
      </c>
      <c r="M321" s="2">
        <f t="shared" si="20"/>
        <v>75</v>
      </c>
      <c r="N321" s="2">
        <f t="shared" si="21"/>
        <v>71.4</v>
      </c>
      <c r="O321" s="2">
        <f>IF(M321="","",IF(M321&gt;=1000,95,IF(M321&lt;=12.5,50,LOOKUP(M321,{12.5,15,20,30,45,60,75,105,115,150,200,225,250,600,1000},{50,55,60,62,65,68,70,72,75,80,82,85,87,90,95})+(M321-LOOKUP(M321,{12.5,15,20,30,45,60,75,105,115,150,200,225,250,600},{12.5,15,20,30,45,60,75,105,115,150,200,225,250,600}))/(LOOKUP(M321,{12.5,15,20,30,45,60,75,105,115,150,200,225,250,600,1000},{15,20,30,45,60,75,105,115,150,200,225,250,600,1000,1000})-LOOKUP(M321,{12.5,15,20,30,45,60,75,105,115,150,200,225,250,600},{12.5,15,20,30,45,60,75,105,115,150,200,225,250,600}))*(LOOKUP(M321,{12.5,15,20,30,45,60,75,105,115,150,200,225,250,600,1000},{55,60,62,65,68,70,72,75,80,82,85,87,90,95,95})-LOOKUP(M321,{12.5,15,20,30,45,60,75,105,115,150,200,225,250,600,1000},{50,55,60,62,65,68,70,72,75,80,82,85,87,90,95})))))</f>
        <v>70</v>
      </c>
      <c r="P321" s="2">
        <f t="shared" si="23"/>
        <v>0</v>
      </c>
      <c r="Q321" s="2">
        <f t="shared" si="24"/>
        <v>0</v>
      </c>
    </row>
    <row r="322" customHeight="1" spans="1:17">
      <c r="B322" s="2">
        <v>321</v>
      </c>
      <c r="C322" s="16">
        <f t="shared" si="22"/>
        <v>71.4</v>
      </c>
      <c r="D322" s="2" t="s">
        <v>602</v>
      </c>
      <c r="E322" s="9">
        <v>77</v>
      </c>
      <c r="F322" s="9">
        <v>78</v>
      </c>
      <c r="G322" s="9">
        <v>79</v>
      </c>
      <c r="H322" s="2" t="s">
        <v>41</v>
      </c>
      <c r="I322" s="2" t="s">
        <v>50</v>
      </c>
      <c r="J322" s="4" t="s">
        <v>73</v>
      </c>
      <c r="M322" s="2">
        <f t="shared" ref="M322:M385" si="25">IF(J322="1000+",1000,(LEFT(J322,FIND("-",J322)-1)+RIGHT(J322,LEN(J322)-FIND("-",J322)))/2)</f>
        <v>600</v>
      </c>
      <c r="N322" s="2">
        <f t="shared" ref="N322:N385" si="26">ROUND(E322*0.7+F322*0.2+G322*0.1,2)</f>
        <v>77.4</v>
      </c>
      <c r="O322" s="2">
        <f>IF(M322="","",IF(M322&gt;=1000,95,IF(M322&lt;=12.5,50,LOOKUP(M322,{12.5,15,20,30,45,60,75,105,115,150,200,225,250,600,1000},{50,55,60,62,65,68,70,72,75,80,82,85,87,90,95})+(M322-LOOKUP(M322,{12.5,15,20,30,45,60,75,105,115,150,200,225,250,600},{12.5,15,20,30,45,60,75,105,115,150,200,225,250,600}))/(LOOKUP(M322,{12.5,15,20,30,45,60,75,105,115,150,200,225,250,600,1000},{15,20,30,45,60,75,105,115,150,200,225,250,600,1000,1000})-LOOKUP(M322,{12.5,15,20,30,45,60,75,105,115,150,200,225,250,600},{12.5,15,20,30,45,60,75,105,115,150,200,225,250,600}))*(LOOKUP(M322,{12.5,15,20,30,45,60,75,105,115,150,200,225,250,600,1000},{55,60,62,65,68,70,72,75,80,82,85,87,90,95,95})-LOOKUP(M322,{12.5,15,20,30,45,60,75,105,115,150,200,225,250,600,1000},{50,55,60,62,65,68,70,72,75,80,82,85,87,90,95})))))</f>
        <v>90</v>
      </c>
      <c r="P322" s="2">
        <f t="shared" si="23"/>
        <v>-13</v>
      </c>
      <c r="Q322" s="2">
        <f t="shared" si="24"/>
        <v>-6</v>
      </c>
    </row>
    <row r="323" customHeight="1" spans="1:17">
      <c r="B323" s="2">
        <v>322</v>
      </c>
      <c r="C323" s="16">
        <f t="shared" si="22"/>
        <v>71.4</v>
      </c>
      <c r="D323" s="2" t="s">
        <v>603</v>
      </c>
      <c r="E323" s="9">
        <v>76</v>
      </c>
      <c r="F323" s="9">
        <v>77</v>
      </c>
      <c r="G323" s="9">
        <v>73</v>
      </c>
      <c r="H323" s="2" t="s">
        <v>347</v>
      </c>
      <c r="I323" s="2" t="s">
        <v>604</v>
      </c>
      <c r="J323" s="4" t="s">
        <v>19</v>
      </c>
      <c r="K323" s="2" t="s">
        <v>605</v>
      </c>
      <c r="M323" s="2">
        <f t="shared" si="25"/>
        <v>225</v>
      </c>
      <c r="N323" s="2">
        <f t="shared" si="26"/>
        <v>75.9</v>
      </c>
      <c r="O323" s="2">
        <f>IF(M323="","",IF(M323&gt;=1000,95,IF(M323&lt;=12.5,50,LOOKUP(M323,{12.5,15,20,30,45,60,75,105,115,150,200,225,250,600,1000},{50,55,60,62,65,68,70,72,75,80,82,85,87,90,95})+(M323-LOOKUP(M323,{12.5,15,20,30,45,60,75,105,115,150,200,225,250,600},{12.5,15,20,30,45,60,75,105,115,150,200,225,250,600}))/(LOOKUP(M323,{12.5,15,20,30,45,60,75,105,115,150,200,225,250,600,1000},{15,20,30,45,60,75,105,115,150,200,225,250,600,1000,1000})-LOOKUP(M323,{12.5,15,20,30,45,60,75,105,115,150,200,225,250,600},{12.5,15,20,30,45,60,75,105,115,150,200,225,250,600}))*(LOOKUP(M323,{12.5,15,20,30,45,60,75,105,115,150,200,225,250,600,1000},{55,60,62,65,68,70,72,75,80,82,85,87,90,95,95})-LOOKUP(M323,{12.5,15,20,30,45,60,75,105,115,150,200,225,250,600,1000},{50,55,60,62,65,68,70,72,75,80,82,85,87,90,95})))))</f>
        <v>85</v>
      </c>
      <c r="P323" s="2">
        <f t="shared" si="23"/>
        <v>-9</v>
      </c>
      <c r="Q323" s="2">
        <f t="shared" si="24"/>
        <v>-4.5</v>
      </c>
    </row>
    <row r="324" customHeight="1" spans="1:17">
      <c r="A324" s="2">
        <v>2026</v>
      </c>
      <c r="B324" s="2">
        <v>323</v>
      </c>
      <c r="C324" s="16">
        <f t="shared" si="22"/>
        <v>71.4</v>
      </c>
      <c r="D324" s="2" t="s">
        <v>606</v>
      </c>
      <c r="E324" s="9">
        <v>72</v>
      </c>
      <c r="F324" s="12">
        <v>66</v>
      </c>
      <c r="G324" s="12">
        <v>68</v>
      </c>
      <c r="H324" s="2" t="s">
        <v>54</v>
      </c>
      <c r="I324" s="2" t="s">
        <v>607</v>
      </c>
      <c r="J324" s="4" t="s">
        <v>24</v>
      </c>
      <c r="M324" s="2">
        <f t="shared" si="25"/>
        <v>75</v>
      </c>
      <c r="N324" s="2">
        <f t="shared" si="26"/>
        <v>70.4</v>
      </c>
      <c r="O324" s="2">
        <f>IF(M324="","",IF(M324&gt;=1000,95,IF(M324&lt;=12.5,50,LOOKUP(M324,{12.5,15,20,30,45,60,75,105,115,150,200,225,250,600,1000},{50,55,60,62,65,68,70,72,75,80,82,85,87,90,95})+(M324-LOOKUP(M324,{12.5,15,20,30,45,60,75,105,115,150,200,225,250,600},{12.5,15,20,30,45,60,75,105,115,150,200,225,250,600}))/(LOOKUP(M324,{12.5,15,20,30,45,60,75,105,115,150,200,225,250,600,1000},{15,20,30,45,60,75,105,115,150,200,225,250,600,1000,1000})-LOOKUP(M324,{12.5,15,20,30,45,60,75,105,115,150,200,225,250,600},{12.5,15,20,30,45,60,75,105,115,150,200,225,250,600}))*(LOOKUP(M324,{12.5,15,20,30,45,60,75,105,115,150,200,225,250,600,1000},{55,60,62,65,68,70,72,75,80,82,85,87,90,95,95})-LOOKUP(M324,{12.5,15,20,30,45,60,75,105,115,150,200,225,250,600,1000},{50,55,60,62,65,68,70,72,75,80,82,85,87,90,95})))))</f>
        <v>70</v>
      </c>
      <c r="P324" s="2">
        <f t="shared" si="23"/>
        <v>2</v>
      </c>
      <c r="Q324" s="2">
        <f t="shared" si="24"/>
        <v>1</v>
      </c>
    </row>
    <row r="325" customHeight="1" spans="1:17">
      <c r="B325" s="2">
        <v>324</v>
      </c>
      <c r="C325" s="16">
        <f t="shared" ref="C325:C388" si="27">ROUND(MAX(MIN(N325+Q325,100),0),2)</f>
        <v>71.4</v>
      </c>
      <c r="D325" s="2" t="s">
        <v>608</v>
      </c>
      <c r="E325" s="9">
        <v>74</v>
      </c>
      <c r="F325" s="12">
        <v>60</v>
      </c>
      <c r="G325" s="12">
        <v>66</v>
      </c>
      <c r="H325" s="2" t="s">
        <v>66</v>
      </c>
      <c r="I325" s="2" t="s">
        <v>33</v>
      </c>
      <c r="J325" s="4" t="s">
        <v>105</v>
      </c>
      <c r="M325" s="2">
        <f t="shared" si="25"/>
        <v>105</v>
      </c>
      <c r="N325" s="2">
        <f t="shared" si="26"/>
        <v>70.4</v>
      </c>
      <c r="O325" s="2">
        <f>IF(M325="","",IF(M325&gt;=1000,95,IF(M325&lt;=12.5,50,LOOKUP(M325,{12.5,15,20,30,45,60,75,105,115,150,200,225,250,600,1000},{50,55,60,62,65,68,70,72,75,80,82,85,87,90,95})+(M325-LOOKUP(M325,{12.5,15,20,30,45,60,75,105,115,150,200,225,250,600},{12.5,15,20,30,45,60,75,105,115,150,200,225,250,600}))/(LOOKUP(M325,{12.5,15,20,30,45,60,75,105,115,150,200,225,250,600,1000},{15,20,30,45,60,75,105,115,150,200,225,250,600,1000,1000})-LOOKUP(M325,{12.5,15,20,30,45,60,75,105,115,150,200,225,250,600},{12.5,15,20,30,45,60,75,105,115,150,200,225,250,600}))*(LOOKUP(M325,{12.5,15,20,30,45,60,75,105,115,150,200,225,250,600,1000},{55,60,62,65,68,70,72,75,80,82,85,87,90,95,95})-LOOKUP(M325,{12.5,15,20,30,45,60,75,105,115,150,200,225,250,600,1000},{50,55,60,62,65,68,70,72,75,80,82,85,87,90,95})))))</f>
        <v>72</v>
      </c>
      <c r="P325" s="2">
        <f t="shared" si="23"/>
        <v>2</v>
      </c>
      <c r="Q325" s="2">
        <f t="shared" si="24"/>
        <v>1</v>
      </c>
    </row>
    <row r="326" customHeight="1" spans="1:17">
      <c r="B326" s="2">
        <v>325</v>
      </c>
      <c r="C326" s="16">
        <f t="shared" si="27"/>
        <v>71.3</v>
      </c>
      <c r="D326" s="2" t="s">
        <v>609</v>
      </c>
      <c r="E326" s="9">
        <v>74</v>
      </c>
      <c r="F326" s="8">
        <v>91</v>
      </c>
      <c r="G326" s="10">
        <v>83</v>
      </c>
      <c r="H326" s="2" t="s">
        <v>37</v>
      </c>
      <c r="I326" s="2" t="s">
        <v>104</v>
      </c>
      <c r="J326" s="4" t="s">
        <v>73</v>
      </c>
      <c r="M326" s="2">
        <f t="shared" si="25"/>
        <v>600</v>
      </c>
      <c r="N326" s="2">
        <f t="shared" si="26"/>
        <v>78.3</v>
      </c>
      <c r="O326" s="2">
        <f>IF(M326="","",IF(M326&gt;=1000,95,IF(M326&lt;=12.5,50,LOOKUP(M326,{12.5,15,20,30,45,60,75,105,115,150,200,225,250,600,1000},{50,55,60,62,65,68,70,72,75,80,82,85,87,90,95})+(M326-LOOKUP(M326,{12.5,15,20,30,45,60,75,105,115,150,200,225,250,600},{12.5,15,20,30,45,60,75,105,115,150,200,225,250,600}))/(LOOKUP(M326,{12.5,15,20,30,45,60,75,105,115,150,200,225,250,600,1000},{15,20,30,45,60,75,105,115,150,200,225,250,600,1000,1000})-LOOKUP(M326,{12.5,15,20,30,45,60,75,105,115,150,200,225,250,600},{12.5,15,20,30,45,60,75,105,115,150,200,225,250,600}))*(LOOKUP(M326,{12.5,15,20,30,45,60,75,105,115,150,200,225,250,600,1000},{55,60,62,65,68,70,72,75,80,82,85,87,90,95,95})-LOOKUP(M326,{12.5,15,20,30,45,60,75,105,115,150,200,225,250,600,1000},{50,55,60,62,65,68,70,72,75,80,82,85,87,90,95})))))</f>
        <v>90</v>
      </c>
      <c r="P326" s="2">
        <f t="shared" ref="P326:P389" si="28">E326-O326</f>
        <v>-16</v>
      </c>
      <c r="Q326" s="2">
        <f t="shared" ref="Q326:Q389" si="29">ROUND(SIGN(P326)*IF(ABS(P326)&lt;=10,ABS(P326)*0.5,IF(ABS(P326)&lt;=15,5+(ABS(P326)-10)*(1.67/5),6.67+(ABS(P326)-15)*0.333)),2)</f>
        <v>-7</v>
      </c>
    </row>
    <row r="327" customHeight="1" spans="1:17">
      <c r="B327" s="2">
        <v>326</v>
      </c>
      <c r="C327" s="16">
        <f t="shared" si="27"/>
        <v>71.26</v>
      </c>
      <c r="D327" s="2" t="s">
        <v>610</v>
      </c>
      <c r="E327" s="9">
        <v>73</v>
      </c>
      <c r="F327" s="8">
        <v>94</v>
      </c>
      <c r="G327" s="10">
        <v>87</v>
      </c>
      <c r="H327" s="2" t="s">
        <v>611</v>
      </c>
      <c r="I327" s="2" t="s">
        <v>612</v>
      </c>
      <c r="J327" s="4" t="s">
        <v>73</v>
      </c>
      <c r="M327" s="2">
        <f t="shared" si="25"/>
        <v>600</v>
      </c>
      <c r="N327" s="2">
        <f t="shared" si="26"/>
        <v>78.6</v>
      </c>
      <c r="O327" s="2">
        <f>IF(M327="","",IF(M327&gt;=1000,95,IF(M327&lt;=12.5,50,LOOKUP(M327,{12.5,15,20,30,45,60,75,105,115,150,200,225,250,600,1000},{50,55,60,62,65,68,70,72,75,80,82,85,87,90,95})+(M327-LOOKUP(M327,{12.5,15,20,30,45,60,75,105,115,150,200,225,250,600},{12.5,15,20,30,45,60,75,105,115,150,200,225,250,600}))/(LOOKUP(M327,{12.5,15,20,30,45,60,75,105,115,150,200,225,250,600,1000},{15,20,30,45,60,75,105,115,150,200,225,250,600,1000,1000})-LOOKUP(M327,{12.5,15,20,30,45,60,75,105,115,150,200,225,250,600},{12.5,15,20,30,45,60,75,105,115,150,200,225,250,600}))*(LOOKUP(M327,{12.5,15,20,30,45,60,75,105,115,150,200,225,250,600,1000},{55,60,62,65,68,70,72,75,80,82,85,87,90,95,95})-LOOKUP(M327,{12.5,15,20,30,45,60,75,105,115,150,200,225,250,600,1000},{50,55,60,62,65,68,70,72,75,80,82,85,87,90,95})))))</f>
        <v>90</v>
      </c>
      <c r="P327" s="2">
        <f t="shared" si="28"/>
        <v>-17</v>
      </c>
      <c r="Q327" s="2">
        <f t="shared" si="29"/>
        <v>-7.34</v>
      </c>
    </row>
    <row r="328" customHeight="1" spans="1:17">
      <c r="A328" s="2">
        <v>2026</v>
      </c>
      <c r="B328" s="2">
        <v>327</v>
      </c>
      <c r="C328" s="16">
        <f t="shared" si="27"/>
        <v>71.2</v>
      </c>
      <c r="D328" s="2" t="s">
        <v>613</v>
      </c>
      <c r="E328" s="9">
        <v>76</v>
      </c>
      <c r="F328" s="9">
        <v>79</v>
      </c>
      <c r="G328" s="12">
        <v>67</v>
      </c>
      <c r="H328" s="2" t="s">
        <v>87</v>
      </c>
      <c r="I328" s="2" t="s">
        <v>183</v>
      </c>
      <c r="J328" s="4" t="s">
        <v>19</v>
      </c>
      <c r="M328" s="2">
        <f t="shared" si="25"/>
        <v>225</v>
      </c>
      <c r="N328" s="2">
        <f t="shared" si="26"/>
        <v>75.7</v>
      </c>
      <c r="O328" s="2">
        <f>IF(M328="","",IF(M328&gt;=1000,95,IF(M328&lt;=12.5,50,LOOKUP(M328,{12.5,15,20,30,45,60,75,105,115,150,200,225,250,600,1000},{50,55,60,62,65,68,70,72,75,80,82,85,87,90,95})+(M328-LOOKUP(M328,{12.5,15,20,30,45,60,75,105,115,150,200,225,250,600},{12.5,15,20,30,45,60,75,105,115,150,200,225,250,600}))/(LOOKUP(M328,{12.5,15,20,30,45,60,75,105,115,150,200,225,250,600,1000},{15,20,30,45,60,75,105,115,150,200,225,250,600,1000,1000})-LOOKUP(M328,{12.5,15,20,30,45,60,75,105,115,150,200,225,250,600},{12.5,15,20,30,45,60,75,105,115,150,200,225,250,600}))*(LOOKUP(M328,{12.5,15,20,30,45,60,75,105,115,150,200,225,250,600,1000},{55,60,62,65,68,70,72,75,80,82,85,87,90,95,95})-LOOKUP(M328,{12.5,15,20,30,45,60,75,105,115,150,200,225,250,600,1000},{50,55,60,62,65,68,70,72,75,80,82,85,87,90,95})))))</f>
        <v>85</v>
      </c>
      <c r="P328" s="2">
        <f t="shared" si="28"/>
        <v>-9</v>
      </c>
      <c r="Q328" s="2">
        <f t="shared" si="29"/>
        <v>-4.5</v>
      </c>
    </row>
    <row r="329" customHeight="1" spans="1:17">
      <c r="A329" s="2">
        <v>2026</v>
      </c>
      <c r="B329" s="2">
        <v>328</v>
      </c>
      <c r="C329" s="16">
        <f t="shared" si="27"/>
        <v>71.2</v>
      </c>
      <c r="D329" s="2" t="s">
        <v>614</v>
      </c>
      <c r="E329" s="9">
        <v>70</v>
      </c>
      <c r="F329" s="12">
        <v>62</v>
      </c>
      <c r="G329" s="2">
        <v>48</v>
      </c>
      <c r="H329" s="2" t="s">
        <v>87</v>
      </c>
      <c r="I329" s="2" t="s">
        <v>28</v>
      </c>
      <c r="J329" s="4" t="s">
        <v>140</v>
      </c>
      <c r="M329" s="2">
        <f t="shared" si="25"/>
        <v>20</v>
      </c>
      <c r="N329" s="2">
        <f t="shared" si="26"/>
        <v>66.2</v>
      </c>
      <c r="O329" s="2">
        <f>IF(M329="","",IF(M329&gt;=1000,95,IF(M329&lt;=12.5,50,LOOKUP(M329,{12.5,15,20,30,45,60,75,105,115,150,200,225,250,600,1000},{50,55,60,62,65,68,70,72,75,80,82,85,87,90,95})+(M329-LOOKUP(M329,{12.5,15,20,30,45,60,75,105,115,150,200,225,250,600},{12.5,15,20,30,45,60,75,105,115,150,200,225,250,600}))/(LOOKUP(M329,{12.5,15,20,30,45,60,75,105,115,150,200,225,250,600,1000},{15,20,30,45,60,75,105,115,150,200,225,250,600,1000,1000})-LOOKUP(M329,{12.5,15,20,30,45,60,75,105,115,150,200,225,250,600},{12.5,15,20,30,45,60,75,105,115,150,200,225,250,600}))*(LOOKUP(M329,{12.5,15,20,30,45,60,75,105,115,150,200,225,250,600,1000},{55,60,62,65,68,70,72,75,80,82,85,87,90,95,95})-LOOKUP(M329,{12.5,15,20,30,45,60,75,105,115,150,200,225,250,600,1000},{50,55,60,62,65,68,70,72,75,80,82,85,87,90,95})))))</f>
        <v>60</v>
      </c>
      <c r="P329" s="2">
        <f t="shared" si="28"/>
        <v>10</v>
      </c>
      <c r="Q329" s="2">
        <f t="shared" si="29"/>
        <v>5</v>
      </c>
    </row>
    <row r="330" customHeight="1" spans="1:17">
      <c r="A330" s="2">
        <v>2026</v>
      </c>
      <c r="B330" s="2">
        <v>329</v>
      </c>
      <c r="C330" s="16">
        <f t="shared" si="27"/>
        <v>71.2</v>
      </c>
      <c r="D330" s="2" t="s">
        <v>615</v>
      </c>
      <c r="E330" s="9">
        <v>74</v>
      </c>
      <c r="F330" s="12">
        <v>60</v>
      </c>
      <c r="G330" s="2">
        <v>54</v>
      </c>
      <c r="H330" s="2" t="s">
        <v>41</v>
      </c>
      <c r="I330" s="2" t="s">
        <v>50</v>
      </c>
      <c r="J330" s="4" t="s">
        <v>24</v>
      </c>
      <c r="M330" s="2">
        <f t="shared" si="25"/>
        <v>75</v>
      </c>
      <c r="N330" s="2">
        <f t="shared" si="26"/>
        <v>69.2</v>
      </c>
      <c r="O330" s="2">
        <f>IF(M330="","",IF(M330&gt;=1000,95,IF(M330&lt;=12.5,50,LOOKUP(M330,{12.5,15,20,30,45,60,75,105,115,150,200,225,250,600,1000},{50,55,60,62,65,68,70,72,75,80,82,85,87,90,95})+(M330-LOOKUP(M330,{12.5,15,20,30,45,60,75,105,115,150,200,225,250,600},{12.5,15,20,30,45,60,75,105,115,150,200,225,250,600}))/(LOOKUP(M330,{12.5,15,20,30,45,60,75,105,115,150,200,225,250,600,1000},{15,20,30,45,60,75,105,115,150,200,225,250,600,1000,1000})-LOOKUP(M330,{12.5,15,20,30,45,60,75,105,115,150,200,225,250,600},{12.5,15,20,30,45,60,75,105,115,150,200,225,250,600}))*(LOOKUP(M330,{12.5,15,20,30,45,60,75,105,115,150,200,225,250,600,1000},{55,60,62,65,68,70,72,75,80,82,85,87,90,95,95})-LOOKUP(M330,{12.5,15,20,30,45,60,75,105,115,150,200,225,250,600,1000},{50,55,60,62,65,68,70,72,75,80,82,85,87,90,95})))))</f>
        <v>70</v>
      </c>
      <c r="P330" s="2">
        <f t="shared" si="28"/>
        <v>4</v>
      </c>
      <c r="Q330" s="2">
        <f t="shared" si="29"/>
        <v>2</v>
      </c>
    </row>
    <row r="331" customHeight="1" spans="1:17">
      <c r="B331" s="2">
        <v>330</v>
      </c>
      <c r="C331" s="16">
        <f t="shared" si="27"/>
        <v>71.2</v>
      </c>
      <c r="D331" s="2" t="s">
        <v>616</v>
      </c>
      <c r="E331" s="9">
        <v>74</v>
      </c>
      <c r="F331" s="2">
        <v>55</v>
      </c>
      <c r="G331" s="12">
        <v>64</v>
      </c>
      <c r="H331" s="2" t="s">
        <v>66</v>
      </c>
      <c r="I331" s="2" t="s">
        <v>63</v>
      </c>
      <c r="J331" s="4" t="s">
        <v>24</v>
      </c>
      <c r="M331" s="2">
        <f t="shared" si="25"/>
        <v>75</v>
      </c>
      <c r="N331" s="2">
        <f t="shared" si="26"/>
        <v>69.2</v>
      </c>
      <c r="O331" s="2">
        <f>IF(M331="","",IF(M331&gt;=1000,95,IF(M331&lt;=12.5,50,LOOKUP(M331,{12.5,15,20,30,45,60,75,105,115,150,200,225,250,600,1000},{50,55,60,62,65,68,70,72,75,80,82,85,87,90,95})+(M331-LOOKUP(M331,{12.5,15,20,30,45,60,75,105,115,150,200,225,250,600},{12.5,15,20,30,45,60,75,105,115,150,200,225,250,600}))/(LOOKUP(M331,{12.5,15,20,30,45,60,75,105,115,150,200,225,250,600,1000},{15,20,30,45,60,75,105,115,150,200,225,250,600,1000,1000})-LOOKUP(M331,{12.5,15,20,30,45,60,75,105,115,150,200,225,250,600},{12.5,15,20,30,45,60,75,105,115,150,200,225,250,600}))*(LOOKUP(M331,{12.5,15,20,30,45,60,75,105,115,150,200,225,250,600,1000},{55,60,62,65,68,70,72,75,80,82,85,87,90,95,95})-LOOKUP(M331,{12.5,15,20,30,45,60,75,105,115,150,200,225,250,600,1000},{50,55,60,62,65,68,70,72,75,80,82,85,87,90,95})))))</f>
        <v>70</v>
      </c>
      <c r="P331" s="2">
        <f t="shared" si="28"/>
        <v>4</v>
      </c>
      <c r="Q331" s="2">
        <f t="shared" si="29"/>
        <v>2</v>
      </c>
    </row>
    <row r="332" customHeight="1" spans="1:17">
      <c r="A332" s="2">
        <v>2026</v>
      </c>
      <c r="B332" s="2">
        <v>331</v>
      </c>
      <c r="C332" s="16">
        <f t="shared" si="27"/>
        <v>71.2</v>
      </c>
      <c r="D332" s="2" t="s">
        <v>617</v>
      </c>
      <c r="E332" s="9">
        <v>75</v>
      </c>
      <c r="F332" s="2">
        <v>56</v>
      </c>
      <c r="G332" s="2">
        <v>50</v>
      </c>
      <c r="H332" s="2" t="s">
        <v>135</v>
      </c>
      <c r="I332" s="2" t="s">
        <v>104</v>
      </c>
      <c r="J332" s="4" t="s">
        <v>24</v>
      </c>
      <c r="K332" s="2" t="s">
        <v>618</v>
      </c>
      <c r="M332" s="2">
        <f t="shared" si="25"/>
        <v>75</v>
      </c>
      <c r="N332" s="2">
        <f t="shared" si="26"/>
        <v>68.7</v>
      </c>
      <c r="O332" s="2">
        <f>IF(M332="","",IF(M332&gt;=1000,95,IF(M332&lt;=12.5,50,LOOKUP(M332,{12.5,15,20,30,45,60,75,105,115,150,200,225,250,600,1000},{50,55,60,62,65,68,70,72,75,80,82,85,87,90,95})+(M332-LOOKUP(M332,{12.5,15,20,30,45,60,75,105,115,150,200,225,250,600},{12.5,15,20,30,45,60,75,105,115,150,200,225,250,600}))/(LOOKUP(M332,{12.5,15,20,30,45,60,75,105,115,150,200,225,250,600,1000},{15,20,30,45,60,75,105,115,150,200,225,250,600,1000,1000})-LOOKUP(M332,{12.5,15,20,30,45,60,75,105,115,150,200,225,250,600},{12.5,15,20,30,45,60,75,105,115,150,200,225,250,600}))*(LOOKUP(M332,{12.5,15,20,30,45,60,75,105,115,150,200,225,250,600,1000},{55,60,62,65,68,70,72,75,80,82,85,87,90,95,95})-LOOKUP(M332,{12.5,15,20,30,45,60,75,105,115,150,200,225,250,600,1000},{50,55,60,62,65,68,70,72,75,80,82,85,87,90,95})))))</f>
        <v>70</v>
      </c>
      <c r="P332" s="2">
        <f t="shared" si="28"/>
        <v>5</v>
      </c>
      <c r="Q332" s="2">
        <f t="shared" si="29"/>
        <v>2.5</v>
      </c>
    </row>
    <row r="333" customHeight="1" spans="1:17">
      <c r="A333" s="2">
        <v>2026</v>
      </c>
      <c r="B333" s="2">
        <v>332</v>
      </c>
      <c r="C333" s="16">
        <f t="shared" si="27"/>
        <v>71.17</v>
      </c>
      <c r="D333" s="2" t="s">
        <v>619</v>
      </c>
      <c r="E333" s="9">
        <v>72</v>
      </c>
      <c r="F333" s="2">
        <v>50</v>
      </c>
      <c r="G333" s="2">
        <v>51</v>
      </c>
      <c r="H333" s="2" t="s">
        <v>41</v>
      </c>
      <c r="I333" s="2" t="s">
        <v>28</v>
      </c>
      <c r="J333" s="4" t="s">
        <v>140</v>
      </c>
      <c r="M333" s="2">
        <f t="shared" si="25"/>
        <v>20</v>
      </c>
      <c r="N333" s="2">
        <f t="shared" si="26"/>
        <v>65.5</v>
      </c>
      <c r="O333" s="2">
        <f>IF(M333="","",IF(M333&gt;=1000,95,IF(M333&lt;=12.5,50,LOOKUP(M333,{12.5,15,20,30,45,60,75,105,115,150,200,225,250,600,1000},{50,55,60,62,65,68,70,72,75,80,82,85,87,90,95})+(M333-LOOKUP(M333,{12.5,15,20,30,45,60,75,105,115,150,200,225,250,600},{12.5,15,20,30,45,60,75,105,115,150,200,225,250,600}))/(LOOKUP(M333,{12.5,15,20,30,45,60,75,105,115,150,200,225,250,600,1000},{15,20,30,45,60,75,105,115,150,200,225,250,600,1000,1000})-LOOKUP(M333,{12.5,15,20,30,45,60,75,105,115,150,200,225,250,600},{12.5,15,20,30,45,60,75,105,115,150,200,225,250,600}))*(LOOKUP(M333,{12.5,15,20,30,45,60,75,105,115,150,200,225,250,600,1000},{55,60,62,65,68,70,72,75,80,82,85,87,90,95,95})-LOOKUP(M333,{12.5,15,20,30,45,60,75,105,115,150,200,225,250,600,1000},{50,55,60,62,65,68,70,72,75,80,82,85,87,90,95})))))</f>
        <v>60</v>
      </c>
      <c r="P333" s="2">
        <f t="shared" si="28"/>
        <v>12</v>
      </c>
      <c r="Q333" s="2">
        <f t="shared" si="29"/>
        <v>5.67</v>
      </c>
    </row>
    <row r="334" customHeight="1" spans="1:17">
      <c r="B334" s="2">
        <v>333</v>
      </c>
      <c r="C334" s="16">
        <f t="shared" si="27"/>
        <v>71.13</v>
      </c>
      <c r="D334" s="2" t="s">
        <v>620</v>
      </c>
      <c r="E334" s="9">
        <v>75</v>
      </c>
      <c r="F334" s="8">
        <v>91</v>
      </c>
      <c r="G334" s="9">
        <v>71</v>
      </c>
      <c r="H334" s="2" t="s">
        <v>41</v>
      </c>
      <c r="I334" s="2" t="s">
        <v>104</v>
      </c>
      <c r="J334" s="4" t="s">
        <v>73</v>
      </c>
      <c r="M334" s="2">
        <f t="shared" si="25"/>
        <v>600</v>
      </c>
      <c r="N334" s="2">
        <f t="shared" si="26"/>
        <v>77.8</v>
      </c>
      <c r="O334" s="2">
        <f>IF(M334="","",IF(M334&gt;=1000,95,IF(M334&lt;=12.5,50,LOOKUP(M334,{12.5,15,20,30,45,60,75,105,115,150,200,225,250,600,1000},{50,55,60,62,65,68,70,72,75,80,82,85,87,90,95})+(M334-LOOKUP(M334,{12.5,15,20,30,45,60,75,105,115,150,200,225,250,600},{12.5,15,20,30,45,60,75,105,115,150,200,225,250,600}))/(LOOKUP(M334,{12.5,15,20,30,45,60,75,105,115,150,200,225,250,600,1000},{15,20,30,45,60,75,105,115,150,200,225,250,600,1000,1000})-LOOKUP(M334,{12.5,15,20,30,45,60,75,105,115,150,200,225,250,600},{12.5,15,20,30,45,60,75,105,115,150,200,225,250,600}))*(LOOKUP(M334,{12.5,15,20,30,45,60,75,105,115,150,200,225,250,600,1000},{55,60,62,65,68,70,72,75,80,82,85,87,90,95,95})-LOOKUP(M334,{12.5,15,20,30,45,60,75,105,115,150,200,225,250,600,1000},{50,55,60,62,65,68,70,72,75,80,82,85,87,90,95})))))</f>
        <v>90</v>
      </c>
      <c r="P334" s="2">
        <f t="shared" si="28"/>
        <v>-15</v>
      </c>
      <c r="Q334" s="2">
        <f t="shared" si="29"/>
        <v>-6.67</v>
      </c>
    </row>
    <row r="335" customHeight="1" spans="1:17">
      <c r="A335" s="2">
        <v>2026</v>
      </c>
      <c r="B335" s="2">
        <v>334</v>
      </c>
      <c r="C335" s="16">
        <f t="shared" si="27"/>
        <v>71.1</v>
      </c>
      <c r="D335" s="2" t="s">
        <v>621</v>
      </c>
      <c r="E335" s="9">
        <v>71</v>
      </c>
      <c r="F335" s="9">
        <v>70</v>
      </c>
      <c r="G335" s="2">
        <v>44</v>
      </c>
      <c r="H335" s="2" t="s">
        <v>41</v>
      </c>
      <c r="I335" s="2" t="s">
        <v>50</v>
      </c>
      <c r="J335" s="4" t="s">
        <v>38</v>
      </c>
      <c r="M335" s="2">
        <f t="shared" si="25"/>
        <v>45</v>
      </c>
      <c r="N335" s="2">
        <f t="shared" si="26"/>
        <v>68.1</v>
      </c>
      <c r="O335" s="2">
        <f>IF(M335="","",IF(M335&gt;=1000,95,IF(M335&lt;=12.5,50,LOOKUP(M335,{12.5,15,20,30,45,60,75,105,115,150,200,225,250,600,1000},{50,55,60,62,65,68,70,72,75,80,82,85,87,90,95})+(M335-LOOKUP(M335,{12.5,15,20,30,45,60,75,105,115,150,200,225,250,600},{12.5,15,20,30,45,60,75,105,115,150,200,225,250,600}))/(LOOKUP(M335,{12.5,15,20,30,45,60,75,105,115,150,200,225,250,600,1000},{15,20,30,45,60,75,105,115,150,200,225,250,600,1000,1000})-LOOKUP(M335,{12.5,15,20,30,45,60,75,105,115,150,200,225,250,600},{12.5,15,20,30,45,60,75,105,115,150,200,225,250,600}))*(LOOKUP(M335,{12.5,15,20,30,45,60,75,105,115,150,200,225,250,600,1000},{55,60,62,65,68,70,72,75,80,82,85,87,90,95,95})-LOOKUP(M335,{12.5,15,20,30,45,60,75,105,115,150,200,225,250,600,1000},{50,55,60,62,65,68,70,72,75,80,82,85,87,90,95})))))</f>
        <v>65</v>
      </c>
      <c r="P335" s="2">
        <f t="shared" si="28"/>
        <v>6</v>
      </c>
      <c r="Q335" s="2">
        <f t="shared" si="29"/>
        <v>3</v>
      </c>
    </row>
    <row r="336" customHeight="1" spans="1:17">
      <c r="A336" s="2">
        <v>2026</v>
      </c>
      <c r="B336" s="2">
        <v>335</v>
      </c>
      <c r="C336" s="16">
        <f t="shared" si="27"/>
        <v>71.1</v>
      </c>
      <c r="D336" s="2" t="s">
        <v>622</v>
      </c>
      <c r="E336" s="9">
        <v>71</v>
      </c>
      <c r="F336" s="12">
        <v>65</v>
      </c>
      <c r="G336" s="2">
        <v>54</v>
      </c>
      <c r="H336" s="2" t="s">
        <v>54</v>
      </c>
      <c r="I336" s="2" t="s">
        <v>55</v>
      </c>
      <c r="J336" s="4" t="s">
        <v>38</v>
      </c>
      <c r="M336" s="2">
        <f t="shared" si="25"/>
        <v>45</v>
      </c>
      <c r="N336" s="2">
        <f t="shared" si="26"/>
        <v>68.1</v>
      </c>
      <c r="O336" s="2">
        <f>IF(M336="","",IF(M336&gt;=1000,95,IF(M336&lt;=12.5,50,LOOKUP(M336,{12.5,15,20,30,45,60,75,105,115,150,200,225,250,600,1000},{50,55,60,62,65,68,70,72,75,80,82,85,87,90,95})+(M336-LOOKUP(M336,{12.5,15,20,30,45,60,75,105,115,150,200,225,250,600},{12.5,15,20,30,45,60,75,105,115,150,200,225,250,600}))/(LOOKUP(M336,{12.5,15,20,30,45,60,75,105,115,150,200,225,250,600,1000},{15,20,30,45,60,75,105,115,150,200,225,250,600,1000,1000})-LOOKUP(M336,{12.5,15,20,30,45,60,75,105,115,150,200,225,250,600},{12.5,15,20,30,45,60,75,105,115,150,200,225,250,600}))*(LOOKUP(M336,{12.5,15,20,30,45,60,75,105,115,150,200,225,250,600,1000},{55,60,62,65,68,70,72,75,80,82,85,87,90,95,95})-LOOKUP(M336,{12.5,15,20,30,45,60,75,105,115,150,200,225,250,600,1000},{50,55,60,62,65,68,70,72,75,80,82,85,87,90,95})))))</f>
        <v>65</v>
      </c>
      <c r="P336" s="2">
        <f t="shared" si="28"/>
        <v>6</v>
      </c>
      <c r="Q336" s="2">
        <f t="shared" si="29"/>
        <v>3</v>
      </c>
    </row>
    <row r="337" customHeight="1" spans="1:17">
      <c r="A337" s="2">
        <v>2026</v>
      </c>
      <c r="B337" s="2">
        <v>336</v>
      </c>
      <c r="C337" s="16">
        <f t="shared" si="27"/>
        <v>71.1</v>
      </c>
      <c r="D337" s="2" t="s">
        <v>623</v>
      </c>
      <c r="E337" s="9">
        <v>74</v>
      </c>
      <c r="F337" s="12">
        <v>66</v>
      </c>
      <c r="G337" s="12">
        <v>66</v>
      </c>
      <c r="H337" s="2" t="s">
        <v>119</v>
      </c>
      <c r="I337" s="2" t="s">
        <v>104</v>
      </c>
      <c r="J337" s="4" t="s">
        <v>148</v>
      </c>
      <c r="K337" s="2" t="s">
        <v>624</v>
      </c>
      <c r="M337" s="2">
        <f t="shared" si="25"/>
        <v>115</v>
      </c>
      <c r="N337" s="2">
        <f t="shared" si="26"/>
        <v>71.6</v>
      </c>
      <c r="O337" s="2">
        <f>IF(M337="","",IF(M337&gt;=1000,95,IF(M337&lt;=12.5,50,LOOKUP(M337,{12.5,15,20,30,45,60,75,105,115,150,200,225,250,600,1000},{50,55,60,62,65,68,70,72,75,80,82,85,87,90,95})+(M337-LOOKUP(M337,{12.5,15,20,30,45,60,75,105,115,150,200,225,250,600},{12.5,15,20,30,45,60,75,105,115,150,200,225,250,600}))/(LOOKUP(M337,{12.5,15,20,30,45,60,75,105,115,150,200,225,250,600,1000},{15,20,30,45,60,75,105,115,150,200,225,250,600,1000,1000})-LOOKUP(M337,{12.5,15,20,30,45,60,75,105,115,150,200,225,250,600},{12.5,15,20,30,45,60,75,105,115,150,200,225,250,600}))*(LOOKUP(M337,{12.5,15,20,30,45,60,75,105,115,150,200,225,250,600,1000},{55,60,62,65,68,70,72,75,80,82,85,87,90,95,95})-LOOKUP(M337,{12.5,15,20,30,45,60,75,105,115,150,200,225,250,600,1000},{50,55,60,62,65,68,70,72,75,80,82,85,87,90,95})))))</f>
        <v>75</v>
      </c>
      <c r="P337" s="2">
        <f t="shared" si="28"/>
        <v>-1</v>
      </c>
      <c r="Q337" s="2">
        <f t="shared" si="29"/>
        <v>-0.5</v>
      </c>
    </row>
    <row r="338" customHeight="1" spans="1:17">
      <c r="B338" s="2">
        <v>337</v>
      </c>
      <c r="C338" s="16">
        <f t="shared" si="27"/>
        <v>71.1</v>
      </c>
      <c r="D338" s="2" t="s">
        <v>625</v>
      </c>
      <c r="E338" s="9">
        <v>74</v>
      </c>
      <c r="F338" s="12">
        <v>65</v>
      </c>
      <c r="G338" s="2">
        <v>53</v>
      </c>
      <c r="H338" s="2" t="s">
        <v>66</v>
      </c>
      <c r="I338" s="2" t="s">
        <v>33</v>
      </c>
      <c r="J338" s="4" t="s">
        <v>105</v>
      </c>
      <c r="M338" s="2">
        <f t="shared" si="25"/>
        <v>105</v>
      </c>
      <c r="N338" s="2">
        <f t="shared" si="26"/>
        <v>70.1</v>
      </c>
      <c r="O338" s="2">
        <f>IF(M338="","",IF(M338&gt;=1000,95,IF(M338&lt;=12.5,50,LOOKUP(M338,{12.5,15,20,30,45,60,75,105,115,150,200,225,250,600,1000},{50,55,60,62,65,68,70,72,75,80,82,85,87,90,95})+(M338-LOOKUP(M338,{12.5,15,20,30,45,60,75,105,115,150,200,225,250,600},{12.5,15,20,30,45,60,75,105,115,150,200,225,250,600}))/(LOOKUP(M338,{12.5,15,20,30,45,60,75,105,115,150,200,225,250,600,1000},{15,20,30,45,60,75,105,115,150,200,225,250,600,1000,1000})-LOOKUP(M338,{12.5,15,20,30,45,60,75,105,115,150,200,225,250,600},{12.5,15,20,30,45,60,75,105,115,150,200,225,250,600}))*(LOOKUP(M338,{12.5,15,20,30,45,60,75,105,115,150,200,225,250,600,1000},{55,60,62,65,68,70,72,75,80,82,85,87,90,95,95})-LOOKUP(M338,{12.5,15,20,30,45,60,75,105,115,150,200,225,250,600,1000},{50,55,60,62,65,68,70,72,75,80,82,85,87,90,95})))))</f>
        <v>72</v>
      </c>
      <c r="P338" s="2">
        <f t="shared" si="28"/>
        <v>2</v>
      </c>
      <c r="Q338" s="2">
        <f t="shared" si="29"/>
        <v>1</v>
      </c>
    </row>
    <row r="339" customHeight="1" spans="1:17">
      <c r="B339" s="2">
        <v>338</v>
      </c>
      <c r="C339" s="16">
        <f t="shared" si="27"/>
        <v>71.1</v>
      </c>
      <c r="D339" s="2" t="s">
        <v>626</v>
      </c>
      <c r="E339" s="9">
        <v>76</v>
      </c>
      <c r="F339" s="12">
        <v>61</v>
      </c>
      <c r="G339" s="2">
        <v>52</v>
      </c>
      <c r="H339" s="2" t="s">
        <v>339</v>
      </c>
      <c r="I339" s="2" t="s">
        <v>104</v>
      </c>
      <c r="J339" s="4" t="s">
        <v>148</v>
      </c>
      <c r="K339" s="2" t="s">
        <v>627</v>
      </c>
      <c r="M339" s="2">
        <f t="shared" si="25"/>
        <v>115</v>
      </c>
      <c r="N339" s="2">
        <f t="shared" si="26"/>
        <v>70.6</v>
      </c>
      <c r="O339" s="2">
        <f>IF(M339="","",IF(M339&gt;=1000,95,IF(M339&lt;=12.5,50,LOOKUP(M339,{12.5,15,20,30,45,60,75,105,115,150,200,225,250,600,1000},{50,55,60,62,65,68,70,72,75,80,82,85,87,90,95})+(M339-LOOKUP(M339,{12.5,15,20,30,45,60,75,105,115,150,200,225,250,600},{12.5,15,20,30,45,60,75,105,115,150,200,225,250,600}))/(LOOKUP(M339,{12.5,15,20,30,45,60,75,105,115,150,200,225,250,600,1000},{15,20,30,45,60,75,105,115,150,200,225,250,600,1000,1000})-LOOKUP(M339,{12.5,15,20,30,45,60,75,105,115,150,200,225,250,600},{12.5,15,20,30,45,60,75,105,115,150,200,225,250,600}))*(LOOKUP(M339,{12.5,15,20,30,45,60,75,105,115,150,200,225,250,600,1000},{55,60,62,65,68,70,72,75,80,82,85,87,90,95,95})-LOOKUP(M339,{12.5,15,20,30,45,60,75,105,115,150,200,225,250,600,1000},{50,55,60,62,65,68,70,72,75,80,82,85,87,90,95})))))</f>
        <v>75</v>
      </c>
      <c r="P339" s="2">
        <f t="shared" si="28"/>
        <v>1</v>
      </c>
      <c r="Q339" s="2">
        <f t="shared" si="29"/>
        <v>0.5</v>
      </c>
    </row>
    <row r="340" customHeight="1" spans="1:17">
      <c r="A340" s="2">
        <v>2026</v>
      </c>
      <c r="B340" s="2">
        <v>339</v>
      </c>
      <c r="C340" s="16">
        <f t="shared" si="27"/>
        <v>71.07</v>
      </c>
      <c r="D340" s="2" t="s">
        <v>628</v>
      </c>
      <c r="E340" s="9">
        <v>72</v>
      </c>
      <c r="F340" s="2">
        <v>50</v>
      </c>
      <c r="G340" s="2">
        <v>50</v>
      </c>
      <c r="H340" s="2" t="s">
        <v>116</v>
      </c>
      <c r="I340" s="2" t="s">
        <v>63</v>
      </c>
      <c r="J340" s="4" t="s">
        <v>140</v>
      </c>
      <c r="M340" s="2">
        <f t="shared" si="25"/>
        <v>20</v>
      </c>
      <c r="N340" s="2">
        <f t="shared" si="26"/>
        <v>65.4</v>
      </c>
      <c r="O340" s="2">
        <f>IF(M340="","",IF(M340&gt;=1000,95,IF(M340&lt;=12.5,50,LOOKUP(M340,{12.5,15,20,30,45,60,75,105,115,150,200,225,250,600,1000},{50,55,60,62,65,68,70,72,75,80,82,85,87,90,95})+(M340-LOOKUP(M340,{12.5,15,20,30,45,60,75,105,115,150,200,225,250,600},{12.5,15,20,30,45,60,75,105,115,150,200,225,250,600}))/(LOOKUP(M340,{12.5,15,20,30,45,60,75,105,115,150,200,225,250,600,1000},{15,20,30,45,60,75,105,115,150,200,225,250,600,1000,1000})-LOOKUP(M340,{12.5,15,20,30,45,60,75,105,115,150,200,225,250,600},{12.5,15,20,30,45,60,75,105,115,150,200,225,250,600}))*(LOOKUP(M340,{12.5,15,20,30,45,60,75,105,115,150,200,225,250,600,1000},{55,60,62,65,68,70,72,75,80,82,85,87,90,95,95})-LOOKUP(M340,{12.5,15,20,30,45,60,75,105,115,150,200,225,250,600,1000},{50,55,60,62,65,68,70,72,75,80,82,85,87,90,95})))))</f>
        <v>60</v>
      </c>
      <c r="P340" s="2">
        <f t="shared" si="28"/>
        <v>12</v>
      </c>
      <c r="Q340" s="2">
        <f t="shared" si="29"/>
        <v>5.67</v>
      </c>
    </row>
    <row r="341" customHeight="1" spans="1:17">
      <c r="A341" s="2">
        <v>2026</v>
      </c>
      <c r="B341" s="2">
        <v>340</v>
      </c>
      <c r="C341" s="16">
        <f t="shared" si="27"/>
        <v>71</v>
      </c>
      <c r="D341" s="2" t="s">
        <v>629</v>
      </c>
      <c r="E341" s="9">
        <v>70</v>
      </c>
      <c r="F341" s="12">
        <v>64</v>
      </c>
      <c r="G341" s="2">
        <v>52</v>
      </c>
      <c r="H341" s="2" t="s">
        <v>54</v>
      </c>
      <c r="I341" s="2" t="s">
        <v>28</v>
      </c>
      <c r="J341" s="4" t="s">
        <v>88</v>
      </c>
      <c r="M341" s="2">
        <f t="shared" si="25"/>
        <v>30</v>
      </c>
      <c r="N341" s="2">
        <f t="shared" si="26"/>
        <v>67</v>
      </c>
      <c r="O341" s="2">
        <f>IF(M341="","",IF(M341&gt;=1000,95,IF(M341&lt;=12.5,50,LOOKUP(M341,{12.5,15,20,30,45,60,75,105,115,150,200,225,250,600,1000},{50,55,60,62,65,68,70,72,75,80,82,85,87,90,95})+(M341-LOOKUP(M341,{12.5,15,20,30,45,60,75,105,115,150,200,225,250,600},{12.5,15,20,30,45,60,75,105,115,150,200,225,250,600}))/(LOOKUP(M341,{12.5,15,20,30,45,60,75,105,115,150,200,225,250,600,1000},{15,20,30,45,60,75,105,115,150,200,225,250,600,1000,1000})-LOOKUP(M341,{12.5,15,20,30,45,60,75,105,115,150,200,225,250,600},{12.5,15,20,30,45,60,75,105,115,150,200,225,250,600}))*(LOOKUP(M341,{12.5,15,20,30,45,60,75,105,115,150,200,225,250,600,1000},{55,60,62,65,68,70,72,75,80,82,85,87,90,95,95})-LOOKUP(M341,{12.5,15,20,30,45,60,75,105,115,150,200,225,250,600,1000},{50,55,60,62,65,68,70,72,75,80,82,85,87,90,95})))))</f>
        <v>62</v>
      </c>
      <c r="P341" s="2">
        <f t="shared" si="28"/>
        <v>8</v>
      </c>
      <c r="Q341" s="2">
        <f t="shared" si="29"/>
        <v>4</v>
      </c>
    </row>
    <row r="342" customHeight="1" spans="1:17">
      <c r="B342" s="2">
        <v>341</v>
      </c>
      <c r="C342" s="16">
        <f t="shared" si="27"/>
        <v>71</v>
      </c>
      <c r="D342" s="2" t="s">
        <v>630</v>
      </c>
      <c r="E342" s="9">
        <v>74</v>
      </c>
      <c r="F342" s="12">
        <v>65</v>
      </c>
      <c r="G342" s="2">
        <v>42</v>
      </c>
      <c r="H342" s="2" t="s">
        <v>611</v>
      </c>
      <c r="I342" s="2" t="s">
        <v>28</v>
      </c>
      <c r="J342" s="4" t="s">
        <v>24</v>
      </c>
      <c r="M342" s="2">
        <f t="shared" si="25"/>
        <v>75</v>
      </c>
      <c r="N342" s="2">
        <f t="shared" si="26"/>
        <v>69</v>
      </c>
      <c r="O342" s="2">
        <f>IF(M342="","",IF(M342&gt;=1000,95,IF(M342&lt;=12.5,50,LOOKUP(M342,{12.5,15,20,30,45,60,75,105,115,150,200,225,250,600,1000},{50,55,60,62,65,68,70,72,75,80,82,85,87,90,95})+(M342-LOOKUP(M342,{12.5,15,20,30,45,60,75,105,115,150,200,225,250,600},{12.5,15,20,30,45,60,75,105,115,150,200,225,250,600}))/(LOOKUP(M342,{12.5,15,20,30,45,60,75,105,115,150,200,225,250,600,1000},{15,20,30,45,60,75,105,115,150,200,225,250,600,1000,1000})-LOOKUP(M342,{12.5,15,20,30,45,60,75,105,115,150,200,225,250,600},{12.5,15,20,30,45,60,75,105,115,150,200,225,250,600}))*(LOOKUP(M342,{12.5,15,20,30,45,60,75,105,115,150,200,225,250,600,1000},{55,60,62,65,68,70,72,75,80,82,85,87,90,95,95})-LOOKUP(M342,{12.5,15,20,30,45,60,75,105,115,150,200,225,250,600,1000},{50,55,60,62,65,68,70,72,75,80,82,85,87,90,95})))))</f>
        <v>70</v>
      </c>
      <c r="P342" s="2">
        <f t="shared" si="28"/>
        <v>4</v>
      </c>
      <c r="Q342" s="2">
        <f t="shared" si="29"/>
        <v>2</v>
      </c>
    </row>
    <row r="343" customHeight="1" spans="1:17">
      <c r="A343" s="2">
        <v>2026</v>
      </c>
      <c r="B343" s="2">
        <v>342</v>
      </c>
      <c r="C343" s="16">
        <f t="shared" si="27"/>
        <v>71</v>
      </c>
      <c r="D343" s="2" t="s">
        <v>631</v>
      </c>
      <c r="E343" s="9">
        <v>75</v>
      </c>
      <c r="F343" s="12">
        <v>68</v>
      </c>
      <c r="G343" s="9">
        <v>74</v>
      </c>
      <c r="H343" s="2" t="s">
        <v>37</v>
      </c>
      <c r="I343" s="2" t="s">
        <v>284</v>
      </c>
      <c r="J343" s="4" t="s">
        <v>59</v>
      </c>
      <c r="M343" s="2">
        <f t="shared" si="25"/>
        <v>150</v>
      </c>
      <c r="N343" s="2">
        <f t="shared" si="26"/>
        <v>73.5</v>
      </c>
      <c r="O343" s="2">
        <f>IF(M343="","",IF(M343&gt;=1000,95,IF(M343&lt;=12.5,50,LOOKUP(M343,{12.5,15,20,30,45,60,75,105,115,150,200,225,250,600,1000},{50,55,60,62,65,68,70,72,75,80,82,85,87,90,95})+(M343-LOOKUP(M343,{12.5,15,20,30,45,60,75,105,115,150,200,225,250,600},{12.5,15,20,30,45,60,75,105,115,150,200,225,250,600}))/(LOOKUP(M343,{12.5,15,20,30,45,60,75,105,115,150,200,225,250,600,1000},{15,20,30,45,60,75,105,115,150,200,225,250,600,1000,1000})-LOOKUP(M343,{12.5,15,20,30,45,60,75,105,115,150,200,225,250,600},{12.5,15,20,30,45,60,75,105,115,150,200,225,250,600}))*(LOOKUP(M343,{12.5,15,20,30,45,60,75,105,115,150,200,225,250,600,1000},{55,60,62,65,68,70,72,75,80,82,85,87,90,95,95})-LOOKUP(M343,{12.5,15,20,30,45,60,75,105,115,150,200,225,250,600,1000},{50,55,60,62,65,68,70,72,75,80,82,85,87,90,95})))))</f>
        <v>80</v>
      </c>
      <c r="P343" s="2">
        <f t="shared" si="28"/>
        <v>-5</v>
      </c>
      <c r="Q343" s="2">
        <f t="shared" si="29"/>
        <v>-2.5</v>
      </c>
    </row>
    <row r="344" customHeight="1" spans="1:17">
      <c r="A344" s="2">
        <v>2026</v>
      </c>
      <c r="B344" s="2">
        <v>343</v>
      </c>
      <c r="C344" s="16">
        <f t="shared" si="27"/>
        <v>70.9</v>
      </c>
      <c r="D344" s="2" t="s">
        <v>632</v>
      </c>
      <c r="E344" s="9">
        <v>74</v>
      </c>
      <c r="F344" s="2">
        <v>50</v>
      </c>
      <c r="G344" s="2">
        <v>46</v>
      </c>
      <c r="H344" s="2" t="s">
        <v>54</v>
      </c>
      <c r="I344" s="2" t="s">
        <v>33</v>
      </c>
      <c r="J344" s="4" t="s">
        <v>38</v>
      </c>
      <c r="M344" s="2">
        <f t="shared" si="25"/>
        <v>45</v>
      </c>
      <c r="N344" s="2">
        <f t="shared" si="26"/>
        <v>66.4</v>
      </c>
      <c r="O344" s="2">
        <f>IF(M344="","",IF(M344&gt;=1000,95,IF(M344&lt;=12.5,50,LOOKUP(M344,{12.5,15,20,30,45,60,75,105,115,150,200,225,250,600,1000},{50,55,60,62,65,68,70,72,75,80,82,85,87,90,95})+(M344-LOOKUP(M344,{12.5,15,20,30,45,60,75,105,115,150,200,225,250,600},{12.5,15,20,30,45,60,75,105,115,150,200,225,250,600}))/(LOOKUP(M344,{12.5,15,20,30,45,60,75,105,115,150,200,225,250,600,1000},{15,20,30,45,60,75,105,115,150,200,225,250,600,1000,1000})-LOOKUP(M344,{12.5,15,20,30,45,60,75,105,115,150,200,225,250,600},{12.5,15,20,30,45,60,75,105,115,150,200,225,250,600}))*(LOOKUP(M344,{12.5,15,20,30,45,60,75,105,115,150,200,225,250,600,1000},{55,60,62,65,68,70,72,75,80,82,85,87,90,95,95})-LOOKUP(M344,{12.5,15,20,30,45,60,75,105,115,150,200,225,250,600,1000},{50,55,60,62,65,68,70,72,75,80,82,85,87,90,95})))))</f>
        <v>65</v>
      </c>
      <c r="P344" s="2">
        <f t="shared" si="28"/>
        <v>9</v>
      </c>
      <c r="Q344" s="2">
        <f t="shared" si="29"/>
        <v>4.5</v>
      </c>
    </row>
    <row r="345" customHeight="1" spans="1:17">
      <c r="A345" s="2">
        <v>2026</v>
      </c>
      <c r="B345" s="2">
        <v>344</v>
      </c>
      <c r="C345" s="16">
        <f t="shared" si="27"/>
        <v>70.9</v>
      </c>
      <c r="D345" s="2" t="s">
        <v>633</v>
      </c>
      <c r="E345" s="9">
        <v>73</v>
      </c>
      <c r="F345" s="12">
        <v>63</v>
      </c>
      <c r="G345" s="12">
        <v>67</v>
      </c>
      <c r="H345" s="2" t="s">
        <v>54</v>
      </c>
      <c r="I345" s="2" t="s">
        <v>104</v>
      </c>
      <c r="J345" s="4" t="s">
        <v>105</v>
      </c>
      <c r="M345" s="2">
        <f t="shared" si="25"/>
        <v>105</v>
      </c>
      <c r="N345" s="2">
        <f t="shared" si="26"/>
        <v>70.4</v>
      </c>
      <c r="O345" s="2">
        <f>IF(M345="","",IF(M345&gt;=1000,95,IF(M345&lt;=12.5,50,LOOKUP(M345,{12.5,15,20,30,45,60,75,105,115,150,200,225,250,600,1000},{50,55,60,62,65,68,70,72,75,80,82,85,87,90,95})+(M345-LOOKUP(M345,{12.5,15,20,30,45,60,75,105,115,150,200,225,250,600},{12.5,15,20,30,45,60,75,105,115,150,200,225,250,600}))/(LOOKUP(M345,{12.5,15,20,30,45,60,75,105,115,150,200,225,250,600,1000},{15,20,30,45,60,75,105,115,150,200,225,250,600,1000,1000})-LOOKUP(M345,{12.5,15,20,30,45,60,75,105,115,150,200,225,250,600},{12.5,15,20,30,45,60,75,105,115,150,200,225,250,600}))*(LOOKUP(M345,{12.5,15,20,30,45,60,75,105,115,150,200,225,250,600,1000},{55,60,62,65,68,70,72,75,80,82,85,87,90,95,95})-LOOKUP(M345,{12.5,15,20,30,45,60,75,105,115,150,200,225,250,600,1000},{50,55,60,62,65,68,70,72,75,80,82,85,87,90,95})))))</f>
        <v>72</v>
      </c>
      <c r="P345" s="2">
        <f t="shared" si="28"/>
        <v>1</v>
      </c>
      <c r="Q345" s="2">
        <f t="shared" si="29"/>
        <v>0.5</v>
      </c>
    </row>
    <row r="346" customHeight="1" spans="1:17">
      <c r="B346" s="2">
        <v>345</v>
      </c>
      <c r="C346" s="16">
        <f t="shared" si="27"/>
        <v>70.9</v>
      </c>
      <c r="D346" s="2" t="s">
        <v>634</v>
      </c>
      <c r="E346" s="12">
        <v>68</v>
      </c>
      <c r="F346" s="12">
        <v>69</v>
      </c>
      <c r="G346" s="10">
        <v>80</v>
      </c>
      <c r="H346" s="2" t="s">
        <v>37</v>
      </c>
      <c r="I346" s="2" t="s">
        <v>63</v>
      </c>
      <c r="J346" s="4" t="s">
        <v>38</v>
      </c>
      <c r="M346" s="2">
        <f t="shared" si="25"/>
        <v>45</v>
      </c>
      <c r="N346" s="2">
        <f t="shared" si="26"/>
        <v>69.4</v>
      </c>
      <c r="O346" s="2">
        <f>IF(M346="","",IF(M346&gt;=1000,95,IF(M346&lt;=12.5,50,LOOKUP(M346,{12.5,15,20,30,45,60,75,105,115,150,200,225,250,600,1000},{50,55,60,62,65,68,70,72,75,80,82,85,87,90,95})+(M346-LOOKUP(M346,{12.5,15,20,30,45,60,75,105,115,150,200,225,250,600},{12.5,15,20,30,45,60,75,105,115,150,200,225,250,600}))/(LOOKUP(M346,{12.5,15,20,30,45,60,75,105,115,150,200,225,250,600,1000},{15,20,30,45,60,75,105,115,150,200,225,250,600,1000,1000})-LOOKUP(M346,{12.5,15,20,30,45,60,75,105,115,150,200,225,250,600},{12.5,15,20,30,45,60,75,105,115,150,200,225,250,600}))*(LOOKUP(M346,{12.5,15,20,30,45,60,75,105,115,150,200,225,250,600,1000},{55,60,62,65,68,70,72,75,80,82,85,87,90,95,95})-LOOKUP(M346,{12.5,15,20,30,45,60,75,105,115,150,200,225,250,600,1000},{50,55,60,62,65,68,70,72,75,80,82,85,87,90,95})))))</f>
        <v>65</v>
      </c>
      <c r="P346" s="2">
        <f t="shared" si="28"/>
        <v>3</v>
      </c>
      <c r="Q346" s="2">
        <f t="shared" si="29"/>
        <v>1.5</v>
      </c>
    </row>
    <row r="347" customHeight="1" spans="1:17">
      <c r="B347" s="2">
        <v>346</v>
      </c>
      <c r="C347" s="16">
        <f t="shared" si="27"/>
        <v>70.9</v>
      </c>
      <c r="D347" s="2" t="s">
        <v>635</v>
      </c>
      <c r="E347" s="12">
        <v>67</v>
      </c>
      <c r="F347" s="12">
        <v>68</v>
      </c>
      <c r="G347" s="12">
        <v>69</v>
      </c>
      <c r="H347" s="2" t="s">
        <v>636</v>
      </c>
      <c r="I347" s="2" t="s">
        <v>577</v>
      </c>
      <c r="J347" s="4" t="s">
        <v>140</v>
      </c>
      <c r="M347" s="2">
        <f t="shared" si="25"/>
        <v>20</v>
      </c>
      <c r="N347" s="2">
        <f t="shared" si="26"/>
        <v>67.4</v>
      </c>
      <c r="O347" s="2">
        <f>IF(M347="","",IF(M347&gt;=1000,95,IF(M347&lt;=12.5,50,LOOKUP(M347,{12.5,15,20,30,45,60,75,105,115,150,200,225,250,600,1000},{50,55,60,62,65,68,70,72,75,80,82,85,87,90,95})+(M347-LOOKUP(M347,{12.5,15,20,30,45,60,75,105,115,150,200,225,250,600},{12.5,15,20,30,45,60,75,105,115,150,200,225,250,600}))/(LOOKUP(M347,{12.5,15,20,30,45,60,75,105,115,150,200,225,250,600,1000},{15,20,30,45,60,75,105,115,150,200,225,250,600,1000,1000})-LOOKUP(M347,{12.5,15,20,30,45,60,75,105,115,150,200,225,250,600},{12.5,15,20,30,45,60,75,105,115,150,200,225,250,600}))*(LOOKUP(M347,{12.5,15,20,30,45,60,75,105,115,150,200,225,250,600,1000},{55,60,62,65,68,70,72,75,80,82,85,87,90,95,95})-LOOKUP(M347,{12.5,15,20,30,45,60,75,105,115,150,200,225,250,600,1000},{50,55,60,62,65,68,70,72,75,80,82,85,87,90,95})))))</f>
        <v>60</v>
      </c>
      <c r="P347" s="2">
        <f t="shared" si="28"/>
        <v>7</v>
      </c>
      <c r="Q347" s="2">
        <f t="shared" si="29"/>
        <v>3.5</v>
      </c>
    </row>
    <row r="348" customHeight="1" spans="1:17">
      <c r="B348" s="2">
        <v>347</v>
      </c>
      <c r="C348" s="16">
        <f t="shared" si="27"/>
        <v>70.9</v>
      </c>
      <c r="D348" s="2" t="s">
        <v>637</v>
      </c>
      <c r="E348" s="9">
        <v>72</v>
      </c>
      <c r="F348" s="12">
        <v>65</v>
      </c>
      <c r="G348" s="9">
        <v>75</v>
      </c>
      <c r="H348" s="2" t="s">
        <v>264</v>
      </c>
      <c r="I348" s="2" t="s">
        <v>638</v>
      </c>
      <c r="J348" s="4" t="s">
        <v>105</v>
      </c>
      <c r="M348" s="2">
        <f t="shared" si="25"/>
        <v>105</v>
      </c>
      <c r="N348" s="2">
        <f t="shared" si="26"/>
        <v>70.9</v>
      </c>
      <c r="O348" s="2">
        <f>IF(M348="","",IF(M348&gt;=1000,95,IF(M348&lt;=12.5,50,LOOKUP(M348,{12.5,15,20,30,45,60,75,105,115,150,200,225,250,600,1000},{50,55,60,62,65,68,70,72,75,80,82,85,87,90,95})+(M348-LOOKUP(M348,{12.5,15,20,30,45,60,75,105,115,150,200,225,250,600},{12.5,15,20,30,45,60,75,105,115,150,200,225,250,600}))/(LOOKUP(M348,{12.5,15,20,30,45,60,75,105,115,150,200,225,250,600,1000},{15,20,30,45,60,75,105,115,150,200,225,250,600,1000,1000})-LOOKUP(M348,{12.5,15,20,30,45,60,75,105,115,150,200,225,250,600},{12.5,15,20,30,45,60,75,105,115,150,200,225,250,600}))*(LOOKUP(M348,{12.5,15,20,30,45,60,75,105,115,150,200,225,250,600,1000},{55,60,62,65,68,70,72,75,80,82,85,87,90,95,95})-LOOKUP(M348,{12.5,15,20,30,45,60,75,105,115,150,200,225,250,600,1000},{50,55,60,62,65,68,70,72,75,80,82,85,87,90,95})))))</f>
        <v>72</v>
      </c>
      <c r="P348" s="2">
        <f t="shared" si="28"/>
        <v>0</v>
      </c>
      <c r="Q348" s="2">
        <f t="shared" si="29"/>
        <v>0</v>
      </c>
    </row>
    <row r="349" customHeight="1" spans="1:17">
      <c r="B349" s="2">
        <v>348</v>
      </c>
      <c r="C349" s="16">
        <f t="shared" si="27"/>
        <v>70.9</v>
      </c>
      <c r="D349" s="2" t="s">
        <v>639</v>
      </c>
      <c r="E349" s="9">
        <v>77</v>
      </c>
      <c r="F349" s="9">
        <v>78</v>
      </c>
      <c r="G349" s="2">
        <v>54</v>
      </c>
      <c r="H349" s="2" t="s">
        <v>640</v>
      </c>
      <c r="I349" s="2" t="s">
        <v>23</v>
      </c>
      <c r="J349" s="4" t="s">
        <v>19</v>
      </c>
      <c r="K349" s="2" t="s">
        <v>641</v>
      </c>
      <c r="M349" s="2">
        <f t="shared" si="25"/>
        <v>225</v>
      </c>
      <c r="N349" s="2">
        <f t="shared" si="26"/>
        <v>74.9</v>
      </c>
      <c r="O349" s="2">
        <f>IF(M349="","",IF(M349&gt;=1000,95,IF(M349&lt;=12.5,50,LOOKUP(M349,{12.5,15,20,30,45,60,75,105,115,150,200,225,250,600,1000},{50,55,60,62,65,68,70,72,75,80,82,85,87,90,95})+(M349-LOOKUP(M349,{12.5,15,20,30,45,60,75,105,115,150,200,225,250,600},{12.5,15,20,30,45,60,75,105,115,150,200,225,250,600}))/(LOOKUP(M349,{12.5,15,20,30,45,60,75,105,115,150,200,225,250,600,1000},{15,20,30,45,60,75,105,115,150,200,225,250,600,1000,1000})-LOOKUP(M349,{12.5,15,20,30,45,60,75,105,115,150,200,225,250,600},{12.5,15,20,30,45,60,75,105,115,150,200,225,250,600}))*(LOOKUP(M349,{12.5,15,20,30,45,60,75,105,115,150,200,225,250,600,1000},{55,60,62,65,68,70,72,75,80,82,85,87,90,95,95})-LOOKUP(M349,{12.5,15,20,30,45,60,75,105,115,150,200,225,250,600,1000},{50,55,60,62,65,68,70,72,75,80,82,85,87,90,95})))))</f>
        <v>85</v>
      </c>
      <c r="P349" s="2">
        <f t="shared" si="28"/>
        <v>-8</v>
      </c>
      <c r="Q349" s="2">
        <f t="shared" si="29"/>
        <v>-4</v>
      </c>
    </row>
    <row r="350" customHeight="1" spans="1:17">
      <c r="A350" s="2">
        <v>2026</v>
      </c>
      <c r="B350" s="2">
        <v>349</v>
      </c>
      <c r="C350" s="16">
        <f t="shared" si="27"/>
        <v>70.9</v>
      </c>
      <c r="D350" s="2" t="s">
        <v>642</v>
      </c>
      <c r="E350" s="9">
        <v>72</v>
      </c>
      <c r="F350" s="2">
        <v>58</v>
      </c>
      <c r="G350" s="2">
        <v>54</v>
      </c>
      <c r="H350" s="2" t="s">
        <v>643</v>
      </c>
      <c r="I350" s="2" t="s">
        <v>33</v>
      </c>
      <c r="J350" s="4" t="s">
        <v>38</v>
      </c>
      <c r="M350" s="2">
        <f t="shared" si="25"/>
        <v>45</v>
      </c>
      <c r="N350" s="2">
        <f t="shared" si="26"/>
        <v>67.4</v>
      </c>
      <c r="O350" s="2">
        <f>IF(M350="","",IF(M350&gt;=1000,95,IF(M350&lt;=12.5,50,LOOKUP(M350,{12.5,15,20,30,45,60,75,105,115,150,200,225,250,600,1000},{50,55,60,62,65,68,70,72,75,80,82,85,87,90,95})+(M350-LOOKUP(M350,{12.5,15,20,30,45,60,75,105,115,150,200,225,250,600},{12.5,15,20,30,45,60,75,105,115,150,200,225,250,600}))/(LOOKUP(M350,{12.5,15,20,30,45,60,75,105,115,150,200,225,250,600,1000},{15,20,30,45,60,75,105,115,150,200,225,250,600,1000,1000})-LOOKUP(M350,{12.5,15,20,30,45,60,75,105,115,150,200,225,250,600},{12.5,15,20,30,45,60,75,105,115,150,200,225,250,600}))*(LOOKUP(M350,{12.5,15,20,30,45,60,75,105,115,150,200,225,250,600,1000},{55,60,62,65,68,70,72,75,80,82,85,87,90,95,95})-LOOKUP(M350,{12.5,15,20,30,45,60,75,105,115,150,200,225,250,600,1000},{50,55,60,62,65,68,70,72,75,80,82,85,87,90,95})))))</f>
        <v>65</v>
      </c>
      <c r="P350" s="2">
        <f t="shared" si="28"/>
        <v>7</v>
      </c>
      <c r="Q350" s="2">
        <f t="shared" si="29"/>
        <v>3.5</v>
      </c>
    </row>
    <row r="351" customHeight="1" spans="1:17">
      <c r="B351" s="2">
        <v>350</v>
      </c>
      <c r="C351" s="16">
        <f t="shared" si="27"/>
        <v>70.84</v>
      </c>
      <c r="D351" s="2" t="s">
        <v>644</v>
      </c>
      <c r="E351" s="12">
        <v>67</v>
      </c>
      <c r="F351" s="12">
        <v>60</v>
      </c>
      <c r="G351" s="2">
        <v>46</v>
      </c>
      <c r="H351" s="2" t="s">
        <v>166</v>
      </c>
      <c r="I351" s="2" t="s">
        <v>28</v>
      </c>
      <c r="J351" s="4" t="s">
        <v>77</v>
      </c>
      <c r="M351" s="2">
        <f t="shared" si="25"/>
        <v>12.5</v>
      </c>
      <c r="N351" s="2">
        <f t="shared" si="26"/>
        <v>63.5</v>
      </c>
      <c r="O351" s="2">
        <f>IF(M351="","",IF(M351&gt;=1000,95,IF(M351&lt;=12.5,50,LOOKUP(M351,{12.5,15,20,30,45,60,75,105,115,150,200,225,250,600,1000},{50,55,60,62,65,68,70,72,75,80,82,85,87,90,95})+(M351-LOOKUP(M351,{12.5,15,20,30,45,60,75,105,115,150,200,225,250,600},{12.5,15,20,30,45,60,75,105,115,150,200,225,250,600}))/(LOOKUP(M351,{12.5,15,20,30,45,60,75,105,115,150,200,225,250,600,1000},{15,20,30,45,60,75,105,115,150,200,225,250,600,1000,1000})-LOOKUP(M351,{12.5,15,20,30,45,60,75,105,115,150,200,225,250,600},{12.5,15,20,30,45,60,75,105,115,150,200,225,250,600}))*(LOOKUP(M351,{12.5,15,20,30,45,60,75,105,115,150,200,225,250,600,1000},{55,60,62,65,68,70,72,75,80,82,85,87,90,95,95})-LOOKUP(M351,{12.5,15,20,30,45,60,75,105,115,150,200,225,250,600,1000},{50,55,60,62,65,68,70,72,75,80,82,85,87,90,95})))))</f>
        <v>50</v>
      </c>
      <c r="P351" s="2">
        <f t="shared" si="28"/>
        <v>17</v>
      </c>
      <c r="Q351" s="2">
        <f t="shared" si="29"/>
        <v>7.34</v>
      </c>
    </row>
    <row r="352" customHeight="1" spans="1:17">
      <c r="A352" s="2">
        <v>2026</v>
      </c>
      <c r="B352" s="2">
        <v>351</v>
      </c>
      <c r="C352" s="16">
        <f t="shared" si="27"/>
        <v>70.8</v>
      </c>
      <c r="D352" s="2" t="s">
        <v>645</v>
      </c>
      <c r="E352" s="9">
        <v>74</v>
      </c>
      <c r="F352" s="12">
        <v>60</v>
      </c>
      <c r="G352" s="2">
        <v>50</v>
      </c>
      <c r="H352" s="2" t="s">
        <v>231</v>
      </c>
      <c r="I352" s="2" t="s">
        <v>104</v>
      </c>
      <c r="J352" s="4" t="s">
        <v>24</v>
      </c>
      <c r="K352" s="2" t="s">
        <v>646</v>
      </c>
      <c r="M352" s="2">
        <f t="shared" si="25"/>
        <v>75</v>
      </c>
      <c r="N352" s="2">
        <f t="shared" si="26"/>
        <v>68.8</v>
      </c>
      <c r="O352" s="2">
        <f>IF(M352="","",IF(M352&gt;=1000,95,IF(M352&lt;=12.5,50,LOOKUP(M352,{12.5,15,20,30,45,60,75,105,115,150,200,225,250,600,1000},{50,55,60,62,65,68,70,72,75,80,82,85,87,90,95})+(M352-LOOKUP(M352,{12.5,15,20,30,45,60,75,105,115,150,200,225,250,600},{12.5,15,20,30,45,60,75,105,115,150,200,225,250,600}))/(LOOKUP(M352,{12.5,15,20,30,45,60,75,105,115,150,200,225,250,600,1000},{15,20,30,45,60,75,105,115,150,200,225,250,600,1000,1000})-LOOKUP(M352,{12.5,15,20,30,45,60,75,105,115,150,200,225,250,600},{12.5,15,20,30,45,60,75,105,115,150,200,225,250,600}))*(LOOKUP(M352,{12.5,15,20,30,45,60,75,105,115,150,200,225,250,600,1000},{55,60,62,65,68,70,72,75,80,82,85,87,90,95,95})-LOOKUP(M352,{12.5,15,20,30,45,60,75,105,115,150,200,225,250,600,1000},{50,55,60,62,65,68,70,72,75,80,82,85,87,90,95})))))</f>
        <v>70</v>
      </c>
      <c r="P352" s="2">
        <f t="shared" si="28"/>
        <v>4</v>
      </c>
      <c r="Q352" s="2">
        <f t="shared" si="29"/>
        <v>2</v>
      </c>
    </row>
    <row r="353" customHeight="1" spans="1:17">
      <c r="B353" s="2">
        <v>352</v>
      </c>
      <c r="C353" s="16">
        <f t="shared" si="27"/>
        <v>70.8</v>
      </c>
      <c r="D353" s="2" t="s">
        <v>647</v>
      </c>
      <c r="E353" s="9">
        <v>78</v>
      </c>
      <c r="F353" s="9">
        <v>77</v>
      </c>
      <c r="G353" s="2">
        <v>53</v>
      </c>
      <c r="H353" s="2" t="s">
        <v>119</v>
      </c>
      <c r="I353" s="2" t="s">
        <v>104</v>
      </c>
      <c r="J353" s="4" t="s">
        <v>123</v>
      </c>
      <c r="K353" s="2" t="s">
        <v>648</v>
      </c>
      <c r="M353" s="2">
        <f t="shared" si="25"/>
        <v>250</v>
      </c>
      <c r="N353" s="2">
        <f t="shared" si="26"/>
        <v>75.3</v>
      </c>
      <c r="O353" s="2">
        <f>IF(M353="","",IF(M353&gt;=1000,95,IF(M353&lt;=12.5,50,LOOKUP(M353,{12.5,15,20,30,45,60,75,105,115,150,200,225,250,600,1000},{50,55,60,62,65,68,70,72,75,80,82,85,87,90,95})+(M353-LOOKUP(M353,{12.5,15,20,30,45,60,75,105,115,150,200,225,250,600},{12.5,15,20,30,45,60,75,105,115,150,200,225,250,600}))/(LOOKUP(M353,{12.5,15,20,30,45,60,75,105,115,150,200,225,250,600,1000},{15,20,30,45,60,75,105,115,150,200,225,250,600,1000,1000})-LOOKUP(M353,{12.5,15,20,30,45,60,75,105,115,150,200,225,250,600},{12.5,15,20,30,45,60,75,105,115,150,200,225,250,600}))*(LOOKUP(M353,{12.5,15,20,30,45,60,75,105,115,150,200,225,250,600,1000},{55,60,62,65,68,70,72,75,80,82,85,87,90,95,95})-LOOKUP(M353,{12.5,15,20,30,45,60,75,105,115,150,200,225,250,600,1000},{50,55,60,62,65,68,70,72,75,80,82,85,87,90,95})))))</f>
        <v>87</v>
      </c>
      <c r="P353" s="2">
        <f t="shared" si="28"/>
        <v>-9</v>
      </c>
      <c r="Q353" s="2">
        <f t="shared" si="29"/>
        <v>-4.5</v>
      </c>
    </row>
    <row r="354" customHeight="1" spans="1:17">
      <c r="A354" s="2">
        <v>2026</v>
      </c>
      <c r="B354" s="2">
        <v>353</v>
      </c>
      <c r="C354" s="16">
        <f t="shared" si="27"/>
        <v>70.8</v>
      </c>
      <c r="D354" s="2" t="s">
        <v>649</v>
      </c>
      <c r="E354" s="9">
        <v>72</v>
      </c>
      <c r="F354" s="2">
        <v>57</v>
      </c>
      <c r="G354" s="2">
        <v>55</v>
      </c>
      <c r="H354" s="2" t="s">
        <v>41</v>
      </c>
      <c r="I354" s="2" t="s">
        <v>63</v>
      </c>
      <c r="J354" s="4" t="s">
        <v>38</v>
      </c>
      <c r="M354" s="2">
        <f t="shared" si="25"/>
        <v>45</v>
      </c>
      <c r="N354" s="2">
        <f t="shared" si="26"/>
        <v>67.3</v>
      </c>
      <c r="O354" s="2">
        <f>IF(M354="","",IF(M354&gt;=1000,95,IF(M354&lt;=12.5,50,LOOKUP(M354,{12.5,15,20,30,45,60,75,105,115,150,200,225,250,600,1000},{50,55,60,62,65,68,70,72,75,80,82,85,87,90,95})+(M354-LOOKUP(M354,{12.5,15,20,30,45,60,75,105,115,150,200,225,250,600},{12.5,15,20,30,45,60,75,105,115,150,200,225,250,600}))/(LOOKUP(M354,{12.5,15,20,30,45,60,75,105,115,150,200,225,250,600,1000},{15,20,30,45,60,75,105,115,150,200,225,250,600,1000,1000})-LOOKUP(M354,{12.5,15,20,30,45,60,75,105,115,150,200,225,250,600},{12.5,15,20,30,45,60,75,105,115,150,200,225,250,600}))*(LOOKUP(M354,{12.5,15,20,30,45,60,75,105,115,150,200,225,250,600,1000},{55,60,62,65,68,70,72,75,80,82,85,87,90,95,95})-LOOKUP(M354,{12.5,15,20,30,45,60,75,105,115,150,200,225,250,600,1000},{50,55,60,62,65,68,70,72,75,80,82,85,87,90,95})))))</f>
        <v>65</v>
      </c>
      <c r="P354" s="2">
        <f t="shared" si="28"/>
        <v>7</v>
      </c>
      <c r="Q354" s="2">
        <f t="shared" si="29"/>
        <v>3.5</v>
      </c>
    </row>
    <row r="355" customHeight="1" spans="1:17">
      <c r="B355" s="2">
        <v>354</v>
      </c>
      <c r="C355" s="16">
        <f t="shared" si="27"/>
        <v>70.8</v>
      </c>
      <c r="D355" s="2" t="s">
        <v>650</v>
      </c>
      <c r="E355" s="9">
        <v>72</v>
      </c>
      <c r="F355" s="2">
        <v>58</v>
      </c>
      <c r="G355" s="2">
        <v>38</v>
      </c>
      <c r="H355" s="2" t="s">
        <v>347</v>
      </c>
      <c r="I355" s="2" t="s">
        <v>28</v>
      </c>
      <c r="J355" s="4" t="s">
        <v>88</v>
      </c>
      <c r="M355" s="2">
        <f t="shared" si="25"/>
        <v>30</v>
      </c>
      <c r="N355" s="2">
        <f t="shared" si="26"/>
        <v>65.8</v>
      </c>
      <c r="O355" s="2">
        <f>IF(M355="","",IF(M355&gt;=1000,95,IF(M355&lt;=12.5,50,LOOKUP(M355,{12.5,15,20,30,45,60,75,105,115,150,200,225,250,600,1000},{50,55,60,62,65,68,70,72,75,80,82,85,87,90,95})+(M355-LOOKUP(M355,{12.5,15,20,30,45,60,75,105,115,150,200,225,250,600},{12.5,15,20,30,45,60,75,105,115,150,200,225,250,600}))/(LOOKUP(M355,{12.5,15,20,30,45,60,75,105,115,150,200,225,250,600,1000},{15,20,30,45,60,75,105,115,150,200,225,250,600,1000,1000})-LOOKUP(M355,{12.5,15,20,30,45,60,75,105,115,150,200,225,250,600},{12.5,15,20,30,45,60,75,105,115,150,200,225,250,600}))*(LOOKUP(M355,{12.5,15,20,30,45,60,75,105,115,150,200,225,250,600,1000},{55,60,62,65,68,70,72,75,80,82,85,87,90,95,95})-LOOKUP(M355,{12.5,15,20,30,45,60,75,105,115,150,200,225,250,600,1000},{50,55,60,62,65,68,70,72,75,80,82,85,87,90,95})))))</f>
        <v>62</v>
      </c>
      <c r="P355" s="2">
        <f t="shared" si="28"/>
        <v>10</v>
      </c>
      <c r="Q355" s="2">
        <f t="shared" si="29"/>
        <v>5</v>
      </c>
    </row>
    <row r="356" customHeight="1" spans="1:17">
      <c r="B356" s="2">
        <v>355</v>
      </c>
      <c r="C356" s="16">
        <f t="shared" si="27"/>
        <v>70.7</v>
      </c>
      <c r="D356" s="2" t="s">
        <v>651</v>
      </c>
      <c r="E356" s="9">
        <v>71</v>
      </c>
      <c r="F356" s="9">
        <v>70</v>
      </c>
      <c r="G356" s="12">
        <v>65</v>
      </c>
      <c r="H356" s="2" t="s">
        <v>32</v>
      </c>
      <c r="I356" s="2" t="s">
        <v>33</v>
      </c>
      <c r="J356" s="4" t="s">
        <v>24</v>
      </c>
      <c r="M356" s="2">
        <f t="shared" si="25"/>
        <v>75</v>
      </c>
      <c r="N356" s="2">
        <f t="shared" si="26"/>
        <v>70.2</v>
      </c>
      <c r="O356" s="2">
        <f>IF(M356="","",IF(M356&gt;=1000,95,IF(M356&lt;=12.5,50,LOOKUP(M356,{12.5,15,20,30,45,60,75,105,115,150,200,225,250,600,1000},{50,55,60,62,65,68,70,72,75,80,82,85,87,90,95})+(M356-LOOKUP(M356,{12.5,15,20,30,45,60,75,105,115,150,200,225,250,600},{12.5,15,20,30,45,60,75,105,115,150,200,225,250,600}))/(LOOKUP(M356,{12.5,15,20,30,45,60,75,105,115,150,200,225,250,600,1000},{15,20,30,45,60,75,105,115,150,200,225,250,600,1000,1000})-LOOKUP(M356,{12.5,15,20,30,45,60,75,105,115,150,200,225,250,600},{12.5,15,20,30,45,60,75,105,115,150,200,225,250,600}))*(LOOKUP(M356,{12.5,15,20,30,45,60,75,105,115,150,200,225,250,600,1000},{55,60,62,65,68,70,72,75,80,82,85,87,90,95,95})-LOOKUP(M356,{12.5,15,20,30,45,60,75,105,115,150,200,225,250,600,1000},{50,55,60,62,65,68,70,72,75,80,82,85,87,90,95})))))</f>
        <v>70</v>
      </c>
      <c r="P356" s="2">
        <f t="shared" si="28"/>
        <v>1</v>
      </c>
      <c r="Q356" s="2">
        <f t="shared" si="29"/>
        <v>0.5</v>
      </c>
    </row>
    <row r="357" customHeight="1" spans="1:17">
      <c r="B357" s="2">
        <v>356</v>
      </c>
      <c r="C357" s="16">
        <f t="shared" si="27"/>
        <v>70.7</v>
      </c>
      <c r="D357" s="2" t="s">
        <v>652</v>
      </c>
      <c r="E357" s="9">
        <v>72</v>
      </c>
      <c r="F357" s="2">
        <v>56</v>
      </c>
      <c r="G357" s="2">
        <v>56</v>
      </c>
      <c r="H357" s="2" t="s">
        <v>41</v>
      </c>
      <c r="I357" s="2" t="s">
        <v>28</v>
      </c>
      <c r="J357" s="4" t="s">
        <v>38</v>
      </c>
      <c r="K357" s="2" t="s">
        <v>653</v>
      </c>
      <c r="M357" s="2">
        <f t="shared" si="25"/>
        <v>45</v>
      </c>
      <c r="N357" s="2">
        <f t="shared" si="26"/>
        <v>67.2</v>
      </c>
      <c r="O357" s="2">
        <f>IF(M357="","",IF(M357&gt;=1000,95,IF(M357&lt;=12.5,50,LOOKUP(M357,{12.5,15,20,30,45,60,75,105,115,150,200,225,250,600,1000},{50,55,60,62,65,68,70,72,75,80,82,85,87,90,95})+(M357-LOOKUP(M357,{12.5,15,20,30,45,60,75,105,115,150,200,225,250,600},{12.5,15,20,30,45,60,75,105,115,150,200,225,250,600}))/(LOOKUP(M357,{12.5,15,20,30,45,60,75,105,115,150,200,225,250,600,1000},{15,20,30,45,60,75,105,115,150,200,225,250,600,1000,1000})-LOOKUP(M357,{12.5,15,20,30,45,60,75,105,115,150,200,225,250,600},{12.5,15,20,30,45,60,75,105,115,150,200,225,250,600}))*(LOOKUP(M357,{12.5,15,20,30,45,60,75,105,115,150,200,225,250,600,1000},{55,60,62,65,68,70,72,75,80,82,85,87,90,95,95})-LOOKUP(M357,{12.5,15,20,30,45,60,75,105,115,150,200,225,250,600,1000},{50,55,60,62,65,68,70,72,75,80,82,85,87,90,95})))))</f>
        <v>65</v>
      </c>
      <c r="P357" s="2">
        <f t="shared" si="28"/>
        <v>7</v>
      </c>
      <c r="Q357" s="2">
        <f t="shared" si="29"/>
        <v>3.5</v>
      </c>
    </row>
    <row r="358" customHeight="1" spans="1:17">
      <c r="B358" s="2">
        <v>357</v>
      </c>
      <c r="C358" s="16">
        <f t="shared" si="27"/>
        <v>70.67</v>
      </c>
      <c r="D358" s="2" t="s">
        <v>654</v>
      </c>
      <c r="E358" s="9">
        <v>75</v>
      </c>
      <c r="F358" s="2">
        <v>45</v>
      </c>
      <c r="G358" s="2">
        <v>25</v>
      </c>
      <c r="H358" s="2" t="s">
        <v>122</v>
      </c>
      <c r="I358" s="2" t="s">
        <v>28</v>
      </c>
      <c r="J358" s="4" t="s">
        <v>140</v>
      </c>
      <c r="K358" s="2" t="s">
        <v>655</v>
      </c>
      <c r="M358" s="2">
        <f t="shared" si="25"/>
        <v>20</v>
      </c>
      <c r="N358" s="2">
        <f t="shared" si="26"/>
        <v>64</v>
      </c>
      <c r="O358" s="2">
        <f>IF(M358="","",IF(M358&gt;=1000,95,IF(M358&lt;=12.5,50,LOOKUP(M358,{12.5,15,20,30,45,60,75,105,115,150,200,225,250,600,1000},{50,55,60,62,65,68,70,72,75,80,82,85,87,90,95})+(M358-LOOKUP(M358,{12.5,15,20,30,45,60,75,105,115,150,200,225,250,600},{12.5,15,20,30,45,60,75,105,115,150,200,225,250,600}))/(LOOKUP(M358,{12.5,15,20,30,45,60,75,105,115,150,200,225,250,600,1000},{15,20,30,45,60,75,105,115,150,200,225,250,600,1000,1000})-LOOKUP(M358,{12.5,15,20,30,45,60,75,105,115,150,200,225,250,600},{12.5,15,20,30,45,60,75,105,115,150,200,225,250,600}))*(LOOKUP(M358,{12.5,15,20,30,45,60,75,105,115,150,200,225,250,600,1000},{55,60,62,65,68,70,72,75,80,82,85,87,90,95,95})-LOOKUP(M358,{12.5,15,20,30,45,60,75,105,115,150,200,225,250,600,1000},{50,55,60,62,65,68,70,72,75,80,82,85,87,90,95})))))</f>
        <v>60</v>
      </c>
      <c r="P358" s="2">
        <f t="shared" si="28"/>
        <v>15</v>
      </c>
      <c r="Q358" s="2">
        <f t="shared" si="29"/>
        <v>6.67</v>
      </c>
    </row>
    <row r="359" customHeight="1" spans="1:17">
      <c r="B359" s="2">
        <v>358</v>
      </c>
      <c r="C359" s="16">
        <f t="shared" si="27"/>
        <v>70.6</v>
      </c>
      <c r="D359" s="2" t="s">
        <v>656</v>
      </c>
      <c r="E359" s="9">
        <v>71</v>
      </c>
      <c r="F359" s="9">
        <v>74</v>
      </c>
      <c r="G359" s="10">
        <v>81</v>
      </c>
      <c r="H359" s="2" t="s">
        <v>657</v>
      </c>
      <c r="I359" s="2" t="s">
        <v>18</v>
      </c>
      <c r="J359" s="4" t="s">
        <v>148</v>
      </c>
      <c r="M359" s="2">
        <f t="shared" si="25"/>
        <v>115</v>
      </c>
      <c r="N359" s="2">
        <f t="shared" si="26"/>
        <v>72.6</v>
      </c>
      <c r="O359" s="2">
        <f>IF(M359="","",IF(M359&gt;=1000,95,IF(M359&lt;=12.5,50,LOOKUP(M359,{12.5,15,20,30,45,60,75,105,115,150,200,225,250,600,1000},{50,55,60,62,65,68,70,72,75,80,82,85,87,90,95})+(M359-LOOKUP(M359,{12.5,15,20,30,45,60,75,105,115,150,200,225,250,600},{12.5,15,20,30,45,60,75,105,115,150,200,225,250,600}))/(LOOKUP(M359,{12.5,15,20,30,45,60,75,105,115,150,200,225,250,600,1000},{15,20,30,45,60,75,105,115,150,200,225,250,600,1000,1000})-LOOKUP(M359,{12.5,15,20,30,45,60,75,105,115,150,200,225,250,600},{12.5,15,20,30,45,60,75,105,115,150,200,225,250,600}))*(LOOKUP(M359,{12.5,15,20,30,45,60,75,105,115,150,200,225,250,600,1000},{55,60,62,65,68,70,72,75,80,82,85,87,90,95,95})-LOOKUP(M359,{12.5,15,20,30,45,60,75,105,115,150,200,225,250,600,1000},{50,55,60,62,65,68,70,72,75,80,82,85,87,90,95})))))</f>
        <v>75</v>
      </c>
      <c r="P359" s="2">
        <f t="shared" si="28"/>
        <v>-4</v>
      </c>
      <c r="Q359" s="2">
        <f t="shared" si="29"/>
        <v>-2</v>
      </c>
    </row>
    <row r="360" customHeight="1" spans="1:17">
      <c r="A360" s="2">
        <v>2026</v>
      </c>
      <c r="B360" s="2">
        <v>359</v>
      </c>
      <c r="C360" s="16">
        <f t="shared" si="27"/>
        <v>70.6</v>
      </c>
      <c r="D360" s="2" t="s">
        <v>658</v>
      </c>
      <c r="E360" s="9">
        <v>72</v>
      </c>
      <c r="F360" s="2">
        <v>56</v>
      </c>
      <c r="G360" s="2">
        <v>55</v>
      </c>
      <c r="H360" s="2" t="s">
        <v>339</v>
      </c>
      <c r="I360" s="2" t="s">
        <v>28</v>
      </c>
      <c r="J360" s="4" t="s">
        <v>38</v>
      </c>
      <c r="M360" s="2">
        <f t="shared" si="25"/>
        <v>45</v>
      </c>
      <c r="N360" s="2">
        <f t="shared" si="26"/>
        <v>67.1</v>
      </c>
      <c r="O360" s="2">
        <f>IF(M360="","",IF(M360&gt;=1000,95,IF(M360&lt;=12.5,50,LOOKUP(M360,{12.5,15,20,30,45,60,75,105,115,150,200,225,250,600,1000},{50,55,60,62,65,68,70,72,75,80,82,85,87,90,95})+(M360-LOOKUP(M360,{12.5,15,20,30,45,60,75,105,115,150,200,225,250,600},{12.5,15,20,30,45,60,75,105,115,150,200,225,250,600}))/(LOOKUP(M360,{12.5,15,20,30,45,60,75,105,115,150,200,225,250,600,1000},{15,20,30,45,60,75,105,115,150,200,225,250,600,1000,1000})-LOOKUP(M360,{12.5,15,20,30,45,60,75,105,115,150,200,225,250,600},{12.5,15,20,30,45,60,75,105,115,150,200,225,250,600}))*(LOOKUP(M360,{12.5,15,20,30,45,60,75,105,115,150,200,225,250,600,1000},{55,60,62,65,68,70,72,75,80,82,85,87,90,95,95})-LOOKUP(M360,{12.5,15,20,30,45,60,75,105,115,150,200,225,250,600,1000},{50,55,60,62,65,68,70,72,75,80,82,85,87,90,95})))))</f>
        <v>65</v>
      </c>
      <c r="P360" s="2">
        <f t="shared" si="28"/>
        <v>7</v>
      </c>
      <c r="Q360" s="2">
        <f t="shared" si="29"/>
        <v>3.5</v>
      </c>
    </row>
    <row r="361" customHeight="1" spans="1:17">
      <c r="B361" s="2">
        <v>360</v>
      </c>
      <c r="C361" s="16">
        <f t="shared" si="27"/>
        <v>70.6</v>
      </c>
      <c r="D361" s="2" t="s">
        <v>659</v>
      </c>
      <c r="E361" s="9">
        <v>75</v>
      </c>
      <c r="F361" s="2">
        <v>50</v>
      </c>
      <c r="G361" s="2">
        <v>46</v>
      </c>
      <c r="H361" s="2" t="s">
        <v>342</v>
      </c>
      <c r="I361" s="2" t="s">
        <v>33</v>
      </c>
      <c r="J361" s="4" t="s">
        <v>185</v>
      </c>
      <c r="M361" s="2">
        <f t="shared" si="25"/>
        <v>60</v>
      </c>
      <c r="N361" s="2">
        <f t="shared" si="26"/>
        <v>67.1</v>
      </c>
      <c r="O361" s="2">
        <f>IF(M361="","",IF(M361&gt;=1000,95,IF(M361&lt;=12.5,50,LOOKUP(M361,{12.5,15,20,30,45,60,75,105,115,150,200,225,250,600,1000},{50,55,60,62,65,68,70,72,75,80,82,85,87,90,95})+(M361-LOOKUP(M361,{12.5,15,20,30,45,60,75,105,115,150,200,225,250,600},{12.5,15,20,30,45,60,75,105,115,150,200,225,250,600}))/(LOOKUP(M361,{12.5,15,20,30,45,60,75,105,115,150,200,225,250,600,1000},{15,20,30,45,60,75,105,115,150,200,225,250,600,1000,1000})-LOOKUP(M361,{12.5,15,20,30,45,60,75,105,115,150,200,225,250,600},{12.5,15,20,30,45,60,75,105,115,150,200,225,250,600}))*(LOOKUP(M361,{12.5,15,20,30,45,60,75,105,115,150,200,225,250,600,1000},{55,60,62,65,68,70,72,75,80,82,85,87,90,95,95})-LOOKUP(M361,{12.5,15,20,30,45,60,75,105,115,150,200,225,250,600,1000},{50,55,60,62,65,68,70,72,75,80,82,85,87,90,95})))))</f>
        <v>68</v>
      </c>
      <c r="P361" s="2">
        <f t="shared" si="28"/>
        <v>7</v>
      </c>
      <c r="Q361" s="2">
        <f t="shared" si="29"/>
        <v>3.5</v>
      </c>
    </row>
    <row r="362" customHeight="1" spans="1:17">
      <c r="A362" s="2">
        <v>2026</v>
      </c>
      <c r="B362" s="2">
        <v>361</v>
      </c>
      <c r="C362" s="16">
        <f t="shared" si="27"/>
        <v>70.6</v>
      </c>
      <c r="D362" s="2" t="s">
        <v>660</v>
      </c>
      <c r="E362" s="9">
        <v>72</v>
      </c>
      <c r="F362" s="2">
        <v>52</v>
      </c>
      <c r="G362" s="2">
        <v>48</v>
      </c>
      <c r="H362" s="2" t="s">
        <v>108</v>
      </c>
      <c r="I362" s="2" t="s">
        <v>63</v>
      </c>
      <c r="J362" s="4" t="s">
        <v>88</v>
      </c>
      <c r="M362" s="2">
        <f t="shared" si="25"/>
        <v>30</v>
      </c>
      <c r="N362" s="2">
        <f t="shared" si="26"/>
        <v>65.6</v>
      </c>
      <c r="O362" s="2">
        <f>IF(M362="","",IF(M362&gt;=1000,95,IF(M362&lt;=12.5,50,LOOKUP(M362,{12.5,15,20,30,45,60,75,105,115,150,200,225,250,600,1000},{50,55,60,62,65,68,70,72,75,80,82,85,87,90,95})+(M362-LOOKUP(M362,{12.5,15,20,30,45,60,75,105,115,150,200,225,250,600},{12.5,15,20,30,45,60,75,105,115,150,200,225,250,600}))/(LOOKUP(M362,{12.5,15,20,30,45,60,75,105,115,150,200,225,250,600,1000},{15,20,30,45,60,75,105,115,150,200,225,250,600,1000,1000})-LOOKUP(M362,{12.5,15,20,30,45,60,75,105,115,150,200,225,250,600},{12.5,15,20,30,45,60,75,105,115,150,200,225,250,600}))*(LOOKUP(M362,{12.5,15,20,30,45,60,75,105,115,150,200,225,250,600,1000},{55,60,62,65,68,70,72,75,80,82,85,87,90,95,95})-LOOKUP(M362,{12.5,15,20,30,45,60,75,105,115,150,200,225,250,600,1000},{50,55,60,62,65,68,70,72,75,80,82,85,87,90,95})))))</f>
        <v>62</v>
      </c>
      <c r="P362" s="2">
        <f t="shared" si="28"/>
        <v>10</v>
      </c>
      <c r="Q362" s="2">
        <f t="shared" si="29"/>
        <v>5</v>
      </c>
    </row>
    <row r="363" customHeight="1" spans="1:17">
      <c r="A363" s="2">
        <v>2026</v>
      </c>
      <c r="B363" s="2">
        <v>362</v>
      </c>
      <c r="C363" s="16">
        <f t="shared" si="27"/>
        <v>70.5</v>
      </c>
      <c r="D363" s="2" t="s">
        <v>661</v>
      </c>
      <c r="E363" s="9">
        <v>74</v>
      </c>
      <c r="F363" s="12">
        <v>64</v>
      </c>
      <c r="G363" s="12">
        <v>64</v>
      </c>
      <c r="H363" s="2" t="s">
        <v>54</v>
      </c>
      <c r="I363" s="2" t="s">
        <v>662</v>
      </c>
      <c r="J363" s="4" t="s">
        <v>148</v>
      </c>
      <c r="M363" s="2">
        <f t="shared" si="25"/>
        <v>115</v>
      </c>
      <c r="N363" s="2">
        <f t="shared" si="26"/>
        <v>71</v>
      </c>
      <c r="O363" s="2">
        <f>IF(M363="","",IF(M363&gt;=1000,95,IF(M363&lt;=12.5,50,LOOKUP(M363,{12.5,15,20,30,45,60,75,105,115,150,200,225,250,600,1000},{50,55,60,62,65,68,70,72,75,80,82,85,87,90,95})+(M363-LOOKUP(M363,{12.5,15,20,30,45,60,75,105,115,150,200,225,250,600},{12.5,15,20,30,45,60,75,105,115,150,200,225,250,600}))/(LOOKUP(M363,{12.5,15,20,30,45,60,75,105,115,150,200,225,250,600,1000},{15,20,30,45,60,75,105,115,150,200,225,250,600,1000,1000})-LOOKUP(M363,{12.5,15,20,30,45,60,75,105,115,150,200,225,250,600},{12.5,15,20,30,45,60,75,105,115,150,200,225,250,600}))*(LOOKUP(M363,{12.5,15,20,30,45,60,75,105,115,150,200,225,250,600,1000},{55,60,62,65,68,70,72,75,80,82,85,87,90,95,95})-LOOKUP(M363,{12.5,15,20,30,45,60,75,105,115,150,200,225,250,600,1000},{50,55,60,62,65,68,70,72,75,80,82,85,87,90,95})))))</f>
        <v>75</v>
      </c>
      <c r="P363" s="2">
        <f t="shared" si="28"/>
        <v>-1</v>
      </c>
      <c r="Q363" s="2">
        <f t="shared" si="29"/>
        <v>-0.5</v>
      </c>
    </row>
    <row r="364" customHeight="1" spans="1:17">
      <c r="A364" s="2">
        <v>2026</v>
      </c>
      <c r="B364" s="2">
        <v>363</v>
      </c>
      <c r="C364" s="16">
        <f t="shared" si="27"/>
        <v>70.5</v>
      </c>
      <c r="D364" s="2" t="s">
        <v>663</v>
      </c>
      <c r="E364" s="9">
        <v>76</v>
      </c>
      <c r="F364" s="9">
        <v>70</v>
      </c>
      <c r="G364" s="12">
        <v>63</v>
      </c>
      <c r="H364" s="2" t="s">
        <v>347</v>
      </c>
      <c r="I364" s="2" t="s">
        <v>104</v>
      </c>
      <c r="J364" s="4" t="s">
        <v>51</v>
      </c>
      <c r="M364" s="2">
        <f t="shared" si="25"/>
        <v>200</v>
      </c>
      <c r="N364" s="2">
        <f t="shared" si="26"/>
        <v>73.5</v>
      </c>
      <c r="O364" s="2">
        <f>IF(M364="","",IF(M364&gt;=1000,95,IF(M364&lt;=12.5,50,LOOKUP(M364,{12.5,15,20,30,45,60,75,105,115,150,200,225,250,600,1000},{50,55,60,62,65,68,70,72,75,80,82,85,87,90,95})+(M364-LOOKUP(M364,{12.5,15,20,30,45,60,75,105,115,150,200,225,250,600},{12.5,15,20,30,45,60,75,105,115,150,200,225,250,600}))/(LOOKUP(M364,{12.5,15,20,30,45,60,75,105,115,150,200,225,250,600,1000},{15,20,30,45,60,75,105,115,150,200,225,250,600,1000,1000})-LOOKUP(M364,{12.5,15,20,30,45,60,75,105,115,150,200,225,250,600},{12.5,15,20,30,45,60,75,105,115,150,200,225,250,600}))*(LOOKUP(M364,{12.5,15,20,30,45,60,75,105,115,150,200,225,250,600,1000},{55,60,62,65,68,70,72,75,80,82,85,87,90,95,95})-LOOKUP(M364,{12.5,15,20,30,45,60,75,105,115,150,200,225,250,600,1000},{50,55,60,62,65,68,70,72,75,80,82,85,87,90,95})))))</f>
        <v>82</v>
      </c>
      <c r="P364" s="2">
        <f t="shared" si="28"/>
        <v>-6</v>
      </c>
      <c r="Q364" s="2">
        <f t="shared" si="29"/>
        <v>-3</v>
      </c>
    </row>
    <row r="365" customHeight="1" spans="1:17">
      <c r="B365" s="2">
        <v>364</v>
      </c>
      <c r="C365" s="16">
        <f t="shared" si="27"/>
        <v>70.5</v>
      </c>
      <c r="D365" s="2" t="s">
        <v>664</v>
      </c>
      <c r="E365" s="9">
        <v>71</v>
      </c>
      <c r="F365" s="12">
        <v>66</v>
      </c>
      <c r="G365" s="9">
        <v>71</v>
      </c>
      <c r="H365" s="2" t="s">
        <v>665</v>
      </c>
      <c r="I365" s="2" t="s">
        <v>666</v>
      </c>
      <c r="J365" s="4" t="s">
        <v>24</v>
      </c>
      <c r="K365" s="2" t="s">
        <v>667</v>
      </c>
      <c r="M365" s="2">
        <f t="shared" si="25"/>
        <v>75</v>
      </c>
      <c r="N365" s="2">
        <f t="shared" si="26"/>
        <v>70</v>
      </c>
      <c r="O365" s="2">
        <f>IF(M365="","",IF(M365&gt;=1000,95,IF(M365&lt;=12.5,50,LOOKUP(M365,{12.5,15,20,30,45,60,75,105,115,150,200,225,250,600,1000},{50,55,60,62,65,68,70,72,75,80,82,85,87,90,95})+(M365-LOOKUP(M365,{12.5,15,20,30,45,60,75,105,115,150,200,225,250,600},{12.5,15,20,30,45,60,75,105,115,150,200,225,250,600}))/(LOOKUP(M365,{12.5,15,20,30,45,60,75,105,115,150,200,225,250,600,1000},{15,20,30,45,60,75,105,115,150,200,225,250,600,1000,1000})-LOOKUP(M365,{12.5,15,20,30,45,60,75,105,115,150,200,225,250,600},{12.5,15,20,30,45,60,75,105,115,150,200,225,250,600}))*(LOOKUP(M365,{12.5,15,20,30,45,60,75,105,115,150,200,225,250,600,1000},{55,60,62,65,68,70,72,75,80,82,85,87,90,95,95})-LOOKUP(M365,{12.5,15,20,30,45,60,75,105,115,150,200,225,250,600,1000},{50,55,60,62,65,68,70,72,75,80,82,85,87,90,95})))))</f>
        <v>70</v>
      </c>
      <c r="P365" s="2">
        <f t="shared" si="28"/>
        <v>1</v>
      </c>
      <c r="Q365" s="2">
        <f t="shared" si="29"/>
        <v>0.5</v>
      </c>
    </row>
    <row r="366" customHeight="1" spans="1:17">
      <c r="B366" s="2">
        <v>365</v>
      </c>
      <c r="C366" s="16">
        <f t="shared" si="27"/>
        <v>70.5</v>
      </c>
      <c r="D366" s="2" t="s">
        <v>668</v>
      </c>
      <c r="E366" s="9">
        <v>70</v>
      </c>
      <c r="F366" s="2">
        <v>55</v>
      </c>
      <c r="G366" s="12">
        <v>65</v>
      </c>
      <c r="H366" s="2" t="s">
        <v>37</v>
      </c>
      <c r="I366" s="2" t="s">
        <v>63</v>
      </c>
      <c r="J366" s="4" t="s">
        <v>88</v>
      </c>
      <c r="M366" s="2">
        <f t="shared" si="25"/>
        <v>30</v>
      </c>
      <c r="N366" s="2">
        <f t="shared" si="26"/>
        <v>66.5</v>
      </c>
      <c r="O366" s="2">
        <f>IF(M366="","",IF(M366&gt;=1000,95,IF(M366&lt;=12.5,50,LOOKUP(M366,{12.5,15,20,30,45,60,75,105,115,150,200,225,250,600,1000},{50,55,60,62,65,68,70,72,75,80,82,85,87,90,95})+(M366-LOOKUP(M366,{12.5,15,20,30,45,60,75,105,115,150,200,225,250,600},{12.5,15,20,30,45,60,75,105,115,150,200,225,250,600}))/(LOOKUP(M366,{12.5,15,20,30,45,60,75,105,115,150,200,225,250,600,1000},{15,20,30,45,60,75,105,115,150,200,225,250,600,1000,1000})-LOOKUP(M366,{12.5,15,20,30,45,60,75,105,115,150,200,225,250,600},{12.5,15,20,30,45,60,75,105,115,150,200,225,250,600}))*(LOOKUP(M366,{12.5,15,20,30,45,60,75,105,115,150,200,225,250,600,1000},{55,60,62,65,68,70,72,75,80,82,85,87,90,95,95})-LOOKUP(M366,{12.5,15,20,30,45,60,75,105,115,150,200,225,250,600,1000},{50,55,60,62,65,68,70,72,75,80,82,85,87,90,95})))))</f>
        <v>62</v>
      </c>
      <c r="P366" s="2">
        <f t="shared" si="28"/>
        <v>8</v>
      </c>
      <c r="Q366" s="2">
        <f t="shared" si="29"/>
        <v>4</v>
      </c>
    </row>
    <row r="367" customHeight="1" spans="1:17">
      <c r="A367" s="2">
        <v>2026</v>
      </c>
      <c r="B367" s="2">
        <v>366</v>
      </c>
      <c r="C367" s="16">
        <f t="shared" si="27"/>
        <v>70.5</v>
      </c>
      <c r="D367" s="2" t="s">
        <v>669</v>
      </c>
      <c r="E367" s="9">
        <v>71</v>
      </c>
      <c r="F367" s="12">
        <v>61</v>
      </c>
      <c r="G367" s="2">
        <v>56</v>
      </c>
      <c r="H367" s="2" t="s">
        <v>54</v>
      </c>
      <c r="I367" s="2" t="s">
        <v>63</v>
      </c>
      <c r="J367" s="4" t="s">
        <v>38</v>
      </c>
      <c r="M367" s="2">
        <f t="shared" si="25"/>
        <v>45</v>
      </c>
      <c r="N367" s="2">
        <f t="shared" si="26"/>
        <v>67.5</v>
      </c>
      <c r="O367" s="2">
        <f>IF(M367="","",IF(M367&gt;=1000,95,IF(M367&lt;=12.5,50,LOOKUP(M367,{12.5,15,20,30,45,60,75,105,115,150,200,225,250,600,1000},{50,55,60,62,65,68,70,72,75,80,82,85,87,90,95})+(M367-LOOKUP(M367,{12.5,15,20,30,45,60,75,105,115,150,200,225,250,600},{12.5,15,20,30,45,60,75,105,115,150,200,225,250,600}))/(LOOKUP(M367,{12.5,15,20,30,45,60,75,105,115,150,200,225,250,600,1000},{15,20,30,45,60,75,105,115,150,200,225,250,600,1000,1000})-LOOKUP(M367,{12.5,15,20,30,45,60,75,105,115,150,200,225,250,600},{12.5,15,20,30,45,60,75,105,115,150,200,225,250,600}))*(LOOKUP(M367,{12.5,15,20,30,45,60,75,105,115,150,200,225,250,600,1000},{55,60,62,65,68,70,72,75,80,82,85,87,90,95,95})-LOOKUP(M367,{12.5,15,20,30,45,60,75,105,115,150,200,225,250,600,1000},{50,55,60,62,65,68,70,72,75,80,82,85,87,90,95})))))</f>
        <v>65</v>
      </c>
      <c r="P367" s="2">
        <f t="shared" si="28"/>
        <v>6</v>
      </c>
      <c r="Q367" s="2">
        <f t="shared" si="29"/>
        <v>3</v>
      </c>
    </row>
    <row r="368" customHeight="1" spans="1:17">
      <c r="B368" s="2">
        <v>367</v>
      </c>
      <c r="C368" s="16">
        <f t="shared" si="27"/>
        <v>70.4</v>
      </c>
      <c r="D368" s="2" t="s">
        <v>670</v>
      </c>
      <c r="E368" s="9">
        <v>71</v>
      </c>
      <c r="F368" s="12">
        <v>63</v>
      </c>
      <c r="G368" s="9">
        <v>76</v>
      </c>
      <c r="H368" s="2" t="s">
        <v>211</v>
      </c>
      <c r="I368" s="2" t="s">
        <v>18</v>
      </c>
      <c r="J368" s="4" t="s">
        <v>24</v>
      </c>
      <c r="M368" s="2">
        <f t="shared" si="25"/>
        <v>75</v>
      </c>
      <c r="N368" s="2">
        <f t="shared" si="26"/>
        <v>69.9</v>
      </c>
      <c r="O368" s="2">
        <f>IF(M368="","",IF(M368&gt;=1000,95,IF(M368&lt;=12.5,50,LOOKUP(M368,{12.5,15,20,30,45,60,75,105,115,150,200,225,250,600,1000},{50,55,60,62,65,68,70,72,75,80,82,85,87,90,95})+(M368-LOOKUP(M368,{12.5,15,20,30,45,60,75,105,115,150,200,225,250,600},{12.5,15,20,30,45,60,75,105,115,150,200,225,250,600}))/(LOOKUP(M368,{12.5,15,20,30,45,60,75,105,115,150,200,225,250,600,1000},{15,20,30,45,60,75,105,115,150,200,225,250,600,1000,1000})-LOOKUP(M368,{12.5,15,20,30,45,60,75,105,115,150,200,225,250,600},{12.5,15,20,30,45,60,75,105,115,150,200,225,250,600}))*(LOOKUP(M368,{12.5,15,20,30,45,60,75,105,115,150,200,225,250,600,1000},{55,60,62,65,68,70,72,75,80,82,85,87,90,95,95})-LOOKUP(M368,{12.5,15,20,30,45,60,75,105,115,150,200,225,250,600,1000},{50,55,60,62,65,68,70,72,75,80,82,85,87,90,95})))))</f>
        <v>70</v>
      </c>
      <c r="P368" s="2">
        <f t="shared" si="28"/>
        <v>1</v>
      </c>
      <c r="Q368" s="2">
        <f t="shared" si="29"/>
        <v>0.5</v>
      </c>
    </row>
    <row r="369" customHeight="1" spans="1:17">
      <c r="A369" s="2">
        <v>2026</v>
      </c>
      <c r="B369" s="2">
        <v>368</v>
      </c>
      <c r="C369" s="16">
        <f t="shared" si="27"/>
        <v>70.4</v>
      </c>
      <c r="D369" s="2" t="s">
        <v>671</v>
      </c>
      <c r="E369" s="9">
        <v>73</v>
      </c>
      <c r="F369" s="12">
        <v>66</v>
      </c>
      <c r="G369" s="9">
        <v>71</v>
      </c>
      <c r="H369" s="2" t="s">
        <v>54</v>
      </c>
      <c r="I369" s="2" t="s">
        <v>672</v>
      </c>
      <c r="J369" s="4" t="s">
        <v>148</v>
      </c>
      <c r="K369" s="2" t="s">
        <v>673</v>
      </c>
      <c r="M369" s="2">
        <f t="shared" si="25"/>
        <v>115</v>
      </c>
      <c r="N369" s="2">
        <f t="shared" si="26"/>
        <v>71.4</v>
      </c>
      <c r="O369" s="2">
        <f>IF(M369="","",IF(M369&gt;=1000,95,IF(M369&lt;=12.5,50,LOOKUP(M369,{12.5,15,20,30,45,60,75,105,115,150,200,225,250,600,1000},{50,55,60,62,65,68,70,72,75,80,82,85,87,90,95})+(M369-LOOKUP(M369,{12.5,15,20,30,45,60,75,105,115,150,200,225,250,600},{12.5,15,20,30,45,60,75,105,115,150,200,225,250,600}))/(LOOKUP(M369,{12.5,15,20,30,45,60,75,105,115,150,200,225,250,600,1000},{15,20,30,45,60,75,105,115,150,200,225,250,600,1000,1000})-LOOKUP(M369,{12.5,15,20,30,45,60,75,105,115,150,200,225,250,600},{12.5,15,20,30,45,60,75,105,115,150,200,225,250,600}))*(LOOKUP(M369,{12.5,15,20,30,45,60,75,105,115,150,200,225,250,600,1000},{55,60,62,65,68,70,72,75,80,82,85,87,90,95,95})-LOOKUP(M369,{12.5,15,20,30,45,60,75,105,115,150,200,225,250,600,1000},{50,55,60,62,65,68,70,72,75,80,82,85,87,90,95})))))</f>
        <v>75</v>
      </c>
      <c r="P369" s="2">
        <f t="shared" si="28"/>
        <v>-2</v>
      </c>
      <c r="Q369" s="2">
        <f t="shared" si="29"/>
        <v>-1</v>
      </c>
    </row>
    <row r="370" customHeight="1" spans="1:17">
      <c r="B370" s="2">
        <v>369</v>
      </c>
      <c r="C370" s="16">
        <f t="shared" si="27"/>
        <v>70.4</v>
      </c>
      <c r="D370" s="2" t="s">
        <v>674</v>
      </c>
      <c r="E370" s="9">
        <v>72</v>
      </c>
      <c r="F370" s="2">
        <v>55</v>
      </c>
      <c r="G370" s="2">
        <v>55</v>
      </c>
      <c r="H370" s="2" t="s">
        <v>41</v>
      </c>
      <c r="I370" s="2" t="s">
        <v>128</v>
      </c>
      <c r="J370" s="4" t="s">
        <v>38</v>
      </c>
      <c r="K370" s="2" t="s">
        <v>675</v>
      </c>
      <c r="M370" s="2">
        <f t="shared" si="25"/>
        <v>45</v>
      </c>
      <c r="N370" s="2">
        <f t="shared" si="26"/>
        <v>66.9</v>
      </c>
      <c r="O370" s="2">
        <f>IF(M370="","",IF(M370&gt;=1000,95,IF(M370&lt;=12.5,50,LOOKUP(M370,{12.5,15,20,30,45,60,75,105,115,150,200,225,250,600,1000},{50,55,60,62,65,68,70,72,75,80,82,85,87,90,95})+(M370-LOOKUP(M370,{12.5,15,20,30,45,60,75,105,115,150,200,225,250,600},{12.5,15,20,30,45,60,75,105,115,150,200,225,250,600}))/(LOOKUP(M370,{12.5,15,20,30,45,60,75,105,115,150,200,225,250,600,1000},{15,20,30,45,60,75,105,115,150,200,225,250,600,1000,1000})-LOOKUP(M370,{12.5,15,20,30,45,60,75,105,115,150,200,225,250,600},{12.5,15,20,30,45,60,75,105,115,150,200,225,250,600}))*(LOOKUP(M370,{12.5,15,20,30,45,60,75,105,115,150,200,225,250,600,1000},{55,60,62,65,68,70,72,75,80,82,85,87,90,95,95})-LOOKUP(M370,{12.5,15,20,30,45,60,75,105,115,150,200,225,250,600,1000},{50,55,60,62,65,68,70,72,75,80,82,85,87,90,95})))))</f>
        <v>65</v>
      </c>
      <c r="P370" s="2">
        <f t="shared" si="28"/>
        <v>7</v>
      </c>
      <c r="Q370" s="2">
        <f t="shared" si="29"/>
        <v>3.5</v>
      </c>
    </row>
    <row r="371" customHeight="1" spans="1:17">
      <c r="A371" s="2">
        <v>2026</v>
      </c>
      <c r="B371" s="2">
        <v>370</v>
      </c>
      <c r="C371" s="16">
        <f t="shared" si="27"/>
        <v>70.4</v>
      </c>
      <c r="D371" s="2" t="s">
        <v>676</v>
      </c>
      <c r="E371" s="9">
        <v>73</v>
      </c>
      <c r="F371" s="2">
        <v>54</v>
      </c>
      <c r="G371" s="2">
        <v>45</v>
      </c>
      <c r="H371" s="2" t="s">
        <v>41</v>
      </c>
      <c r="I371" s="2" t="s">
        <v>63</v>
      </c>
      <c r="J371" s="4" t="s">
        <v>38</v>
      </c>
      <c r="M371" s="2">
        <f t="shared" si="25"/>
        <v>45</v>
      </c>
      <c r="N371" s="2">
        <f t="shared" si="26"/>
        <v>66.4</v>
      </c>
      <c r="O371" s="2">
        <f>IF(M371="","",IF(M371&gt;=1000,95,IF(M371&lt;=12.5,50,LOOKUP(M371,{12.5,15,20,30,45,60,75,105,115,150,200,225,250,600,1000},{50,55,60,62,65,68,70,72,75,80,82,85,87,90,95})+(M371-LOOKUP(M371,{12.5,15,20,30,45,60,75,105,115,150,200,225,250,600},{12.5,15,20,30,45,60,75,105,115,150,200,225,250,600}))/(LOOKUP(M371,{12.5,15,20,30,45,60,75,105,115,150,200,225,250,600,1000},{15,20,30,45,60,75,105,115,150,200,225,250,600,1000,1000})-LOOKUP(M371,{12.5,15,20,30,45,60,75,105,115,150,200,225,250,600},{12.5,15,20,30,45,60,75,105,115,150,200,225,250,600}))*(LOOKUP(M371,{12.5,15,20,30,45,60,75,105,115,150,200,225,250,600,1000},{55,60,62,65,68,70,72,75,80,82,85,87,90,95,95})-LOOKUP(M371,{12.5,15,20,30,45,60,75,105,115,150,200,225,250,600,1000},{50,55,60,62,65,68,70,72,75,80,82,85,87,90,95})))))</f>
        <v>65</v>
      </c>
      <c r="P371" s="2">
        <f t="shared" si="28"/>
        <v>8</v>
      </c>
      <c r="Q371" s="2">
        <f t="shared" si="29"/>
        <v>4</v>
      </c>
    </row>
    <row r="372" customHeight="1" spans="1:17">
      <c r="A372" s="2">
        <v>2026</v>
      </c>
      <c r="B372" s="2">
        <v>371</v>
      </c>
      <c r="C372" s="16">
        <f t="shared" si="27"/>
        <v>70.37</v>
      </c>
      <c r="D372" s="2" t="s">
        <v>677</v>
      </c>
      <c r="E372" s="12">
        <v>67</v>
      </c>
      <c r="F372" s="12">
        <v>63</v>
      </c>
      <c r="G372" s="2">
        <v>52</v>
      </c>
      <c r="H372" s="2" t="s">
        <v>87</v>
      </c>
      <c r="I372" s="2" t="s">
        <v>28</v>
      </c>
      <c r="J372" s="4" t="s">
        <v>29</v>
      </c>
      <c r="M372" s="2">
        <f t="shared" si="25"/>
        <v>15</v>
      </c>
      <c r="N372" s="2">
        <f t="shared" si="26"/>
        <v>64.7</v>
      </c>
      <c r="O372" s="2">
        <f>IF(M372="","",IF(M372&gt;=1000,95,IF(M372&lt;=12.5,50,LOOKUP(M372,{12.5,15,20,30,45,60,75,105,115,150,200,225,250,600,1000},{50,55,60,62,65,68,70,72,75,80,82,85,87,90,95})+(M372-LOOKUP(M372,{12.5,15,20,30,45,60,75,105,115,150,200,225,250,600},{12.5,15,20,30,45,60,75,105,115,150,200,225,250,600}))/(LOOKUP(M372,{12.5,15,20,30,45,60,75,105,115,150,200,225,250,600,1000},{15,20,30,45,60,75,105,115,150,200,225,250,600,1000,1000})-LOOKUP(M372,{12.5,15,20,30,45,60,75,105,115,150,200,225,250,600},{12.5,15,20,30,45,60,75,105,115,150,200,225,250,600}))*(LOOKUP(M372,{12.5,15,20,30,45,60,75,105,115,150,200,225,250,600,1000},{55,60,62,65,68,70,72,75,80,82,85,87,90,95,95})-LOOKUP(M372,{12.5,15,20,30,45,60,75,105,115,150,200,225,250,600,1000},{50,55,60,62,65,68,70,72,75,80,82,85,87,90,95})))))</f>
        <v>55</v>
      </c>
      <c r="P372" s="2">
        <f t="shared" si="28"/>
        <v>12</v>
      </c>
      <c r="Q372" s="2">
        <f t="shared" si="29"/>
        <v>5.67</v>
      </c>
    </row>
    <row r="373" customHeight="1" spans="1:17">
      <c r="A373" s="2">
        <v>2026</v>
      </c>
      <c r="B373" s="2">
        <v>372</v>
      </c>
      <c r="C373" s="16">
        <f t="shared" si="27"/>
        <v>70.3</v>
      </c>
      <c r="D373" s="2" t="s">
        <v>678</v>
      </c>
      <c r="E373" s="9">
        <v>70</v>
      </c>
      <c r="F373" s="12">
        <v>65</v>
      </c>
      <c r="G373" s="2">
        <v>58</v>
      </c>
      <c r="H373" s="2" t="s">
        <v>41</v>
      </c>
      <c r="I373" s="2" t="s">
        <v>28</v>
      </c>
      <c r="J373" s="4" t="s">
        <v>38</v>
      </c>
      <c r="K373" s="2" t="s">
        <v>679</v>
      </c>
      <c r="M373" s="2">
        <f t="shared" si="25"/>
        <v>45</v>
      </c>
      <c r="N373" s="2">
        <f t="shared" si="26"/>
        <v>67.8</v>
      </c>
      <c r="O373" s="2">
        <f>IF(M373="","",IF(M373&gt;=1000,95,IF(M373&lt;=12.5,50,LOOKUP(M373,{12.5,15,20,30,45,60,75,105,115,150,200,225,250,600,1000},{50,55,60,62,65,68,70,72,75,80,82,85,87,90,95})+(M373-LOOKUP(M373,{12.5,15,20,30,45,60,75,105,115,150,200,225,250,600},{12.5,15,20,30,45,60,75,105,115,150,200,225,250,600}))/(LOOKUP(M373,{12.5,15,20,30,45,60,75,105,115,150,200,225,250,600,1000},{15,20,30,45,60,75,105,115,150,200,225,250,600,1000,1000})-LOOKUP(M373,{12.5,15,20,30,45,60,75,105,115,150,200,225,250,600},{12.5,15,20,30,45,60,75,105,115,150,200,225,250,600}))*(LOOKUP(M373,{12.5,15,20,30,45,60,75,105,115,150,200,225,250,600,1000},{55,60,62,65,68,70,72,75,80,82,85,87,90,95,95})-LOOKUP(M373,{12.5,15,20,30,45,60,75,105,115,150,200,225,250,600,1000},{50,55,60,62,65,68,70,72,75,80,82,85,87,90,95})))))</f>
        <v>65</v>
      </c>
      <c r="P373" s="2">
        <f t="shared" si="28"/>
        <v>5</v>
      </c>
      <c r="Q373" s="2">
        <f t="shared" si="29"/>
        <v>2.5</v>
      </c>
    </row>
    <row r="374" customHeight="1" spans="1:17">
      <c r="A374" s="2">
        <v>2026</v>
      </c>
      <c r="B374" s="2">
        <v>373</v>
      </c>
      <c r="C374" s="16">
        <f t="shared" si="27"/>
        <v>70.27</v>
      </c>
      <c r="D374" s="2" t="s">
        <v>680</v>
      </c>
      <c r="E374" s="9">
        <v>72</v>
      </c>
      <c r="F374" s="2">
        <v>54</v>
      </c>
      <c r="G374" s="2">
        <v>34</v>
      </c>
      <c r="H374" s="2" t="s">
        <v>54</v>
      </c>
      <c r="I374" s="2" t="s">
        <v>28</v>
      </c>
      <c r="J374" s="4" t="s">
        <v>140</v>
      </c>
      <c r="M374" s="2">
        <f t="shared" si="25"/>
        <v>20</v>
      </c>
      <c r="N374" s="2">
        <f t="shared" si="26"/>
        <v>64.6</v>
      </c>
      <c r="O374" s="2">
        <f>IF(M374="","",IF(M374&gt;=1000,95,IF(M374&lt;=12.5,50,LOOKUP(M374,{12.5,15,20,30,45,60,75,105,115,150,200,225,250,600,1000},{50,55,60,62,65,68,70,72,75,80,82,85,87,90,95})+(M374-LOOKUP(M374,{12.5,15,20,30,45,60,75,105,115,150,200,225,250,600},{12.5,15,20,30,45,60,75,105,115,150,200,225,250,600}))/(LOOKUP(M374,{12.5,15,20,30,45,60,75,105,115,150,200,225,250,600,1000},{15,20,30,45,60,75,105,115,150,200,225,250,600,1000,1000})-LOOKUP(M374,{12.5,15,20,30,45,60,75,105,115,150,200,225,250,600},{12.5,15,20,30,45,60,75,105,115,150,200,225,250,600}))*(LOOKUP(M374,{12.5,15,20,30,45,60,75,105,115,150,200,225,250,600,1000},{55,60,62,65,68,70,72,75,80,82,85,87,90,95,95})-LOOKUP(M374,{12.5,15,20,30,45,60,75,105,115,150,200,225,250,600,1000},{50,55,60,62,65,68,70,72,75,80,82,85,87,90,95})))))</f>
        <v>60</v>
      </c>
      <c r="P374" s="2">
        <f t="shared" si="28"/>
        <v>12</v>
      </c>
      <c r="Q374" s="2">
        <f t="shared" si="29"/>
        <v>5.67</v>
      </c>
    </row>
    <row r="375" customHeight="1" spans="1:17">
      <c r="A375" s="2">
        <v>2026</v>
      </c>
      <c r="B375" s="2">
        <v>374</v>
      </c>
      <c r="C375" s="16">
        <f t="shared" si="27"/>
        <v>70.2</v>
      </c>
      <c r="D375" s="2" t="s">
        <v>681</v>
      </c>
      <c r="E375" s="12">
        <v>68</v>
      </c>
      <c r="F375" s="2">
        <v>57</v>
      </c>
      <c r="G375" s="2">
        <v>52</v>
      </c>
      <c r="H375" s="2" t="s">
        <v>37</v>
      </c>
      <c r="I375" s="2" t="s">
        <v>28</v>
      </c>
      <c r="J375" s="4" t="s">
        <v>29</v>
      </c>
      <c r="M375" s="2">
        <f t="shared" si="25"/>
        <v>15</v>
      </c>
      <c r="N375" s="2">
        <f t="shared" si="26"/>
        <v>64.2</v>
      </c>
      <c r="O375" s="2">
        <f>IF(M375="","",IF(M375&gt;=1000,95,IF(M375&lt;=12.5,50,LOOKUP(M375,{12.5,15,20,30,45,60,75,105,115,150,200,225,250,600,1000},{50,55,60,62,65,68,70,72,75,80,82,85,87,90,95})+(M375-LOOKUP(M375,{12.5,15,20,30,45,60,75,105,115,150,200,225,250,600},{12.5,15,20,30,45,60,75,105,115,150,200,225,250,600}))/(LOOKUP(M375,{12.5,15,20,30,45,60,75,105,115,150,200,225,250,600,1000},{15,20,30,45,60,75,105,115,150,200,225,250,600,1000,1000})-LOOKUP(M375,{12.5,15,20,30,45,60,75,105,115,150,200,225,250,600},{12.5,15,20,30,45,60,75,105,115,150,200,225,250,600}))*(LOOKUP(M375,{12.5,15,20,30,45,60,75,105,115,150,200,225,250,600,1000},{55,60,62,65,68,70,72,75,80,82,85,87,90,95,95})-LOOKUP(M375,{12.5,15,20,30,45,60,75,105,115,150,200,225,250,600,1000},{50,55,60,62,65,68,70,72,75,80,82,85,87,90,95})))))</f>
        <v>55</v>
      </c>
      <c r="P375" s="2">
        <f t="shared" si="28"/>
        <v>13</v>
      </c>
      <c r="Q375" s="2">
        <f t="shared" si="29"/>
        <v>6</v>
      </c>
    </row>
    <row r="376" customHeight="1" spans="1:17">
      <c r="B376" s="2">
        <v>375</v>
      </c>
      <c r="C376" s="16">
        <f t="shared" si="27"/>
        <v>70.2</v>
      </c>
      <c r="D376" s="2" t="s">
        <v>682</v>
      </c>
      <c r="E376" s="12">
        <v>69</v>
      </c>
      <c r="F376" s="12">
        <v>60</v>
      </c>
      <c r="G376" s="2">
        <v>54</v>
      </c>
      <c r="H376" s="2" t="s">
        <v>17</v>
      </c>
      <c r="I376" s="2" t="s">
        <v>28</v>
      </c>
      <c r="J376" s="4" t="s">
        <v>140</v>
      </c>
      <c r="M376" s="2">
        <f t="shared" si="25"/>
        <v>20</v>
      </c>
      <c r="N376" s="2">
        <f t="shared" si="26"/>
        <v>65.7</v>
      </c>
      <c r="O376" s="2">
        <f>IF(M376="","",IF(M376&gt;=1000,95,IF(M376&lt;=12.5,50,LOOKUP(M376,{12.5,15,20,30,45,60,75,105,115,150,200,225,250,600,1000},{50,55,60,62,65,68,70,72,75,80,82,85,87,90,95})+(M376-LOOKUP(M376,{12.5,15,20,30,45,60,75,105,115,150,200,225,250,600},{12.5,15,20,30,45,60,75,105,115,150,200,225,250,600}))/(LOOKUP(M376,{12.5,15,20,30,45,60,75,105,115,150,200,225,250,600,1000},{15,20,30,45,60,75,105,115,150,200,225,250,600,1000,1000})-LOOKUP(M376,{12.5,15,20,30,45,60,75,105,115,150,200,225,250,600},{12.5,15,20,30,45,60,75,105,115,150,200,225,250,600}))*(LOOKUP(M376,{12.5,15,20,30,45,60,75,105,115,150,200,225,250,600,1000},{55,60,62,65,68,70,72,75,80,82,85,87,90,95,95})-LOOKUP(M376,{12.5,15,20,30,45,60,75,105,115,150,200,225,250,600,1000},{50,55,60,62,65,68,70,72,75,80,82,85,87,90,95})))))</f>
        <v>60</v>
      </c>
      <c r="P376" s="2">
        <f t="shared" si="28"/>
        <v>9</v>
      </c>
      <c r="Q376" s="2">
        <f t="shared" si="29"/>
        <v>4.5</v>
      </c>
    </row>
    <row r="377" customHeight="1" spans="1:17">
      <c r="A377" s="2">
        <v>2026</v>
      </c>
      <c r="B377" s="2">
        <v>376</v>
      </c>
      <c r="C377" s="16">
        <f t="shared" si="27"/>
        <v>70.2</v>
      </c>
      <c r="D377" s="2" t="s">
        <v>683</v>
      </c>
      <c r="E377" s="9">
        <v>72</v>
      </c>
      <c r="F377" s="12">
        <v>60</v>
      </c>
      <c r="G377" s="2">
        <v>58</v>
      </c>
      <c r="H377" s="2" t="s">
        <v>54</v>
      </c>
      <c r="I377" s="2" t="s">
        <v>229</v>
      </c>
      <c r="J377" s="4" t="s">
        <v>34</v>
      </c>
      <c r="M377" s="2">
        <f t="shared" si="25"/>
        <v>60</v>
      </c>
      <c r="N377" s="2">
        <f t="shared" si="26"/>
        <v>68.2</v>
      </c>
      <c r="O377" s="2">
        <f>IF(M377="","",IF(M377&gt;=1000,95,IF(M377&lt;=12.5,50,LOOKUP(M377,{12.5,15,20,30,45,60,75,105,115,150,200,225,250,600,1000},{50,55,60,62,65,68,70,72,75,80,82,85,87,90,95})+(M377-LOOKUP(M377,{12.5,15,20,30,45,60,75,105,115,150,200,225,250,600},{12.5,15,20,30,45,60,75,105,115,150,200,225,250,600}))/(LOOKUP(M377,{12.5,15,20,30,45,60,75,105,115,150,200,225,250,600,1000},{15,20,30,45,60,75,105,115,150,200,225,250,600,1000,1000})-LOOKUP(M377,{12.5,15,20,30,45,60,75,105,115,150,200,225,250,600},{12.5,15,20,30,45,60,75,105,115,150,200,225,250,600}))*(LOOKUP(M377,{12.5,15,20,30,45,60,75,105,115,150,200,225,250,600,1000},{55,60,62,65,68,70,72,75,80,82,85,87,90,95,95})-LOOKUP(M377,{12.5,15,20,30,45,60,75,105,115,150,200,225,250,600,1000},{50,55,60,62,65,68,70,72,75,80,82,85,87,90,95})))))</f>
        <v>68</v>
      </c>
      <c r="P377" s="2">
        <f t="shared" si="28"/>
        <v>4</v>
      </c>
      <c r="Q377" s="2">
        <f t="shared" si="29"/>
        <v>2</v>
      </c>
    </row>
    <row r="378" customHeight="1" spans="1:17">
      <c r="A378" s="2">
        <v>2026</v>
      </c>
      <c r="B378" s="2">
        <v>377</v>
      </c>
      <c r="C378" s="16">
        <f t="shared" si="27"/>
        <v>70.2</v>
      </c>
      <c r="D378" s="2" t="s">
        <v>684</v>
      </c>
      <c r="E378" s="9">
        <v>75</v>
      </c>
      <c r="F378" s="2">
        <v>52</v>
      </c>
      <c r="G378" s="2">
        <v>58</v>
      </c>
      <c r="H378" s="2" t="s">
        <v>94</v>
      </c>
      <c r="I378" s="2" t="s">
        <v>63</v>
      </c>
      <c r="J378" s="4" t="s">
        <v>105</v>
      </c>
      <c r="K378" s="2" t="s">
        <v>685</v>
      </c>
      <c r="M378" s="2">
        <f t="shared" si="25"/>
        <v>105</v>
      </c>
      <c r="N378" s="2">
        <f t="shared" si="26"/>
        <v>68.7</v>
      </c>
      <c r="O378" s="2">
        <f>IF(M378="","",IF(M378&gt;=1000,95,IF(M378&lt;=12.5,50,LOOKUP(M378,{12.5,15,20,30,45,60,75,105,115,150,200,225,250,600,1000},{50,55,60,62,65,68,70,72,75,80,82,85,87,90,95})+(M378-LOOKUP(M378,{12.5,15,20,30,45,60,75,105,115,150,200,225,250,600},{12.5,15,20,30,45,60,75,105,115,150,200,225,250,600}))/(LOOKUP(M378,{12.5,15,20,30,45,60,75,105,115,150,200,225,250,600,1000},{15,20,30,45,60,75,105,115,150,200,225,250,600,1000,1000})-LOOKUP(M378,{12.5,15,20,30,45,60,75,105,115,150,200,225,250,600},{12.5,15,20,30,45,60,75,105,115,150,200,225,250,600}))*(LOOKUP(M378,{12.5,15,20,30,45,60,75,105,115,150,200,225,250,600,1000},{55,60,62,65,68,70,72,75,80,82,85,87,90,95,95})-LOOKUP(M378,{12.5,15,20,30,45,60,75,105,115,150,200,225,250,600,1000},{50,55,60,62,65,68,70,72,75,80,82,85,87,90,95})))))</f>
        <v>72</v>
      </c>
      <c r="P378" s="2">
        <f t="shared" si="28"/>
        <v>3</v>
      </c>
      <c r="Q378" s="2">
        <f t="shared" si="29"/>
        <v>1.5</v>
      </c>
    </row>
    <row r="379" customHeight="1" spans="1:17">
      <c r="A379" s="2">
        <v>2026</v>
      </c>
      <c r="B379" s="2">
        <v>378</v>
      </c>
      <c r="C379" s="16">
        <f t="shared" si="27"/>
        <v>70.14</v>
      </c>
      <c r="D379" s="2" t="s">
        <v>686</v>
      </c>
      <c r="E379" s="12">
        <v>67</v>
      </c>
      <c r="F379" s="2">
        <v>57</v>
      </c>
      <c r="G379" s="2">
        <v>45</v>
      </c>
      <c r="H379" s="2" t="s">
        <v>54</v>
      </c>
      <c r="I379" s="2" t="s">
        <v>63</v>
      </c>
      <c r="J379" s="4" t="s">
        <v>77</v>
      </c>
      <c r="M379" s="2">
        <f t="shared" si="25"/>
        <v>12.5</v>
      </c>
      <c r="N379" s="2">
        <f t="shared" si="26"/>
        <v>62.8</v>
      </c>
      <c r="O379" s="2">
        <f>IF(M379="","",IF(M379&gt;=1000,95,IF(M379&lt;=12.5,50,LOOKUP(M379,{12.5,15,20,30,45,60,75,105,115,150,200,225,250,600,1000},{50,55,60,62,65,68,70,72,75,80,82,85,87,90,95})+(M379-LOOKUP(M379,{12.5,15,20,30,45,60,75,105,115,150,200,225,250,600},{12.5,15,20,30,45,60,75,105,115,150,200,225,250,600}))/(LOOKUP(M379,{12.5,15,20,30,45,60,75,105,115,150,200,225,250,600,1000},{15,20,30,45,60,75,105,115,150,200,225,250,600,1000,1000})-LOOKUP(M379,{12.5,15,20,30,45,60,75,105,115,150,200,225,250,600},{12.5,15,20,30,45,60,75,105,115,150,200,225,250,600}))*(LOOKUP(M379,{12.5,15,20,30,45,60,75,105,115,150,200,225,250,600,1000},{55,60,62,65,68,70,72,75,80,82,85,87,90,95,95})-LOOKUP(M379,{12.5,15,20,30,45,60,75,105,115,150,200,225,250,600,1000},{50,55,60,62,65,68,70,72,75,80,82,85,87,90,95})))))</f>
        <v>50</v>
      </c>
      <c r="P379" s="2">
        <f t="shared" si="28"/>
        <v>17</v>
      </c>
      <c r="Q379" s="2">
        <f t="shared" si="29"/>
        <v>7.34</v>
      </c>
    </row>
    <row r="380" customHeight="1" spans="1:17">
      <c r="A380" s="2">
        <v>2026</v>
      </c>
      <c r="B380" s="2">
        <v>379</v>
      </c>
      <c r="C380" s="16">
        <f t="shared" si="27"/>
        <v>70.1</v>
      </c>
      <c r="D380" s="2" t="s">
        <v>687</v>
      </c>
      <c r="E380" s="9">
        <v>71</v>
      </c>
      <c r="F380" s="2">
        <v>58</v>
      </c>
      <c r="G380" s="2">
        <v>58</v>
      </c>
      <c r="H380" s="2" t="s">
        <v>41</v>
      </c>
      <c r="I380" s="2" t="s">
        <v>33</v>
      </c>
      <c r="J380" s="4" t="s">
        <v>38</v>
      </c>
      <c r="M380" s="2">
        <f t="shared" si="25"/>
        <v>45</v>
      </c>
      <c r="N380" s="2">
        <f t="shared" si="26"/>
        <v>67.1</v>
      </c>
      <c r="O380" s="2">
        <f>IF(M380="","",IF(M380&gt;=1000,95,IF(M380&lt;=12.5,50,LOOKUP(M380,{12.5,15,20,30,45,60,75,105,115,150,200,225,250,600,1000},{50,55,60,62,65,68,70,72,75,80,82,85,87,90,95})+(M380-LOOKUP(M380,{12.5,15,20,30,45,60,75,105,115,150,200,225,250,600},{12.5,15,20,30,45,60,75,105,115,150,200,225,250,600}))/(LOOKUP(M380,{12.5,15,20,30,45,60,75,105,115,150,200,225,250,600,1000},{15,20,30,45,60,75,105,115,150,200,225,250,600,1000,1000})-LOOKUP(M380,{12.5,15,20,30,45,60,75,105,115,150,200,225,250,600},{12.5,15,20,30,45,60,75,105,115,150,200,225,250,600}))*(LOOKUP(M380,{12.5,15,20,30,45,60,75,105,115,150,200,225,250,600,1000},{55,60,62,65,68,70,72,75,80,82,85,87,90,95,95})-LOOKUP(M380,{12.5,15,20,30,45,60,75,105,115,150,200,225,250,600,1000},{50,55,60,62,65,68,70,72,75,80,82,85,87,90,95})))))</f>
        <v>65</v>
      </c>
      <c r="P380" s="2">
        <f t="shared" si="28"/>
        <v>6</v>
      </c>
      <c r="Q380" s="2">
        <f t="shared" si="29"/>
        <v>3</v>
      </c>
    </row>
    <row r="381" customHeight="1" spans="1:17">
      <c r="B381" s="2">
        <v>380</v>
      </c>
      <c r="C381" s="16">
        <f t="shared" si="27"/>
        <v>70.1</v>
      </c>
      <c r="D381" s="2" t="s">
        <v>688</v>
      </c>
      <c r="E381" s="9">
        <v>72</v>
      </c>
      <c r="F381" s="9">
        <v>70</v>
      </c>
      <c r="G381" s="2">
        <v>57</v>
      </c>
      <c r="H381" s="2" t="s">
        <v>689</v>
      </c>
      <c r="I381" s="2" t="s">
        <v>23</v>
      </c>
      <c r="J381" s="4" t="s">
        <v>105</v>
      </c>
      <c r="K381" s="2" t="s">
        <v>167</v>
      </c>
      <c r="M381" s="2">
        <f t="shared" si="25"/>
        <v>105</v>
      </c>
      <c r="N381" s="2">
        <f t="shared" si="26"/>
        <v>70.1</v>
      </c>
      <c r="O381" s="2">
        <f>IF(M381="","",IF(M381&gt;=1000,95,IF(M381&lt;=12.5,50,LOOKUP(M381,{12.5,15,20,30,45,60,75,105,115,150,200,225,250,600,1000},{50,55,60,62,65,68,70,72,75,80,82,85,87,90,95})+(M381-LOOKUP(M381,{12.5,15,20,30,45,60,75,105,115,150,200,225,250,600},{12.5,15,20,30,45,60,75,105,115,150,200,225,250,600}))/(LOOKUP(M381,{12.5,15,20,30,45,60,75,105,115,150,200,225,250,600,1000},{15,20,30,45,60,75,105,115,150,200,225,250,600,1000,1000})-LOOKUP(M381,{12.5,15,20,30,45,60,75,105,115,150,200,225,250,600},{12.5,15,20,30,45,60,75,105,115,150,200,225,250,600}))*(LOOKUP(M381,{12.5,15,20,30,45,60,75,105,115,150,200,225,250,600,1000},{55,60,62,65,68,70,72,75,80,82,85,87,90,95,95})-LOOKUP(M381,{12.5,15,20,30,45,60,75,105,115,150,200,225,250,600,1000},{50,55,60,62,65,68,70,72,75,80,82,85,87,90,95})))))</f>
        <v>72</v>
      </c>
      <c r="P381" s="2">
        <f t="shared" si="28"/>
        <v>0</v>
      </c>
      <c r="Q381" s="2">
        <f t="shared" si="29"/>
        <v>0</v>
      </c>
    </row>
    <row r="382" customHeight="1" spans="1:17">
      <c r="A382" s="2">
        <v>2026</v>
      </c>
      <c r="B382" s="2">
        <v>381</v>
      </c>
      <c r="C382" s="16">
        <f t="shared" si="27"/>
        <v>70.1</v>
      </c>
      <c r="D382" s="2" t="s">
        <v>690</v>
      </c>
      <c r="E382" s="12">
        <v>68</v>
      </c>
      <c r="F382" s="9">
        <v>76</v>
      </c>
      <c r="G382" s="2">
        <v>33</v>
      </c>
      <c r="H382" s="2" t="s">
        <v>135</v>
      </c>
      <c r="I382" s="2" t="s">
        <v>28</v>
      </c>
      <c r="J382" s="4" t="s">
        <v>140</v>
      </c>
      <c r="M382" s="2">
        <f t="shared" si="25"/>
        <v>20</v>
      </c>
      <c r="N382" s="2">
        <f t="shared" si="26"/>
        <v>66.1</v>
      </c>
      <c r="O382" s="2">
        <f>IF(M382="","",IF(M382&gt;=1000,95,IF(M382&lt;=12.5,50,LOOKUP(M382,{12.5,15,20,30,45,60,75,105,115,150,200,225,250,600,1000},{50,55,60,62,65,68,70,72,75,80,82,85,87,90,95})+(M382-LOOKUP(M382,{12.5,15,20,30,45,60,75,105,115,150,200,225,250,600},{12.5,15,20,30,45,60,75,105,115,150,200,225,250,600}))/(LOOKUP(M382,{12.5,15,20,30,45,60,75,105,115,150,200,225,250,600,1000},{15,20,30,45,60,75,105,115,150,200,225,250,600,1000,1000})-LOOKUP(M382,{12.5,15,20,30,45,60,75,105,115,150,200,225,250,600},{12.5,15,20,30,45,60,75,105,115,150,200,225,250,600}))*(LOOKUP(M382,{12.5,15,20,30,45,60,75,105,115,150,200,225,250,600,1000},{55,60,62,65,68,70,72,75,80,82,85,87,90,95,95})-LOOKUP(M382,{12.5,15,20,30,45,60,75,105,115,150,200,225,250,600,1000},{50,55,60,62,65,68,70,72,75,80,82,85,87,90,95})))))</f>
        <v>60</v>
      </c>
      <c r="P382" s="2">
        <f t="shared" si="28"/>
        <v>8</v>
      </c>
      <c r="Q382" s="2">
        <f t="shared" si="29"/>
        <v>4</v>
      </c>
    </row>
    <row r="383" customHeight="1" spans="1:17">
      <c r="A383" s="2">
        <v>2026</v>
      </c>
      <c r="B383" s="2">
        <v>382</v>
      </c>
      <c r="C383" s="16">
        <f t="shared" si="27"/>
        <v>70.1</v>
      </c>
      <c r="D383" s="2" t="s">
        <v>691</v>
      </c>
      <c r="E383" s="9">
        <v>72</v>
      </c>
      <c r="F383" s="2">
        <v>57</v>
      </c>
      <c r="G383" s="12">
        <v>63</v>
      </c>
      <c r="H383" s="2" t="s">
        <v>41</v>
      </c>
      <c r="I383" s="2" t="s">
        <v>63</v>
      </c>
      <c r="J383" s="4" t="s">
        <v>34</v>
      </c>
      <c r="M383" s="2">
        <f t="shared" si="25"/>
        <v>60</v>
      </c>
      <c r="N383" s="2">
        <f t="shared" si="26"/>
        <v>68.1</v>
      </c>
      <c r="O383" s="2">
        <f>IF(M383="","",IF(M383&gt;=1000,95,IF(M383&lt;=12.5,50,LOOKUP(M383,{12.5,15,20,30,45,60,75,105,115,150,200,225,250,600,1000},{50,55,60,62,65,68,70,72,75,80,82,85,87,90,95})+(M383-LOOKUP(M383,{12.5,15,20,30,45,60,75,105,115,150,200,225,250,600},{12.5,15,20,30,45,60,75,105,115,150,200,225,250,600}))/(LOOKUP(M383,{12.5,15,20,30,45,60,75,105,115,150,200,225,250,600,1000},{15,20,30,45,60,75,105,115,150,200,225,250,600,1000,1000})-LOOKUP(M383,{12.5,15,20,30,45,60,75,105,115,150,200,225,250,600},{12.5,15,20,30,45,60,75,105,115,150,200,225,250,600}))*(LOOKUP(M383,{12.5,15,20,30,45,60,75,105,115,150,200,225,250,600,1000},{55,60,62,65,68,70,72,75,80,82,85,87,90,95,95})-LOOKUP(M383,{12.5,15,20,30,45,60,75,105,115,150,200,225,250,600,1000},{50,55,60,62,65,68,70,72,75,80,82,85,87,90,95})))))</f>
        <v>68</v>
      </c>
      <c r="P383" s="2">
        <f t="shared" si="28"/>
        <v>4</v>
      </c>
      <c r="Q383" s="2">
        <f t="shared" si="29"/>
        <v>2</v>
      </c>
    </row>
    <row r="384" customHeight="1" spans="1:17">
      <c r="A384" s="2">
        <v>2026</v>
      </c>
      <c r="B384" s="2">
        <v>383</v>
      </c>
      <c r="C384" s="16">
        <f t="shared" si="27"/>
        <v>70.03</v>
      </c>
      <c r="D384" s="2" t="s">
        <v>692</v>
      </c>
      <c r="E384" s="9">
        <v>71</v>
      </c>
      <c r="F384" s="2">
        <v>50</v>
      </c>
      <c r="G384" s="2">
        <v>50</v>
      </c>
      <c r="H384" s="2" t="s">
        <v>41</v>
      </c>
      <c r="I384" s="2" t="s">
        <v>63</v>
      </c>
      <c r="J384" s="4" t="s">
        <v>140</v>
      </c>
      <c r="M384" s="2">
        <f t="shared" si="25"/>
        <v>20</v>
      </c>
      <c r="N384" s="2">
        <f t="shared" si="26"/>
        <v>64.7</v>
      </c>
      <c r="O384" s="2">
        <f>IF(M384="","",IF(M384&gt;=1000,95,IF(M384&lt;=12.5,50,LOOKUP(M384,{12.5,15,20,30,45,60,75,105,115,150,200,225,250,600,1000},{50,55,60,62,65,68,70,72,75,80,82,85,87,90,95})+(M384-LOOKUP(M384,{12.5,15,20,30,45,60,75,105,115,150,200,225,250,600},{12.5,15,20,30,45,60,75,105,115,150,200,225,250,600}))/(LOOKUP(M384,{12.5,15,20,30,45,60,75,105,115,150,200,225,250,600,1000},{15,20,30,45,60,75,105,115,150,200,225,250,600,1000,1000})-LOOKUP(M384,{12.5,15,20,30,45,60,75,105,115,150,200,225,250,600},{12.5,15,20,30,45,60,75,105,115,150,200,225,250,600}))*(LOOKUP(M384,{12.5,15,20,30,45,60,75,105,115,150,200,225,250,600,1000},{55,60,62,65,68,70,72,75,80,82,85,87,90,95,95})-LOOKUP(M384,{12.5,15,20,30,45,60,75,105,115,150,200,225,250,600,1000},{50,55,60,62,65,68,70,72,75,80,82,85,87,90,95})))))</f>
        <v>60</v>
      </c>
      <c r="P384" s="2">
        <f t="shared" si="28"/>
        <v>11</v>
      </c>
      <c r="Q384" s="2">
        <f t="shared" si="29"/>
        <v>5.33</v>
      </c>
    </row>
    <row r="385" customHeight="1" spans="1:17">
      <c r="A385" s="2">
        <v>2026</v>
      </c>
      <c r="B385" s="2">
        <v>384</v>
      </c>
      <c r="C385" s="16">
        <f t="shared" si="27"/>
        <v>70</v>
      </c>
      <c r="D385" s="2" t="s">
        <v>693</v>
      </c>
      <c r="E385" s="9">
        <v>71</v>
      </c>
      <c r="F385" s="12">
        <v>68</v>
      </c>
      <c r="G385" s="12">
        <v>62</v>
      </c>
      <c r="H385" s="2" t="s">
        <v>54</v>
      </c>
      <c r="I385" s="2" t="s">
        <v>33</v>
      </c>
      <c r="J385" s="4" t="s">
        <v>24</v>
      </c>
      <c r="M385" s="2">
        <f t="shared" si="25"/>
        <v>75</v>
      </c>
      <c r="N385" s="2">
        <f t="shared" si="26"/>
        <v>69.5</v>
      </c>
      <c r="O385" s="2">
        <f>IF(M385="","",IF(M385&gt;=1000,95,IF(M385&lt;=12.5,50,LOOKUP(M385,{12.5,15,20,30,45,60,75,105,115,150,200,225,250,600,1000},{50,55,60,62,65,68,70,72,75,80,82,85,87,90,95})+(M385-LOOKUP(M385,{12.5,15,20,30,45,60,75,105,115,150,200,225,250,600},{12.5,15,20,30,45,60,75,105,115,150,200,225,250,600}))/(LOOKUP(M385,{12.5,15,20,30,45,60,75,105,115,150,200,225,250,600,1000},{15,20,30,45,60,75,105,115,150,200,225,250,600,1000,1000})-LOOKUP(M385,{12.5,15,20,30,45,60,75,105,115,150,200,225,250,600},{12.5,15,20,30,45,60,75,105,115,150,200,225,250,600}))*(LOOKUP(M385,{12.5,15,20,30,45,60,75,105,115,150,200,225,250,600,1000},{55,60,62,65,68,70,72,75,80,82,85,87,90,95,95})-LOOKUP(M385,{12.5,15,20,30,45,60,75,105,115,150,200,225,250,600,1000},{50,55,60,62,65,68,70,72,75,80,82,85,87,90,95})))))</f>
        <v>70</v>
      </c>
      <c r="P385" s="2">
        <f t="shared" si="28"/>
        <v>1</v>
      </c>
      <c r="Q385" s="2">
        <f t="shared" si="29"/>
        <v>0.5</v>
      </c>
    </row>
    <row r="386" customHeight="1" spans="1:17">
      <c r="A386" s="2">
        <v>2026</v>
      </c>
      <c r="B386" s="2">
        <v>385</v>
      </c>
      <c r="C386" s="16">
        <f t="shared" si="27"/>
        <v>70</v>
      </c>
      <c r="D386" s="2" t="s">
        <v>694</v>
      </c>
      <c r="E386" s="9">
        <v>70</v>
      </c>
      <c r="F386" s="2">
        <v>59</v>
      </c>
      <c r="G386" s="2">
        <v>52</v>
      </c>
      <c r="H386" s="2" t="s">
        <v>41</v>
      </c>
      <c r="I386" s="2" t="s">
        <v>63</v>
      </c>
      <c r="J386" s="4" t="s">
        <v>88</v>
      </c>
      <c r="M386" s="2">
        <f t="shared" ref="M386:M449" si="30">IF(J386="1000+",1000,(LEFT(J386,FIND("-",J386)-1)+RIGHT(J386,LEN(J386)-FIND("-",J386)))/2)</f>
        <v>30</v>
      </c>
      <c r="N386" s="2">
        <f t="shared" ref="N386:N449" si="31">ROUND(E386*0.7+F386*0.2+G386*0.1,2)</f>
        <v>66</v>
      </c>
      <c r="O386" s="2">
        <f>IF(M386="","",IF(M386&gt;=1000,95,IF(M386&lt;=12.5,50,LOOKUP(M386,{12.5,15,20,30,45,60,75,105,115,150,200,225,250,600,1000},{50,55,60,62,65,68,70,72,75,80,82,85,87,90,95})+(M386-LOOKUP(M386,{12.5,15,20,30,45,60,75,105,115,150,200,225,250,600},{12.5,15,20,30,45,60,75,105,115,150,200,225,250,600}))/(LOOKUP(M386,{12.5,15,20,30,45,60,75,105,115,150,200,225,250,600,1000},{15,20,30,45,60,75,105,115,150,200,225,250,600,1000,1000})-LOOKUP(M386,{12.5,15,20,30,45,60,75,105,115,150,200,225,250,600},{12.5,15,20,30,45,60,75,105,115,150,200,225,250,600}))*(LOOKUP(M386,{12.5,15,20,30,45,60,75,105,115,150,200,225,250,600,1000},{55,60,62,65,68,70,72,75,80,82,85,87,90,95,95})-LOOKUP(M386,{12.5,15,20,30,45,60,75,105,115,150,200,225,250,600,1000},{50,55,60,62,65,68,70,72,75,80,82,85,87,90,95})))))</f>
        <v>62</v>
      </c>
      <c r="P386" s="2">
        <f t="shared" si="28"/>
        <v>8</v>
      </c>
      <c r="Q386" s="2">
        <f t="shared" si="29"/>
        <v>4</v>
      </c>
    </row>
    <row r="387" customHeight="1" spans="1:17">
      <c r="A387" s="2">
        <v>2026</v>
      </c>
      <c r="B387" s="2">
        <v>386</v>
      </c>
      <c r="C387" s="16">
        <f t="shared" si="27"/>
        <v>70</v>
      </c>
      <c r="D387" s="2" t="s">
        <v>695</v>
      </c>
      <c r="E387" s="9">
        <v>70</v>
      </c>
      <c r="F387" s="12">
        <v>63</v>
      </c>
      <c r="G387" s="2">
        <v>44</v>
      </c>
      <c r="H387" s="2" t="s">
        <v>41</v>
      </c>
      <c r="I387" s="2" t="s">
        <v>28</v>
      </c>
      <c r="J387" s="4" t="s">
        <v>88</v>
      </c>
      <c r="M387" s="2">
        <f t="shared" si="30"/>
        <v>30</v>
      </c>
      <c r="N387" s="2">
        <f t="shared" si="31"/>
        <v>66</v>
      </c>
      <c r="O387" s="2">
        <f>IF(M387="","",IF(M387&gt;=1000,95,IF(M387&lt;=12.5,50,LOOKUP(M387,{12.5,15,20,30,45,60,75,105,115,150,200,225,250,600,1000},{50,55,60,62,65,68,70,72,75,80,82,85,87,90,95})+(M387-LOOKUP(M387,{12.5,15,20,30,45,60,75,105,115,150,200,225,250,600},{12.5,15,20,30,45,60,75,105,115,150,200,225,250,600}))/(LOOKUP(M387,{12.5,15,20,30,45,60,75,105,115,150,200,225,250,600,1000},{15,20,30,45,60,75,105,115,150,200,225,250,600,1000,1000})-LOOKUP(M387,{12.5,15,20,30,45,60,75,105,115,150,200,225,250,600},{12.5,15,20,30,45,60,75,105,115,150,200,225,250,600}))*(LOOKUP(M387,{12.5,15,20,30,45,60,75,105,115,150,200,225,250,600,1000},{55,60,62,65,68,70,72,75,80,82,85,87,90,95,95})-LOOKUP(M387,{12.5,15,20,30,45,60,75,105,115,150,200,225,250,600,1000},{50,55,60,62,65,68,70,72,75,80,82,85,87,90,95})))))</f>
        <v>62</v>
      </c>
      <c r="P387" s="2">
        <f t="shared" si="28"/>
        <v>8</v>
      </c>
      <c r="Q387" s="2">
        <f t="shared" si="29"/>
        <v>4</v>
      </c>
    </row>
    <row r="388" customHeight="1" spans="1:17">
      <c r="B388" s="2">
        <v>387</v>
      </c>
      <c r="C388" s="16">
        <f t="shared" si="27"/>
        <v>70</v>
      </c>
      <c r="D388" s="2" t="s">
        <v>696</v>
      </c>
      <c r="E388" s="9">
        <v>73</v>
      </c>
      <c r="F388" s="2">
        <v>57</v>
      </c>
      <c r="G388" s="2">
        <v>50</v>
      </c>
      <c r="H388" s="2" t="s">
        <v>32</v>
      </c>
      <c r="I388" s="2" t="s">
        <v>33</v>
      </c>
      <c r="J388" s="4" t="s">
        <v>34</v>
      </c>
      <c r="K388" s="2" t="s">
        <v>697</v>
      </c>
      <c r="M388" s="2">
        <f t="shared" si="30"/>
        <v>60</v>
      </c>
      <c r="N388" s="2">
        <f t="shared" si="31"/>
        <v>67.5</v>
      </c>
      <c r="O388" s="2">
        <f>IF(M388="","",IF(M388&gt;=1000,95,IF(M388&lt;=12.5,50,LOOKUP(M388,{12.5,15,20,30,45,60,75,105,115,150,200,225,250,600,1000},{50,55,60,62,65,68,70,72,75,80,82,85,87,90,95})+(M388-LOOKUP(M388,{12.5,15,20,30,45,60,75,105,115,150,200,225,250,600},{12.5,15,20,30,45,60,75,105,115,150,200,225,250,600}))/(LOOKUP(M388,{12.5,15,20,30,45,60,75,105,115,150,200,225,250,600,1000},{15,20,30,45,60,75,105,115,150,200,225,250,600,1000,1000})-LOOKUP(M388,{12.5,15,20,30,45,60,75,105,115,150,200,225,250,600},{12.5,15,20,30,45,60,75,105,115,150,200,225,250,600}))*(LOOKUP(M388,{12.5,15,20,30,45,60,75,105,115,150,200,225,250,600,1000},{55,60,62,65,68,70,72,75,80,82,85,87,90,95,95})-LOOKUP(M388,{12.5,15,20,30,45,60,75,105,115,150,200,225,250,600,1000},{50,55,60,62,65,68,70,72,75,80,82,85,87,90,95})))))</f>
        <v>68</v>
      </c>
      <c r="P388" s="2">
        <f t="shared" si="28"/>
        <v>5</v>
      </c>
      <c r="Q388" s="2">
        <f t="shared" si="29"/>
        <v>2.5</v>
      </c>
    </row>
    <row r="389" customHeight="1" spans="1:17">
      <c r="B389" s="2">
        <v>388</v>
      </c>
      <c r="C389" s="16">
        <v>70</v>
      </c>
      <c r="D389" s="15" t="s">
        <v>698</v>
      </c>
      <c r="E389" s="9">
        <v>70</v>
      </c>
      <c r="F389" s="2">
        <v>50</v>
      </c>
      <c r="G389" s="10">
        <v>80</v>
      </c>
      <c r="H389" s="2" t="s">
        <v>196</v>
      </c>
      <c r="I389" s="2" t="s">
        <v>197</v>
      </c>
      <c r="J389" s="4" t="s">
        <v>198</v>
      </c>
      <c r="M389" s="2">
        <f t="shared" si="30"/>
        <v>60</v>
      </c>
      <c r="N389" s="2">
        <f t="shared" si="31"/>
        <v>67</v>
      </c>
      <c r="O389" s="2">
        <f>IF(M389="","",IF(M389&gt;=1000,95,IF(M389&lt;=12.5,50,LOOKUP(M389,{12.5,15,20,30,45,60,75,105,115,150,200,225,250,600,1000},{50,55,60,62,65,68,70,72,75,80,82,85,87,90,95})+(M389-LOOKUP(M389,{12.5,15,20,30,45,60,75,105,115,150,200,225,250,600},{12.5,15,20,30,45,60,75,105,115,150,200,225,250,600}))/(LOOKUP(M389,{12.5,15,20,30,45,60,75,105,115,150,200,225,250,600,1000},{15,20,30,45,60,75,105,115,150,200,225,250,600,1000,1000})-LOOKUP(M389,{12.5,15,20,30,45,60,75,105,115,150,200,225,250,600},{12.5,15,20,30,45,60,75,105,115,150,200,225,250,600}))*(LOOKUP(M389,{12.5,15,20,30,45,60,75,105,115,150,200,225,250,600,1000},{55,60,62,65,68,70,72,75,80,82,85,87,90,95,95})-LOOKUP(M389,{12.5,15,20,30,45,60,75,105,115,150,200,225,250,600,1000},{50,55,60,62,65,68,70,72,75,80,82,85,87,90,95})))))</f>
        <v>68</v>
      </c>
      <c r="P389" s="2">
        <f t="shared" si="28"/>
        <v>2</v>
      </c>
      <c r="Q389" s="2">
        <f t="shared" si="29"/>
        <v>1</v>
      </c>
    </row>
    <row r="390" customHeight="1" spans="1:17">
      <c r="B390" s="2">
        <v>389</v>
      </c>
      <c r="C390" s="16">
        <f t="shared" ref="C390:C453" si="32">ROUND(MAX(MIN(N390+Q390,100),0),2)</f>
        <v>69.97</v>
      </c>
      <c r="D390" s="2" t="s">
        <v>699</v>
      </c>
      <c r="E390" s="9">
        <v>74</v>
      </c>
      <c r="F390" s="10">
        <v>84</v>
      </c>
      <c r="G390" s="12">
        <v>67</v>
      </c>
      <c r="H390" s="2" t="s">
        <v>264</v>
      </c>
      <c r="I390" s="2" t="s">
        <v>638</v>
      </c>
      <c r="J390" s="4" t="s">
        <v>19</v>
      </c>
      <c r="M390" s="2">
        <f t="shared" si="30"/>
        <v>225</v>
      </c>
      <c r="N390" s="2">
        <f t="shared" si="31"/>
        <v>75.3</v>
      </c>
      <c r="O390" s="2">
        <f>IF(M390="","",IF(M390&gt;=1000,95,IF(M390&lt;=12.5,50,LOOKUP(M390,{12.5,15,20,30,45,60,75,105,115,150,200,225,250,600,1000},{50,55,60,62,65,68,70,72,75,80,82,85,87,90,95})+(M390-LOOKUP(M390,{12.5,15,20,30,45,60,75,105,115,150,200,225,250,600},{12.5,15,20,30,45,60,75,105,115,150,200,225,250,600}))/(LOOKUP(M390,{12.5,15,20,30,45,60,75,105,115,150,200,225,250,600,1000},{15,20,30,45,60,75,105,115,150,200,225,250,600,1000,1000})-LOOKUP(M390,{12.5,15,20,30,45,60,75,105,115,150,200,225,250,600},{12.5,15,20,30,45,60,75,105,115,150,200,225,250,600}))*(LOOKUP(M390,{12.5,15,20,30,45,60,75,105,115,150,200,225,250,600,1000},{55,60,62,65,68,70,72,75,80,82,85,87,90,95,95})-LOOKUP(M390,{12.5,15,20,30,45,60,75,105,115,150,200,225,250,600,1000},{50,55,60,62,65,68,70,72,75,80,82,85,87,90,95})))))</f>
        <v>85</v>
      </c>
      <c r="P390" s="2">
        <f t="shared" ref="P390:P453" si="33">E390-O390</f>
        <v>-11</v>
      </c>
      <c r="Q390" s="2">
        <f t="shared" ref="Q390:Q453" si="34">ROUND(SIGN(P390)*IF(ABS(P390)&lt;=10,ABS(P390)*0.5,IF(ABS(P390)&lt;=15,5+(ABS(P390)-10)*(1.67/5),6.67+(ABS(P390)-15)*0.333)),2)</f>
        <v>-5.33</v>
      </c>
    </row>
    <row r="391" customHeight="1" spans="1:17">
      <c r="A391" s="2">
        <v>2026</v>
      </c>
      <c r="B391" s="2">
        <v>390</v>
      </c>
      <c r="C391" s="17">
        <f t="shared" si="32"/>
        <v>69.9</v>
      </c>
      <c r="D391" s="2" t="s">
        <v>700</v>
      </c>
      <c r="E391" s="9">
        <v>74</v>
      </c>
      <c r="F391" s="2">
        <v>54</v>
      </c>
      <c r="G391" s="2">
        <v>28</v>
      </c>
      <c r="H391" s="2" t="s">
        <v>231</v>
      </c>
      <c r="I391" s="2" t="s">
        <v>104</v>
      </c>
      <c r="J391" s="4" t="s">
        <v>38</v>
      </c>
      <c r="M391" s="2">
        <f t="shared" si="30"/>
        <v>45</v>
      </c>
      <c r="N391" s="2">
        <f t="shared" si="31"/>
        <v>65.4</v>
      </c>
      <c r="O391" s="2">
        <f>IF(M391="","",IF(M391&gt;=1000,95,IF(M391&lt;=12.5,50,LOOKUP(M391,{12.5,15,20,30,45,60,75,105,115,150,200,225,250,600,1000},{50,55,60,62,65,68,70,72,75,80,82,85,87,90,95})+(M391-LOOKUP(M391,{12.5,15,20,30,45,60,75,105,115,150,200,225,250,600},{12.5,15,20,30,45,60,75,105,115,150,200,225,250,600}))/(LOOKUP(M391,{12.5,15,20,30,45,60,75,105,115,150,200,225,250,600,1000},{15,20,30,45,60,75,105,115,150,200,225,250,600,1000,1000})-LOOKUP(M391,{12.5,15,20,30,45,60,75,105,115,150,200,225,250,600},{12.5,15,20,30,45,60,75,105,115,150,200,225,250,600}))*(LOOKUP(M391,{12.5,15,20,30,45,60,75,105,115,150,200,225,250,600,1000},{55,60,62,65,68,70,72,75,80,82,85,87,90,95,95})-LOOKUP(M391,{12.5,15,20,30,45,60,75,105,115,150,200,225,250,600,1000},{50,55,60,62,65,68,70,72,75,80,82,85,87,90,95})))))</f>
        <v>65</v>
      </c>
      <c r="P391" s="2">
        <f t="shared" si="33"/>
        <v>9</v>
      </c>
      <c r="Q391" s="2">
        <f t="shared" si="34"/>
        <v>4.5</v>
      </c>
    </row>
    <row r="392" customHeight="1" spans="1:17">
      <c r="A392" s="2">
        <v>2026</v>
      </c>
      <c r="B392" s="2">
        <v>391</v>
      </c>
      <c r="C392" s="17">
        <f t="shared" si="32"/>
        <v>69.9</v>
      </c>
      <c r="D392" s="2" t="s">
        <v>701</v>
      </c>
      <c r="E392" s="2">
        <v>71</v>
      </c>
      <c r="F392" s="2">
        <v>60</v>
      </c>
      <c r="G392" s="2">
        <v>67</v>
      </c>
      <c r="H392" s="2" t="s">
        <v>54</v>
      </c>
      <c r="I392" s="2" t="s">
        <v>159</v>
      </c>
      <c r="J392" s="4" t="s">
        <v>34</v>
      </c>
      <c r="M392" s="2">
        <f t="shared" si="30"/>
        <v>60</v>
      </c>
      <c r="N392" s="2">
        <f t="shared" si="31"/>
        <v>68.4</v>
      </c>
      <c r="O392" s="2">
        <f>IF(M392="","",IF(M392&gt;=1000,95,IF(M392&lt;=12.5,50,LOOKUP(M392,{12.5,15,20,30,45,60,75,105,115,150,200,225,250,600,1000},{50,55,60,62,65,68,70,72,75,80,82,85,87,90,95})+(M392-LOOKUP(M392,{12.5,15,20,30,45,60,75,105,115,150,200,225,250,600},{12.5,15,20,30,45,60,75,105,115,150,200,225,250,600}))/(LOOKUP(M392,{12.5,15,20,30,45,60,75,105,115,150,200,225,250,600,1000},{15,20,30,45,60,75,105,115,150,200,225,250,600,1000,1000})-LOOKUP(M392,{12.5,15,20,30,45,60,75,105,115,150,200,225,250,600},{12.5,15,20,30,45,60,75,105,115,150,200,225,250,600}))*(LOOKUP(M392,{12.5,15,20,30,45,60,75,105,115,150,200,225,250,600,1000},{55,60,62,65,68,70,72,75,80,82,85,87,90,95,95})-LOOKUP(M392,{12.5,15,20,30,45,60,75,105,115,150,200,225,250,600,1000},{50,55,60,62,65,68,70,72,75,80,82,85,87,90,95})))))</f>
        <v>68</v>
      </c>
      <c r="P392" s="2">
        <f t="shared" si="33"/>
        <v>3</v>
      </c>
      <c r="Q392" s="2">
        <f t="shared" si="34"/>
        <v>1.5</v>
      </c>
    </row>
    <row r="393" customHeight="1" spans="1:17">
      <c r="B393" s="2">
        <v>392</v>
      </c>
      <c r="C393" s="17">
        <f t="shared" si="32"/>
        <v>69.9</v>
      </c>
      <c r="D393" s="2" t="s">
        <v>702</v>
      </c>
      <c r="E393" s="9">
        <v>70</v>
      </c>
      <c r="F393" s="12">
        <v>62</v>
      </c>
      <c r="G393" s="12">
        <v>60</v>
      </c>
      <c r="H393" s="2" t="s">
        <v>41</v>
      </c>
      <c r="I393" s="2" t="s">
        <v>28</v>
      </c>
      <c r="J393" s="4" t="s">
        <v>38</v>
      </c>
      <c r="M393" s="2">
        <f t="shared" si="30"/>
        <v>45</v>
      </c>
      <c r="N393" s="2">
        <f t="shared" si="31"/>
        <v>67.4</v>
      </c>
      <c r="O393" s="2">
        <f>IF(M393="","",IF(M393&gt;=1000,95,IF(M393&lt;=12.5,50,LOOKUP(M393,{12.5,15,20,30,45,60,75,105,115,150,200,225,250,600,1000},{50,55,60,62,65,68,70,72,75,80,82,85,87,90,95})+(M393-LOOKUP(M393,{12.5,15,20,30,45,60,75,105,115,150,200,225,250,600},{12.5,15,20,30,45,60,75,105,115,150,200,225,250,600}))/(LOOKUP(M393,{12.5,15,20,30,45,60,75,105,115,150,200,225,250,600,1000},{15,20,30,45,60,75,105,115,150,200,225,250,600,1000,1000})-LOOKUP(M393,{12.5,15,20,30,45,60,75,105,115,150,200,225,250,600},{12.5,15,20,30,45,60,75,105,115,150,200,225,250,600}))*(LOOKUP(M393,{12.5,15,20,30,45,60,75,105,115,150,200,225,250,600,1000},{55,60,62,65,68,70,72,75,80,82,85,87,90,95,95})-LOOKUP(M393,{12.5,15,20,30,45,60,75,105,115,150,200,225,250,600,1000},{50,55,60,62,65,68,70,72,75,80,82,85,87,90,95})))))</f>
        <v>65</v>
      </c>
      <c r="P393" s="2">
        <f t="shared" si="33"/>
        <v>5</v>
      </c>
      <c r="Q393" s="2">
        <f t="shared" si="34"/>
        <v>2.5</v>
      </c>
    </row>
    <row r="394" customHeight="1" spans="1:17">
      <c r="B394" s="2">
        <v>393</v>
      </c>
      <c r="C394" s="17">
        <f t="shared" si="32"/>
        <v>69.9</v>
      </c>
      <c r="D394" s="2" t="s">
        <v>703</v>
      </c>
      <c r="E394" s="9">
        <v>72</v>
      </c>
      <c r="F394" s="12">
        <v>60</v>
      </c>
      <c r="G394" s="12">
        <v>65</v>
      </c>
      <c r="H394" s="2" t="s">
        <v>46</v>
      </c>
      <c r="I394" s="2" t="s">
        <v>63</v>
      </c>
      <c r="J394" s="4" t="s">
        <v>24</v>
      </c>
      <c r="M394" s="2">
        <f t="shared" si="30"/>
        <v>75</v>
      </c>
      <c r="N394" s="2">
        <f t="shared" si="31"/>
        <v>68.9</v>
      </c>
      <c r="O394" s="2">
        <f>IF(M394="","",IF(M394&gt;=1000,95,IF(M394&lt;=12.5,50,LOOKUP(M394,{12.5,15,20,30,45,60,75,105,115,150,200,225,250,600,1000},{50,55,60,62,65,68,70,72,75,80,82,85,87,90,95})+(M394-LOOKUP(M394,{12.5,15,20,30,45,60,75,105,115,150,200,225,250,600},{12.5,15,20,30,45,60,75,105,115,150,200,225,250,600}))/(LOOKUP(M394,{12.5,15,20,30,45,60,75,105,115,150,200,225,250,600,1000},{15,20,30,45,60,75,105,115,150,200,225,250,600,1000,1000})-LOOKUP(M394,{12.5,15,20,30,45,60,75,105,115,150,200,225,250,600},{12.5,15,20,30,45,60,75,105,115,150,200,225,250,600}))*(LOOKUP(M394,{12.5,15,20,30,45,60,75,105,115,150,200,225,250,600,1000},{55,60,62,65,68,70,72,75,80,82,85,87,90,95,95})-LOOKUP(M394,{12.5,15,20,30,45,60,75,105,115,150,200,225,250,600,1000},{50,55,60,62,65,68,70,72,75,80,82,85,87,90,95})))))</f>
        <v>70</v>
      </c>
      <c r="P394" s="2">
        <f t="shared" si="33"/>
        <v>2</v>
      </c>
      <c r="Q394" s="2">
        <f t="shared" si="34"/>
        <v>1</v>
      </c>
    </row>
    <row r="395" customHeight="1" spans="1:17">
      <c r="A395" s="2">
        <v>2026</v>
      </c>
      <c r="B395" s="2">
        <v>394</v>
      </c>
      <c r="C395" s="17">
        <f t="shared" si="32"/>
        <v>69.9</v>
      </c>
      <c r="D395" s="2" t="s">
        <v>704</v>
      </c>
      <c r="E395" s="9">
        <v>72</v>
      </c>
      <c r="F395" s="2">
        <v>50</v>
      </c>
      <c r="G395" s="2">
        <v>45</v>
      </c>
      <c r="H395" s="2" t="s">
        <v>41</v>
      </c>
      <c r="I395" s="2" t="s">
        <v>128</v>
      </c>
      <c r="J395" s="4" t="s">
        <v>88</v>
      </c>
      <c r="M395" s="2">
        <f t="shared" si="30"/>
        <v>30</v>
      </c>
      <c r="N395" s="2">
        <f t="shared" si="31"/>
        <v>64.9</v>
      </c>
      <c r="O395" s="2">
        <f>IF(M395="","",IF(M395&gt;=1000,95,IF(M395&lt;=12.5,50,LOOKUP(M395,{12.5,15,20,30,45,60,75,105,115,150,200,225,250,600,1000},{50,55,60,62,65,68,70,72,75,80,82,85,87,90,95})+(M395-LOOKUP(M395,{12.5,15,20,30,45,60,75,105,115,150,200,225,250,600},{12.5,15,20,30,45,60,75,105,115,150,200,225,250,600}))/(LOOKUP(M395,{12.5,15,20,30,45,60,75,105,115,150,200,225,250,600,1000},{15,20,30,45,60,75,105,115,150,200,225,250,600,1000,1000})-LOOKUP(M395,{12.5,15,20,30,45,60,75,105,115,150,200,225,250,600},{12.5,15,20,30,45,60,75,105,115,150,200,225,250,600}))*(LOOKUP(M395,{12.5,15,20,30,45,60,75,105,115,150,200,225,250,600,1000},{55,60,62,65,68,70,72,75,80,82,85,87,90,95,95})-LOOKUP(M395,{12.5,15,20,30,45,60,75,105,115,150,200,225,250,600,1000},{50,55,60,62,65,68,70,72,75,80,82,85,87,90,95})))))</f>
        <v>62</v>
      </c>
      <c r="P395" s="2">
        <f t="shared" si="33"/>
        <v>10</v>
      </c>
      <c r="Q395" s="2">
        <f t="shared" si="34"/>
        <v>5</v>
      </c>
    </row>
    <row r="396" customHeight="1" spans="1:17">
      <c r="A396" s="2">
        <v>2026</v>
      </c>
      <c r="B396" s="2">
        <v>395</v>
      </c>
      <c r="C396" s="17">
        <f t="shared" si="32"/>
        <v>69.8</v>
      </c>
      <c r="D396" s="2" t="s">
        <v>705</v>
      </c>
      <c r="E396" s="9">
        <v>71</v>
      </c>
      <c r="F396" s="12">
        <v>67</v>
      </c>
      <c r="G396" s="2">
        <v>52</v>
      </c>
      <c r="H396" s="2" t="s">
        <v>41</v>
      </c>
      <c r="I396" s="2" t="s">
        <v>33</v>
      </c>
      <c r="J396" s="4" t="s">
        <v>34</v>
      </c>
      <c r="M396" s="2">
        <f t="shared" si="30"/>
        <v>60</v>
      </c>
      <c r="N396" s="2">
        <f t="shared" si="31"/>
        <v>68.3</v>
      </c>
      <c r="O396" s="2">
        <f>IF(M396="","",IF(M396&gt;=1000,95,IF(M396&lt;=12.5,50,LOOKUP(M396,{12.5,15,20,30,45,60,75,105,115,150,200,225,250,600,1000},{50,55,60,62,65,68,70,72,75,80,82,85,87,90,95})+(M396-LOOKUP(M396,{12.5,15,20,30,45,60,75,105,115,150,200,225,250,600},{12.5,15,20,30,45,60,75,105,115,150,200,225,250,600}))/(LOOKUP(M396,{12.5,15,20,30,45,60,75,105,115,150,200,225,250,600,1000},{15,20,30,45,60,75,105,115,150,200,225,250,600,1000,1000})-LOOKUP(M396,{12.5,15,20,30,45,60,75,105,115,150,200,225,250,600},{12.5,15,20,30,45,60,75,105,115,150,200,225,250,600}))*(LOOKUP(M396,{12.5,15,20,30,45,60,75,105,115,150,200,225,250,600,1000},{55,60,62,65,68,70,72,75,80,82,85,87,90,95,95})-LOOKUP(M396,{12.5,15,20,30,45,60,75,105,115,150,200,225,250,600,1000},{50,55,60,62,65,68,70,72,75,80,82,85,87,90,95})))))</f>
        <v>68</v>
      </c>
      <c r="P396" s="2">
        <f t="shared" si="33"/>
        <v>3</v>
      </c>
      <c r="Q396" s="2">
        <f t="shared" si="34"/>
        <v>1.5</v>
      </c>
    </row>
    <row r="397" customHeight="1" spans="1:17">
      <c r="A397" s="2">
        <v>2026</v>
      </c>
      <c r="B397" s="2">
        <v>396</v>
      </c>
      <c r="C397" s="17">
        <f t="shared" si="32"/>
        <v>69.8</v>
      </c>
      <c r="D397" s="2" t="s">
        <v>706</v>
      </c>
      <c r="E397" s="2">
        <v>68</v>
      </c>
      <c r="F397" s="2">
        <v>62</v>
      </c>
      <c r="G397" s="2">
        <v>58</v>
      </c>
      <c r="H397" s="2" t="s">
        <v>37</v>
      </c>
      <c r="I397" s="2" t="s">
        <v>28</v>
      </c>
      <c r="J397" s="4" t="s">
        <v>140</v>
      </c>
      <c r="M397" s="2">
        <f t="shared" si="30"/>
        <v>20</v>
      </c>
      <c r="N397" s="2">
        <f t="shared" si="31"/>
        <v>65.8</v>
      </c>
      <c r="O397" s="2">
        <f>IF(M397="","",IF(M397&gt;=1000,95,IF(M397&lt;=12.5,50,LOOKUP(M397,{12.5,15,20,30,45,60,75,105,115,150,200,225,250,600,1000},{50,55,60,62,65,68,70,72,75,80,82,85,87,90,95})+(M397-LOOKUP(M397,{12.5,15,20,30,45,60,75,105,115,150,200,225,250,600},{12.5,15,20,30,45,60,75,105,115,150,200,225,250,600}))/(LOOKUP(M397,{12.5,15,20,30,45,60,75,105,115,150,200,225,250,600,1000},{15,20,30,45,60,75,105,115,150,200,225,250,600,1000,1000})-LOOKUP(M397,{12.5,15,20,30,45,60,75,105,115,150,200,225,250,600},{12.5,15,20,30,45,60,75,105,115,150,200,225,250,600}))*(LOOKUP(M397,{12.5,15,20,30,45,60,75,105,115,150,200,225,250,600,1000},{55,60,62,65,68,70,72,75,80,82,85,87,90,95,95})-LOOKUP(M397,{12.5,15,20,30,45,60,75,105,115,150,200,225,250,600,1000},{50,55,60,62,65,68,70,72,75,80,82,85,87,90,95})))))</f>
        <v>60</v>
      </c>
      <c r="P397" s="2">
        <f t="shared" si="33"/>
        <v>8</v>
      </c>
      <c r="Q397" s="2">
        <f t="shared" si="34"/>
        <v>4</v>
      </c>
    </row>
    <row r="398" customHeight="1" spans="1:17">
      <c r="A398" s="2">
        <v>2026</v>
      </c>
      <c r="B398" s="2">
        <v>397</v>
      </c>
      <c r="C398" s="17">
        <f t="shared" si="32"/>
        <v>69.8</v>
      </c>
      <c r="D398" s="2" t="s">
        <v>707</v>
      </c>
      <c r="E398" s="9">
        <v>71</v>
      </c>
      <c r="F398" s="12">
        <v>69</v>
      </c>
      <c r="G398" s="12">
        <v>68</v>
      </c>
      <c r="H398" s="2" t="s">
        <v>412</v>
      </c>
      <c r="I398" s="2" t="s">
        <v>58</v>
      </c>
      <c r="J398" s="4" t="s">
        <v>105</v>
      </c>
      <c r="M398" s="2">
        <f t="shared" si="30"/>
        <v>105</v>
      </c>
      <c r="N398" s="2">
        <f t="shared" si="31"/>
        <v>70.3</v>
      </c>
      <c r="O398" s="2">
        <f>IF(M398="","",IF(M398&gt;=1000,95,IF(M398&lt;=12.5,50,LOOKUP(M398,{12.5,15,20,30,45,60,75,105,115,150,200,225,250,600,1000},{50,55,60,62,65,68,70,72,75,80,82,85,87,90,95})+(M398-LOOKUP(M398,{12.5,15,20,30,45,60,75,105,115,150,200,225,250,600},{12.5,15,20,30,45,60,75,105,115,150,200,225,250,600}))/(LOOKUP(M398,{12.5,15,20,30,45,60,75,105,115,150,200,225,250,600,1000},{15,20,30,45,60,75,105,115,150,200,225,250,600,1000,1000})-LOOKUP(M398,{12.5,15,20,30,45,60,75,105,115,150,200,225,250,600},{12.5,15,20,30,45,60,75,105,115,150,200,225,250,600}))*(LOOKUP(M398,{12.5,15,20,30,45,60,75,105,115,150,200,225,250,600,1000},{55,60,62,65,68,70,72,75,80,82,85,87,90,95,95})-LOOKUP(M398,{12.5,15,20,30,45,60,75,105,115,150,200,225,250,600,1000},{50,55,60,62,65,68,70,72,75,80,82,85,87,90,95})))))</f>
        <v>72</v>
      </c>
      <c r="P398" s="2">
        <f t="shared" si="33"/>
        <v>-1</v>
      </c>
      <c r="Q398" s="2">
        <f t="shared" si="34"/>
        <v>-0.5</v>
      </c>
    </row>
    <row r="399" customHeight="1" spans="1:17">
      <c r="B399" s="2">
        <v>398</v>
      </c>
      <c r="C399" s="17">
        <f t="shared" si="32"/>
        <v>69.8</v>
      </c>
      <c r="D399" s="2" t="s">
        <v>708</v>
      </c>
      <c r="E399" s="12">
        <v>69</v>
      </c>
      <c r="F399" s="2">
        <v>50</v>
      </c>
      <c r="G399" s="2">
        <v>35</v>
      </c>
      <c r="H399" s="2" t="s">
        <v>91</v>
      </c>
      <c r="I399" s="2" t="s">
        <v>503</v>
      </c>
      <c r="J399" s="4" t="s">
        <v>77</v>
      </c>
      <c r="K399" s="2" t="s">
        <v>709</v>
      </c>
      <c r="M399" s="2">
        <f t="shared" si="30"/>
        <v>12.5</v>
      </c>
      <c r="N399" s="2">
        <f t="shared" si="31"/>
        <v>61.8</v>
      </c>
      <c r="O399" s="2">
        <f>IF(M399="","",IF(M399&gt;=1000,95,IF(M399&lt;=12.5,50,LOOKUP(M399,{12.5,15,20,30,45,60,75,105,115,150,200,225,250,600,1000},{50,55,60,62,65,68,70,72,75,80,82,85,87,90,95})+(M399-LOOKUP(M399,{12.5,15,20,30,45,60,75,105,115,150,200,225,250,600},{12.5,15,20,30,45,60,75,105,115,150,200,225,250,600}))/(LOOKUP(M399,{12.5,15,20,30,45,60,75,105,115,150,200,225,250,600,1000},{15,20,30,45,60,75,105,115,150,200,225,250,600,1000,1000})-LOOKUP(M399,{12.5,15,20,30,45,60,75,105,115,150,200,225,250,600},{12.5,15,20,30,45,60,75,105,115,150,200,225,250,600}))*(LOOKUP(M399,{12.5,15,20,30,45,60,75,105,115,150,200,225,250,600,1000},{55,60,62,65,68,70,72,75,80,82,85,87,90,95,95})-LOOKUP(M399,{12.5,15,20,30,45,60,75,105,115,150,200,225,250,600,1000},{50,55,60,62,65,68,70,72,75,80,82,85,87,90,95})))))</f>
        <v>50</v>
      </c>
      <c r="P399" s="2">
        <f t="shared" si="33"/>
        <v>19</v>
      </c>
      <c r="Q399" s="2">
        <f t="shared" si="34"/>
        <v>8</v>
      </c>
    </row>
    <row r="400" customHeight="1" spans="1:17">
      <c r="A400" s="2">
        <v>2026</v>
      </c>
      <c r="B400" s="2">
        <v>399</v>
      </c>
      <c r="C400" s="17">
        <f t="shared" si="32"/>
        <v>69.8</v>
      </c>
      <c r="D400" s="2" t="s">
        <v>710</v>
      </c>
      <c r="E400" s="12">
        <v>69</v>
      </c>
      <c r="F400" s="2">
        <v>55</v>
      </c>
      <c r="G400" s="2">
        <v>25</v>
      </c>
      <c r="H400" s="2" t="s">
        <v>54</v>
      </c>
      <c r="I400" s="2" t="s">
        <v>28</v>
      </c>
      <c r="J400" s="4" t="s">
        <v>77</v>
      </c>
      <c r="M400" s="2">
        <f t="shared" si="30"/>
        <v>12.5</v>
      </c>
      <c r="N400" s="2">
        <f t="shared" si="31"/>
        <v>61.8</v>
      </c>
      <c r="O400" s="2">
        <f>IF(M400="","",IF(M400&gt;=1000,95,IF(M400&lt;=12.5,50,LOOKUP(M400,{12.5,15,20,30,45,60,75,105,115,150,200,225,250,600,1000},{50,55,60,62,65,68,70,72,75,80,82,85,87,90,95})+(M400-LOOKUP(M400,{12.5,15,20,30,45,60,75,105,115,150,200,225,250,600},{12.5,15,20,30,45,60,75,105,115,150,200,225,250,600}))/(LOOKUP(M400,{12.5,15,20,30,45,60,75,105,115,150,200,225,250,600,1000},{15,20,30,45,60,75,105,115,150,200,225,250,600,1000,1000})-LOOKUP(M400,{12.5,15,20,30,45,60,75,105,115,150,200,225,250,600},{12.5,15,20,30,45,60,75,105,115,150,200,225,250,600}))*(LOOKUP(M400,{12.5,15,20,30,45,60,75,105,115,150,200,225,250,600,1000},{55,60,62,65,68,70,72,75,80,82,85,87,90,95,95})-LOOKUP(M400,{12.5,15,20,30,45,60,75,105,115,150,200,225,250,600,1000},{50,55,60,62,65,68,70,72,75,80,82,85,87,90,95})))))</f>
        <v>50</v>
      </c>
      <c r="P400" s="2">
        <f t="shared" si="33"/>
        <v>19</v>
      </c>
      <c r="Q400" s="2">
        <f t="shared" si="34"/>
        <v>8</v>
      </c>
    </row>
    <row r="401" customHeight="1" spans="1:17">
      <c r="B401" s="2">
        <v>400</v>
      </c>
      <c r="C401" s="17">
        <f t="shared" si="32"/>
        <v>69.8</v>
      </c>
      <c r="D401" s="2" t="s">
        <v>711</v>
      </c>
      <c r="E401" s="9">
        <v>75</v>
      </c>
      <c r="F401" s="2">
        <v>55</v>
      </c>
      <c r="G401" s="2">
        <v>38</v>
      </c>
      <c r="H401" s="2" t="s">
        <v>244</v>
      </c>
      <c r="I401" s="2" t="s">
        <v>63</v>
      </c>
      <c r="J401" s="4" t="s">
        <v>24</v>
      </c>
      <c r="M401" s="2">
        <f t="shared" si="30"/>
        <v>75</v>
      </c>
      <c r="N401" s="2">
        <f t="shared" si="31"/>
        <v>67.3</v>
      </c>
      <c r="O401" s="2">
        <f>IF(M401="","",IF(M401&gt;=1000,95,IF(M401&lt;=12.5,50,LOOKUP(M401,{12.5,15,20,30,45,60,75,105,115,150,200,225,250,600,1000},{50,55,60,62,65,68,70,72,75,80,82,85,87,90,95})+(M401-LOOKUP(M401,{12.5,15,20,30,45,60,75,105,115,150,200,225,250,600},{12.5,15,20,30,45,60,75,105,115,150,200,225,250,600}))/(LOOKUP(M401,{12.5,15,20,30,45,60,75,105,115,150,200,225,250,600,1000},{15,20,30,45,60,75,105,115,150,200,225,250,600,1000,1000})-LOOKUP(M401,{12.5,15,20,30,45,60,75,105,115,150,200,225,250,600},{12.5,15,20,30,45,60,75,105,115,150,200,225,250,600}))*(LOOKUP(M401,{12.5,15,20,30,45,60,75,105,115,150,200,225,250,600,1000},{55,60,62,65,68,70,72,75,80,82,85,87,90,95,95})-LOOKUP(M401,{12.5,15,20,30,45,60,75,105,115,150,200,225,250,600,1000},{50,55,60,62,65,68,70,72,75,80,82,85,87,90,95})))))</f>
        <v>70</v>
      </c>
      <c r="P401" s="2">
        <f t="shared" si="33"/>
        <v>5</v>
      </c>
      <c r="Q401" s="2">
        <f t="shared" si="34"/>
        <v>2.5</v>
      </c>
    </row>
    <row r="402" customHeight="1" spans="1:17">
      <c r="A402" s="2">
        <v>2026</v>
      </c>
      <c r="B402" s="2">
        <v>401</v>
      </c>
      <c r="C402" s="17">
        <f t="shared" si="32"/>
        <v>69.8</v>
      </c>
      <c r="D402" s="2" t="s">
        <v>712</v>
      </c>
      <c r="E402" s="9">
        <v>74</v>
      </c>
      <c r="F402" s="2">
        <v>50</v>
      </c>
      <c r="G402" s="2">
        <v>35</v>
      </c>
      <c r="H402" s="2" t="s">
        <v>54</v>
      </c>
      <c r="I402" s="2" t="s">
        <v>321</v>
      </c>
      <c r="J402" s="4" t="s">
        <v>38</v>
      </c>
      <c r="M402" s="2">
        <f t="shared" si="30"/>
        <v>45</v>
      </c>
      <c r="N402" s="2">
        <f t="shared" si="31"/>
        <v>65.3</v>
      </c>
      <c r="O402" s="2">
        <f>IF(M402="","",IF(M402&gt;=1000,95,IF(M402&lt;=12.5,50,LOOKUP(M402,{12.5,15,20,30,45,60,75,105,115,150,200,225,250,600,1000},{50,55,60,62,65,68,70,72,75,80,82,85,87,90,95})+(M402-LOOKUP(M402,{12.5,15,20,30,45,60,75,105,115,150,200,225,250,600},{12.5,15,20,30,45,60,75,105,115,150,200,225,250,600}))/(LOOKUP(M402,{12.5,15,20,30,45,60,75,105,115,150,200,225,250,600,1000},{15,20,30,45,60,75,105,115,150,200,225,250,600,1000,1000})-LOOKUP(M402,{12.5,15,20,30,45,60,75,105,115,150,200,225,250,600},{12.5,15,20,30,45,60,75,105,115,150,200,225,250,600}))*(LOOKUP(M402,{12.5,15,20,30,45,60,75,105,115,150,200,225,250,600,1000},{55,60,62,65,68,70,72,75,80,82,85,87,90,95,95})-LOOKUP(M402,{12.5,15,20,30,45,60,75,105,115,150,200,225,250,600,1000},{50,55,60,62,65,68,70,72,75,80,82,85,87,90,95})))))</f>
        <v>65</v>
      </c>
      <c r="P402" s="2">
        <f t="shared" si="33"/>
        <v>9</v>
      </c>
      <c r="Q402" s="2">
        <f t="shared" si="34"/>
        <v>4.5</v>
      </c>
    </row>
    <row r="403" customHeight="1" spans="1:17">
      <c r="A403" s="2">
        <v>2026</v>
      </c>
      <c r="B403" s="2">
        <v>402</v>
      </c>
      <c r="C403" s="17">
        <f t="shared" si="32"/>
        <v>69.8</v>
      </c>
      <c r="D403" s="2" t="s">
        <v>713</v>
      </c>
      <c r="E403" s="9">
        <v>70</v>
      </c>
      <c r="F403" s="2">
        <v>56</v>
      </c>
      <c r="G403" s="2">
        <v>56</v>
      </c>
      <c r="H403" s="2" t="s">
        <v>41</v>
      </c>
      <c r="I403" s="2" t="s">
        <v>63</v>
      </c>
      <c r="J403" s="4" t="s">
        <v>88</v>
      </c>
      <c r="M403" s="2">
        <f t="shared" si="30"/>
        <v>30</v>
      </c>
      <c r="N403" s="2">
        <f t="shared" si="31"/>
        <v>65.8</v>
      </c>
      <c r="O403" s="2">
        <f>IF(M403="","",IF(M403&gt;=1000,95,IF(M403&lt;=12.5,50,LOOKUP(M403,{12.5,15,20,30,45,60,75,105,115,150,200,225,250,600,1000},{50,55,60,62,65,68,70,72,75,80,82,85,87,90,95})+(M403-LOOKUP(M403,{12.5,15,20,30,45,60,75,105,115,150,200,225,250,600},{12.5,15,20,30,45,60,75,105,115,150,200,225,250,600}))/(LOOKUP(M403,{12.5,15,20,30,45,60,75,105,115,150,200,225,250,600,1000},{15,20,30,45,60,75,105,115,150,200,225,250,600,1000,1000})-LOOKUP(M403,{12.5,15,20,30,45,60,75,105,115,150,200,225,250,600},{12.5,15,20,30,45,60,75,105,115,150,200,225,250,600}))*(LOOKUP(M403,{12.5,15,20,30,45,60,75,105,115,150,200,225,250,600,1000},{55,60,62,65,68,70,72,75,80,82,85,87,90,95,95})-LOOKUP(M403,{12.5,15,20,30,45,60,75,105,115,150,200,225,250,600,1000},{50,55,60,62,65,68,70,72,75,80,82,85,87,90,95})))))</f>
        <v>62</v>
      </c>
      <c r="P403" s="2">
        <f t="shared" si="33"/>
        <v>8</v>
      </c>
      <c r="Q403" s="2">
        <f t="shared" si="34"/>
        <v>4</v>
      </c>
    </row>
    <row r="404" customHeight="1" spans="1:17">
      <c r="A404" s="2">
        <v>2026</v>
      </c>
      <c r="B404" s="2">
        <v>403</v>
      </c>
      <c r="C404" s="17">
        <f t="shared" si="32"/>
        <v>69.7</v>
      </c>
      <c r="D404" s="2" t="s">
        <v>714</v>
      </c>
      <c r="E404" s="12">
        <v>65</v>
      </c>
      <c r="F404" s="10">
        <v>82</v>
      </c>
      <c r="G404" s="9">
        <v>78</v>
      </c>
      <c r="H404" s="2" t="s">
        <v>41</v>
      </c>
      <c r="I404" s="2" t="s">
        <v>63</v>
      </c>
      <c r="J404" s="4" t="s">
        <v>38</v>
      </c>
      <c r="M404" s="2">
        <f t="shared" si="30"/>
        <v>45</v>
      </c>
      <c r="N404" s="2">
        <f t="shared" si="31"/>
        <v>69.7</v>
      </c>
      <c r="O404" s="2">
        <f>IF(M404="","",IF(M404&gt;=1000,95,IF(M404&lt;=12.5,50,LOOKUP(M404,{12.5,15,20,30,45,60,75,105,115,150,200,225,250,600,1000},{50,55,60,62,65,68,70,72,75,80,82,85,87,90,95})+(M404-LOOKUP(M404,{12.5,15,20,30,45,60,75,105,115,150,200,225,250,600},{12.5,15,20,30,45,60,75,105,115,150,200,225,250,600}))/(LOOKUP(M404,{12.5,15,20,30,45,60,75,105,115,150,200,225,250,600,1000},{15,20,30,45,60,75,105,115,150,200,225,250,600,1000,1000})-LOOKUP(M404,{12.5,15,20,30,45,60,75,105,115,150,200,225,250,600},{12.5,15,20,30,45,60,75,105,115,150,200,225,250,600}))*(LOOKUP(M404,{12.5,15,20,30,45,60,75,105,115,150,200,225,250,600,1000},{55,60,62,65,68,70,72,75,80,82,85,87,90,95,95})-LOOKUP(M404,{12.5,15,20,30,45,60,75,105,115,150,200,225,250,600,1000},{50,55,60,62,65,68,70,72,75,80,82,85,87,90,95})))))</f>
        <v>65</v>
      </c>
      <c r="P404" s="2">
        <f t="shared" si="33"/>
        <v>0</v>
      </c>
      <c r="Q404" s="2">
        <f t="shared" si="34"/>
        <v>0</v>
      </c>
    </row>
    <row r="405" customHeight="1" spans="1:17">
      <c r="A405" s="2">
        <v>2026</v>
      </c>
      <c r="B405" s="2">
        <v>404</v>
      </c>
      <c r="C405" s="17">
        <f t="shared" si="32"/>
        <v>69.7</v>
      </c>
      <c r="D405" s="2" t="s">
        <v>715</v>
      </c>
      <c r="E405" s="9">
        <v>72</v>
      </c>
      <c r="F405" s="12">
        <v>62</v>
      </c>
      <c r="G405" s="2">
        <v>59</v>
      </c>
      <c r="H405" s="2" t="s">
        <v>54</v>
      </c>
      <c r="I405" s="2" t="s">
        <v>104</v>
      </c>
      <c r="J405" s="4" t="s">
        <v>24</v>
      </c>
      <c r="M405" s="2">
        <f t="shared" si="30"/>
        <v>75</v>
      </c>
      <c r="N405" s="2">
        <f t="shared" si="31"/>
        <v>68.7</v>
      </c>
      <c r="O405" s="2">
        <f>IF(M405="","",IF(M405&gt;=1000,95,IF(M405&lt;=12.5,50,LOOKUP(M405,{12.5,15,20,30,45,60,75,105,115,150,200,225,250,600,1000},{50,55,60,62,65,68,70,72,75,80,82,85,87,90,95})+(M405-LOOKUP(M405,{12.5,15,20,30,45,60,75,105,115,150,200,225,250,600},{12.5,15,20,30,45,60,75,105,115,150,200,225,250,600}))/(LOOKUP(M405,{12.5,15,20,30,45,60,75,105,115,150,200,225,250,600,1000},{15,20,30,45,60,75,105,115,150,200,225,250,600,1000,1000})-LOOKUP(M405,{12.5,15,20,30,45,60,75,105,115,150,200,225,250,600},{12.5,15,20,30,45,60,75,105,115,150,200,225,250,600}))*(LOOKUP(M405,{12.5,15,20,30,45,60,75,105,115,150,200,225,250,600,1000},{55,60,62,65,68,70,72,75,80,82,85,87,90,95,95})-LOOKUP(M405,{12.5,15,20,30,45,60,75,105,115,150,200,225,250,600,1000},{50,55,60,62,65,68,70,72,75,80,82,85,87,90,95})))))</f>
        <v>70</v>
      </c>
      <c r="P405" s="2">
        <f t="shared" si="33"/>
        <v>2</v>
      </c>
      <c r="Q405" s="2">
        <f t="shared" si="34"/>
        <v>1</v>
      </c>
    </row>
    <row r="406" customHeight="1" spans="1:17">
      <c r="B406" s="2">
        <v>405</v>
      </c>
      <c r="C406" s="17">
        <f t="shared" si="32"/>
        <v>69.7</v>
      </c>
      <c r="D406" s="2" t="s">
        <v>716</v>
      </c>
      <c r="E406" s="12">
        <v>69</v>
      </c>
      <c r="F406" s="12">
        <v>64</v>
      </c>
      <c r="G406" s="12">
        <v>66</v>
      </c>
      <c r="H406" s="2" t="s">
        <v>91</v>
      </c>
      <c r="I406" s="2" t="s">
        <v>717</v>
      </c>
      <c r="J406" s="4" t="s">
        <v>38</v>
      </c>
      <c r="M406" s="2">
        <f t="shared" si="30"/>
        <v>45</v>
      </c>
      <c r="N406" s="2">
        <f t="shared" si="31"/>
        <v>67.7</v>
      </c>
      <c r="O406" s="2">
        <f>IF(M406="","",IF(M406&gt;=1000,95,IF(M406&lt;=12.5,50,LOOKUP(M406,{12.5,15,20,30,45,60,75,105,115,150,200,225,250,600,1000},{50,55,60,62,65,68,70,72,75,80,82,85,87,90,95})+(M406-LOOKUP(M406,{12.5,15,20,30,45,60,75,105,115,150,200,225,250,600},{12.5,15,20,30,45,60,75,105,115,150,200,225,250,600}))/(LOOKUP(M406,{12.5,15,20,30,45,60,75,105,115,150,200,225,250,600,1000},{15,20,30,45,60,75,105,115,150,200,225,250,600,1000,1000})-LOOKUP(M406,{12.5,15,20,30,45,60,75,105,115,150,200,225,250,600},{12.5,15,20,30,45,60,75,105,115,150,200,225,250,600}))*(LOOKUP(M406,{12.5,15,20,30,45,60,75,105,115,150,200,225,250,600,1000},{55,60,62,65,68,70,72,75,80,82,85,87,90,95,95})-LOOKUP(M406,{12.5,15,20,30,45,60,75,105,115,150,200,225,250,600,1000},{50,55,60,62,65,68,70,72,75,80,82,85,87,90,95})))))</f>
        <v>65</v>
      </c>
      <c r="P406" s="2">
        <f t="shared" si="33"/>
        <v>4</v>
      </c>
      <c r="Q406" s="2">
        <f t="shared" si="34"/>
        <v>2</v>
      </c>
    </row>
    <row r="407" customHeight="1" spans="1:17">
      <c r="B407" s="2">
        <v>406</v>
      </c>
      <c r="C407" s="17">
        <f t="shared" si="32"/>
        <v>69.7</v>
      </c>
      <c r="D407" s="2" t="s">
        <v>718</v>
      </c>
      <c r="E407" s="9">
        <v>73</v>
      </c>
      <c r="F407" s="2">
        <v>58</v>
      </c>
      <c r="G407" s="2">
        <v>30</v>
      </c>
      <c r="H407" s="2" t="s">
        <v>113</v>
      </c>
      <c r="I407" s="2" t="s">
        <v>33</v>
      </c>
      <c r="J407" s="4" t="s">
        <v>38</v>
      </c>
      <c r="M407" s="2">
        <f t="shared" si="30"/>
        <v>45</v>
      </c>
      <c r="N407" s="2">
        <f t="shared" si="31"/>
        <v>65.7</v>
      </c>
      <c r="O407" s="2">
        <f>IF(M407="","",IF(M407&gt;=1000,95,IF(M407&lt;=12.5,50,LOOKUP(M407,{12.5,15,20,30,45,60,75,105,115,150,200,225,250,600,1000},{50,55,60,62,65,68,70,72,75,80,82,85,87,90,95})+(M407-LOOKUP(M407,{12.5,15,20,30,45,60,75,105,115,150,200,225,250,600},{12.5,15,20,30,45,60,75,105,115,150,200,225,250,600}))/(LOOKUP(M407,{12.5,15,20,30,45,60,75,105,115,150,200,225,250,600,1000},{15,20,30,45,60,75,105,115,150,200,225,250,600,1000,1000})-LOOKUP(M407,{12.5,15,20,30,45,60,75,105,115,150,200,225,250,600},{12.5,15,20,30,45,60,75,105,115,150,200,225,250,600}))*(LOOKUP(M407,{12.5,15,20,30,45,60,75,105,115,150,200,225,250,600,1000},{55,60,62,65,68,70,72,75,80,82,85,87,90,95,95})-LOOKUP(M407,{12.5,15,20,30,45,60,75,105,115,150,200,225,250,600,1000},{50,55,60,62,65,68,70,72,75,80,82,85,87,90,95})))))</f>
        <v>65</v>
      </c>
      <c r="P407" s="2">
        <f t="shared" si="33"/>
        <v>8</v>
      </c>
      <c r="Q407" s="2">
        <f t="shared" si="34"/>
        <v>4</v>
      </c>
    </row>
    <row r="408" customHeight="1" spans="1:17">
      <c r="A408" s="2">
        <v>2026</v>
      </c>
      <c r="B408" s="2">
        <v>407</v>
      </c>
      <c r="C408" s="17">
        <f t="shared" si="32"/>
        <v>69.6</v>
      </c>
      <c r="D408" s="2" t="s">
        <v>719</v>
      </c>
      <c r="E408" s="9">
        <v>72</v>
      </c>
      <c r="F408" s="2">
        <v>52</v>
      </c>
      <c r="G408" s="2">
        <v>38</v>
      </c>
      <c r="H408" s="2" t="s">
        <v>54</v>
      </c>
      <c r="I408" s="2" t="s">
        <v>28</v>
      </c>
      <c r="J408" s="4" t="s">
        <v>88</v>
      </c>
      <c r="K408" s="2" t="s">
        <v>720</v>
      </c>
      <c r="M408" s="2">
        <f t="shared" si="30"/>
        <v>30</v>
      </c>
      <c r="N408" s="2">
        <f t="shared" si="31"/>
        <v>64.6</v>
      </c>
      <c r="O408" s="2">
        <f>IF(M408="","",IF(M408&gt;=1000,95,IF(M408&lt;=12.5,50,LOOKUP(M408,{12.5,15,20,30,45,60,75,105,115,150,200,225,250,600,1000},{50,55,60,62,65,68,70,72,75,80,82,85,87,90,95})+(M408-LOOKUP(M408,{12.5,15,20,30,45,60,75,105,115,150,200,225,250,600},{12.5,15,20,30,45,60,75,105,115,150,200,225,250,600}))/(LOOKUP(M408,{12.5,15,20,30,45,60,75,105,115,150,200,225,250,600,1000},{15,20,30,45,60,75,105,115,150,200,225,250,600,1000,1000})-LOOKUP(M408,{12.5,15,20,30,45,60,75,105,115,150,200,225,250,600},{12.5,15,20,30,45,60,75,105,115,150,200,225,250,600}))*(LOOKUP(M408,{12.5,15,20,30,45,60,75,105,115,150,200,225,250,600,1000},{55,60,62,65,68,70,72,75,80,82,85,87,90,95,95})-LOOKUP(M408,{12.5,15,20,30,45,60,75,105,115,150,200,225,250,600,1000},{50,55,60,62,65,68,70,72,75,80,82,85,87,90,95})))))</f>
        <v>62</v>
      </c>
      <c r="P408" s="2">
        <f t="shared" si="33"/>
        <v>10</v>
      </c>
      <c r="Q408" s="2">
        <f t="shared" si="34"/>
        <v>5</v>
      </c>
    </row>
    <row r="409" customHeight="1" spans="1:17">
      <c r="A409" s="2">
        <v>2026</v>
      </c>
      <c r="B409" s="2">
        <v>408</v>
      </c>
      <c r="C409" s="17">
        <f t="shared" si="32"/>
        <v>69.53</v>
      </c>
      <c r="D409" s="2" t="s">
        <v>721</v>
      </c>
      <c r="E409" s="9">
        <v>71</v>
      </c>
      <c r="F409" s="2">
        <v>50</v>
      </c>
      <c r="G409" s="2">
        <v>45</v>
      </c>
      <c r="H409" s="2" t="s">
        <v>41</v>
      </c>
      <c r="I409" s="2" t="s">
        <v>63</v>
      </c>
      <c r="J409" s="4" t="s">
        <v>140</v>
      </c>
      <c r="M409" s="2">
        <f t="shared" si="30"/>
        <v>20</v>
      </c>
      <c r="N409" s="2">
        <f t="shared" si="31"/>
        <v>64.2</v>
      </c>
      <c r="O409" s="2">
        <f>IF(M409="","",IF(M409&gt;=1000,95,IF(M409&lt;=12.5,50,LOOKUP(M409,{12.5,15,20,30,45,60,75,105,115,150,200,225,250,600,1000},{50,55,60,62,65,68,70,72,75,80,82,85,87,90,95})+(M409-LOOKUP(M409,{12.5,15,20,30,45,60,75,105,115,150,200,225,250,600},{12.5,15,20,30,45,60,75,105,115,150,200,225,250,600}))/(LOOKUP(M409,{12.5,15,20,30,45,60,75,105,115,150,200,225,250,600,1000},{15,20,30,45,60,75,105,115,150,200,225,250,600,1000,1000})-LOOKUP(M409,{12.5,15,20,30,45,60,75,105,115,150,200,225,250,600},{12.5,15,20,30,45,60,75,105,115,150,200,225,250,600}))*(LOOKUP(M409,{12.5,15,20,30,45,60,75,105,115,150,200,225,250,600,1000},{55,60,62,65,68,70,72,75,80,82,85,87,90,95,95})-LOOKUP(M409,{12.5,15,20,30,45,60,75,105,115,150,200,225,250,600,1000},{50,55,60,62,65,68,70,72,75,80,82,85,87,90,95})))))</f>
        <v>60</v>
      </c>
      <c r="P409" s="2">
        <f t="shared" si="33"/>
        <v>11</v>
      </c>
      <c r="Q409" s="2">
        <f t="shared" si="34"/>
        <v>5.33</v>
      </c>
    </row>
    <row r="410" customHeight="1" spans="1:17">
      <c r="B410" s="2">
        <v>409</v>
      </c>
      <c r="C410" s="17">
        <f t="shared" si="32"/>
        <v>69.5</v>
      </c>
      <c r="D410" s="2" t="s">
        <v>722</v>
      </c>
      <c r="E410" s="9">
        <v>79</v>
      </c>
      <c r="F410" s="12">
        <v>60</v>
      </c>
      <c r="G410" s="2">
        <v>52</v>
      </c>
      <c r="H410" s="2" t="s">
        <v>723</v>
      </c>
      <c r="I410" s="2" t="s">
        <v>55</v>
      </c>
      <c r="J410" s="4" t="s">
        <v>19</v>
      </c>
      <c r="M410" s="2">
        <f t="shared" si="30"/>
        <v>225</v>
      </c>
      <c r="N410" s="2">
        <f t="shared" si="31"/>
        <v>72.5</v>
      </c>
      <c r="O410" s="2">
        <f>IF(M410="","",IF(M410&gt;=1000,95,IF(M410&lt;=12.5,50,LOOKUP(M410,{12.5,15,20,30,45,60,75,105,115,150,200,225,250,600,1000},{50,55,60,62,65,68,70,72,75,80,82,85,87,90,95})+(M410-LOOKUP(M410,{12.5,15,20,30,45,60,75,105,115,150,200,225,250,600},{12.5,15,20,30,45,60,75,105,115,150,200,225,250,600}))/(LOOKUP(M410,{12.5,15,20,30,45,60,75,105,115,150,200,225,250,600,1000},{15,20,30,45,60,75,105,115,150,200,225,250,600,1000,1000})-LOOKUP(M410,{12.5,15,20,30,45,60,75,105,115,150,200,225,250,600},{12.5,15,20,30,45,60,75,105,115,150,200,225,250,600}))*(LOOKUP(M410,{12.5,15,20,30,45,60,75,105,115,150,200,225,250,600,1000},{55,60,62,65,68,70,72,75,80,82,85,87,90,95,95})-LOOKUP(M410,{12.5,15,20,30,45,60,75,105,115,150,200,225,250,600,1000},{50,55,60,62,65,68,70,72,75,80,82,85,87,90,95})))))</f>
        <v>85</v>
      </c>
      <c r="P410" s="2">
        <f t="shared" si="33"/>
        <v>-6</v>
      </c>
      <c r="Q410" s="2">
        <f t="shared" si="34"/>
        <v>-3</v>
      </c>
    </row>
    <row r="411" customHeight="1" spans="1:17">
      <c r="B411" s="2">
        <v>410</v>
      </c>
      <c r="C411" s="17">
        <f t="shared" si="32"/>
        <v>69.5</v>
      </c>
      <c r="D411" s="2" t="s">
        <v>724</v>
      </c>
      <c r="E411" s="9">
        <v>70</v>
      </c>
      <c r="F411" s="2">
        <v>55</v>
      </c>
      <c r="G411" s="9">
        <v>70</v>
      </c>
      <c r="H411" s="2" t="s">
        <v>41</v>
      </c>
      <c r="I411" s="2" t="s">
        <v>63</v>
      </c>
      <c r="J411" s="4" t="s">
        <v>38</v>
      </c>
      <c r="M411" s="2">
        <f t="shared" si="30"/>
        <v>45</v>
      </c>
      <c r="N411" s="2">
        <f t="shared" si="31"/>
        <v>67</v>
      </c>
      <c r="O411" s="2">
        <f>IF(M411="","",IF(M411&gt;=1000,95,IF(M411&lt;=12.5,50,LOOKUP(M411,{12.5,15,20,30,45,60,75,105,115,150,200,225,250,600,1000},{50,55,60,62,65,68,70,72,75,80,82,85,87,90,95})+(M411-LOOKUP(M411,{12.5,15,20,30,45,60,75,105,115,150,200,225,250,600},{12.5,15,20,30,45,60,75,105,115,150,200,225,250,600}))/(LOOKUP(M411,{12.5,15,20,30,45,60,75,105,115,150,200,225,250,600,1000},{15,20,30,45,60,75,105,115,150,200,225,250,600,1000,1000})-LOOKUP(M411,{12.5,15,20,30,45,60,75,105,115,150,200,225,250,600},{12.5,15,20,30,45,60,75,105,115,150,200,225,250,600}))*(LOOKUP(M411,{12.5,15,20,30,45,60,75,105,115,150,200,225,250,600,1000},{55,60,62,65,68,70,72,75,80,82,85,87,90,95,95})-LOOKUP(M411,{12.5,15,20,30,45,60,75,105,115,150,200,225,250,600,1000},{50,55,60,62,65,68,70,72,75,80,82,85,87,90,95})))))</f>
        <v>65</v>
      </c>
      <c r="P411" s="2">
        <f t="shared" si="33"/>
        <v>5</v>
      </c>
      <c r="Q411" s="2">
        <f t="shared" si="34"/>
        <v>2.5</v>
      </c>
    </row>
    <row r="412" customHeight="1" spans="1:17">
      <c r="B412" s="2">
        <v>411</v>
      </c>
      <c r="C412" s="17">
        <f t="shared" si="32"/>
        <v>69.5</v>
      </c>
      <c r="D412" s="2" t="s">
        <v>725</v>
      </c>
      <c r="E412" s="9">
        <v>71</v>
      </c>
      <c r="F412" s="2">
        <v>58</v>
      </c>
      <c r="G412" s="2">
        <v>37</v>
      </c>
      <c r="H412" s="2" t="s">
        <v>489</v>
      </c>
      <c r="I412" s="2" t="s">
        <v>28</v>
      </c>
      <c r="J412" s="4" t="s">
        <v>88</v>
      </c>
      <c r="M412" s="2">
        <f t="shared" si="30"/>
        <v>30</v>
      </c>
      <c r="N412" s="2">
        <f t="shared" si="31"/>
        <v>65</v>
      </c>
      <c r="O412" s="2">
        <f>IF(M412="","",IF(M412&gt;=1000,95,IF(M412&lt;=12.5,50,LOOKUP(M412,{12.5,15,20,30,45,60,75,105,115,150,200,225,250,600,1000},{50,55,60,62,65,68,70,72,75,80,82,85,87,90,95})+(M412-LOOKUP(M412,{12.5,15,20,30,45,60,75,105,115,150,200,225,250,600},{12.5,15,20,30,45,60,75,105,115,150,200,225,250,600}))/(LOOKUP(M412,{12.5,15,20,30,45,60,75,105,115,150,200,225,250,600,1000},{15,20,30,45,60,75,105,115,150,200,225,250,600,1000,1000})-LOOKUP(M412,{12.5,15,20,30,45,60,75,105,115,150,200,225,250,600},{12.5,15,20,30,45,60,75,105,115,150,200,225,250,600}))*(LOOKUP(M412,{12.5,15,20,30,45,60,75,105,115,150,200,225,250,600,1000},{55,60,62,65,68,70,72,75,80,82,85,87,90,95,95})-LOOKUP(M412,{12.5,15,20,30,45,60,75,105,115,150,200,225,250,600,1000},{50,55,60,62,65,68,70,72,75,80,82,85,87,90,95})))))</f>
        <v>62</v>
      </c>
      <c r="P412" s="2">
        <f t="shared" si="33"/>
        <v>9</v>
      </c>
      <c r="Q412" s="2">
        <f t="shared" si="34"/>
        <v>4.5</v>
      </c>
    </row>
    <row r="413" customHeight="1" spans="1:17">
      <c r="B413" s="2">
        <v>412</v>
      </c>
      <c r="C413" s="17">
        <f t="shared" si="32"/>
        <v>69.4</v>
      </c>
      <c r="D413" s="2" t="s">
        <v>726</v>
      </c>
      <c r="E413" s="9">
        <v>72</v>
      </c>
      <c r="F413" s="2">
        <v>55</v>
      </c>
      <c r="G413" s="2">
        <v>45</v>
      </c>
      <c r="H413" s="2" t="s">
        <v>41</v>
      </c>
      <c r="I413" s="2" t="s">
        <v>63</v>
      </c>
      <c r="J413" s="4" t="s">
        <v>38</v>
      </c>
      <c r="M413" s="2">
        <f t="shared" si="30"/>
        <v>45</v>
      </c>
      <c r="N413" s="2">
        <f t="shared" si="31"/>
        <v>65.9</v>
      </c>
      <c r="O413" s="2">
        <f>IF(M413="","",IF(M413&gt;=1000,95,IF(M413&lt;=12.5,50,LOOKUP(M413,{12.5,15,20,30,45,60,75,105,115,150,200,225,250,600,1000},{50,55,60,62,65,68,70,72,75,80,82,85,87,90,95})+(M413-LOOKUP(M413,{12.5,15,20,30,45,60,75,105,115,150,200,225,250,600},{12.5,15,20,30,45,60,75,105,115,150,200,225,250,600}))/(LOOKUP(M413,{12.5,15,20,30,45,60,75,105,115,150,200,225,250,600,1000},{15,20,30,45,60,75,105,115,150,200,225,250,600,1000,1000})-LOOKUP(M413,{12.5,15,20,30,45,60,75,105,115,150,200,225,250,600},{12.5,15,20,30,45,60,75,105,115,150,200,225,250,600}))*(LOOKUP(M413,{12.5,15,20,30,45,60,75,105,115,150,200,225,250,600,1000},{55,60,62,65,68,70,72,75,80,82,85,87,90,95,95})-LOOKUP(M413,{12.5,15,20,30,45,60,75,105,115,150,200,225,250,600,1000},{50,55,60,62,65,68,70,72,75,80,82,85,87,90,95})))))</f>
        <v>65</v>
      </c>
      <c r="P413" s="2">
        <f t="shared" si="33"/>
        <v>7</v>
      </c>
      <c r="Q413" s="2">
        <f t="shared" si="34"/>
        <v>3.5</v>
      </c>
    </row>
    <row r="414" customHeight="1" spans="1:17">
      <c r="A414" s="2">
        <v>2026</v>
      </c>
      <c r="B414" s="2">
        <v>413</v>
      </c>
      <c r="C414" s="17">
        <f t="shared" si="32"/>
        <v>69.4</v>
      </c>
      <c r="D414" s="2" t="s">
        <v>727</v>
      </c>
      <c r="E414" s="9">
        <v>71</v>
      </c>
      <c r="F414" s="2">
        <v>58</v>
      </c>
      <c r="G414" s="2">
        <v>51</v>
      </c>
      <c r="H414" s="2" t="s">
        <v>231</v>
      </c>
      <c r="I414" s="2" t="s">
        <v>128</v>
      </c>
      <c r="J414" s="4" t="s">
        <v>38</v>
      </c>
      <c r="M414" s="2">
        <f t="shared" si="30"/>
        <v>45</v>
      </c>
      <c r="N414" s="2">
        <f t="shared" si="31"/>
        <v>66.4</v>
      </c>
      <c r="O414" s="2">
        <f>IF(M414="","",IF(M414&gt;=1000,95,IF(M414&lt;=12.5,50,LOOKUP(M414,{12.5,15,20,30,45,60,75,105,115,150,200,225,250,600,1000},{50,55,60,62,65,68,70,72,75,80,82,85,87,90,95})+(M414-LOOKUP(M414,{12.5,15,20,30,45,60,75,105,115,150,200,225,250,600},{12.5,15,20,30,45,60,75,105,115,150,200,225,250,600}))/(LOOKUP(M414,{12.5,15,20,30,45,60,75,105,115,150,200,225,250,600,1000},{15,20,30,45,60,75,105,115,150,200,225,250,600,1000,1000})-LOOKUP(M414,{12.5,15,20,30,45,60,75,105,115,150,200,225,250,600},{12.5,15,20,30,45,60,75,105,115,150,200,225,250,600}))*(LOOKUP(M414,{12.5,15,20,30,45,60,75,105,115,150,200,225,250,600,1000},{55,60,62,65,68,70,72,75,80,82,85,87,90,95,95})-LOOKUP(M414,{12.5,15,20,30,45,60,75,105,115,150,200,225,250,600,1000},{50,55,60,62,65,68,70,72,75,80,82,85,87,90,95})))))</f>
        <v>65</v>
      </c>
      <c r="P414" s="2">
        <f t="shared" si="33"/>
        <v>6</v>
      </c>
      <c r="Q414" s="2">
        <f t="shared" si="34"/>
        <v>3</v>
      </c>
    </row>
    <row r="415" customHeight="1" spans="1:17">
      <c r="B415" s="2">
        <v>414</v>
      </c>
      <c r="C415" s="17">
        <f t="shared" si="32"/>
        <v>69.3</v>
      </c>
      <c r="D415" s="2" t="s">
        <v>728</v>
      </c>
      <c r="E415" s="9">
        <v>72</v>
      </c>
      <c r="F415" s="10">
        <v>85</v>
      </c>
      <c r="G415" s="9">
        <v>79</v>
      </c>
      <c r="H415" s="2" t="s">
        <v>17</v>
      </c>
      <c r="I415" s="2" t="s">
        <v>284</v>
      </c>
      <c r="J415" s="4" t="s">
        <v>19</v>
      </c>
      <c r="M415" s="2">
        <f t="shared" si="30"/>
        <v>225</v>
      </c>
      <c r="N415" s="2">
        <f t="shared" si="31"/>
        <v>75.3</v>
      </c>
      <c r="O415" s="2">
        <f>IF(M415="","",IF(M415&gt;=1000,95,IF(M415&lt;=12.5,50,LOOKUP(M415,{12.5,15,20,30,45,60,75,105,115,150,200,225,250,600,1000},{50,55,60,62,65,68,70,72,75,80,82,85,87,90,95})+(M415-LOOKUP(M415,{12.5,15,20,30,45,60,75,105,115,150,200,225,250,600},{12.5,15,20,30,45,60,75,105,115,150,200,225,250,600}))/(LOOKUP(M415,{12.5,15,20,30,45,60,75,105,115,150,200,225,250,600,1000},{15,20,30,45,60,75,105,115,150,200,225,250,600,1000,1000})-LOOKUP(M415,{12.5,15,20,30,45,60,75,105,115,150,200,225,250,600},{12.5,15,20,30,45,60,75,105,115,150,200,225,250,600}))*(LOOKUP(M415,{12.5,15,20,30,45,60,75,105,115,150,200,225,250,600,1000},{55,60,62,65,68,70,72,75,80,82,85,87,90,95,95})-LOOKUP(M415,{12.5,15,20,30,45,60,75,105,115,150,200,225,250,600,1000},{50,55,60,62,65,68,70,72,75,80,82,85,87,90,95})))))</f>
        <v>85</v>
      </c>
      <c r="P415" s="2">
        <f t="shared" si="33"/>
        <v>-13</v>
      </c>
      <c r="Q415" s="2">
        <f t="shared" si="34"/>
        <v>-6</v>
      </c>
    </row>
    <row r="416" customHeight="1" spans="1:17">
      <c r="B416" s="2">
        <v>415</v>
      </c>
      <c r="C416" s="17">
        <f t="shared" si="32"/>
        <v>69.3</v>
      </c>
      <c r="D416" s="2" t="s">
        <v>729</v>
      </c>
      <c r="E416" s="9">
        <v>74</v>
      </c>
      <c r="F416" s="10">
        <v>85</v>
      </c>
      <c r="G416" s="9">
        <v>75</v>
      </c>
      <c r="H416" s="2" t="s">
        <v>122</v>
      </c>
      <c r="I416" s="2" t="s">
        <v>18</v>
      </c>
      <c r="J416" s="4" t="s">
        <v>73</v>
      </c>
      <c r="M416" s="2">
        <f t="shared" si="30"/>
        <v>600</v>
      </c>
      <c r="N416" s="2">
        <f t="shared" si="31"/>
        <v>76.3</v>
      </c>
      <c r="O416" s="2">
        <f>IF(M416="","",IF(M416&gt;=1000,95,IF(M416&lt;=12.5,50,LOOKUP(M416,{12.5,15,20,30,45,60,75,105,115,150,200,225,250,600,1000},{50,55,60,62,65,68,70,72,75,80,82,85,87,90,95})+(M416-LOOKUP(M416,{12.5,15,20,30,45,60,75,105,115,150,200,225,250,600},{12.5,15,20,30,45,60,75,105,115,150,200,225,250,600}))/(LOOKUP(M416,{12.5,15,20,30,45,60,75,105,115,150,200,225,250,600,1000},{15,20,30,45,60,75,105,115,150,200,225,250,600,1000,1000})-LOOKUP(M416,{12.5,15,20,30,45,60,75,105,115,150,200,225,250,600},{12.5,15,20,30,45,60,75,105,115,150,200,225,250,600}))*(LOOKUP(M416,{12.5,15,20,30,45,60,75,105,115,150,200,225,250,600,1000},{55,60,62,65,68,70,72,75,80,82,85,87,90,95,95})-LOOKUP(M416,{12.5,15,20,30,45,60,75,105,115,150,200,225,250,600,1000},{50,55,60,62,65,68,70,72,75,80,82,85,87,90,95})))))</f>
        <v>90</v>
      </c>
      <c r="P416" s="2">
        <f t="shared" si="33"/>
        <v>-16</v>
      </c>
      <c r="Q416" s="2">
        <f t="shared" si="34"/>
        <v>-7</v>
      </c>
    </row>
    <row r="417" customHeight="1" spans="1:17">
      <c r="B417" s="2">
        <v>416</v>
      </c>
      <c r="C417" s="17">
        <f t="shared" si="32"/>
        <v>69.3</v>
      </c>
      <c r="D417" s="2" t="s">
        <v>730</v>
      </c>
      <c r="E417" s="9">
        <v>71</v>
      </c>
      <c r="F417" s="9">
        <v>76</v>
      </c>
      <c r="G417" s="12">
        <v>64</v>
      </c>
      <c r="H417" s="2" t="s">
        <v>175</v>
      </c>
      <c r="I417" s="2" t="s">
        <v>239</v>
      </c>
      <c r="J417" s="4" t="s">
        <v>148</v>
      </c>
      <c r="M417" s="2">
        <f t="shared" si="30"/>
        <v>115</v>
      </c>
      <c r="N417" s="2">
        <f t="shared" si="31"/>
        <v>71.3</v>
      </c>
      <c r="O417" s="2">
        <f>IF(M417="","",IF(M417&gt;=1000,95,IF(M417&lt;=12.5,50,LOOKUP(M417,{12.5,15,20,30,45,60,75,105,115,150,200,225,250,600,1000},{50,55,60,62,65,68,70,72,75,80,82,85,87,90,95})+(M417-LOOKUP(M417,{12.5,15,20,30,45,60,75,105,115,150,200,225,250,600},{12.5,15,20,30,45,60,75,105,115,150,200,225,250,600}))/(LOOKUP(M417,{12.5,15,20,30,45,60,75,105,115,150,200,225,250,600,1000},{15,20,30,45,60,75,105,115,150,200,225,250,600,1000,1000})-LOOKUP(M417,{12.5,15,20,30,45,60,75,105,115,150,200,225,250,600},{12.5,15,20,30,45,60,75,105,115,150,200,225,250,600}))*(LOOKUP(M417,{12.5,15,20,30,45,60,75,105,115,150,200,225,250,600,1000},{55,60,62,65,68,70,72,75,80,82,85,87,90,95,95})-LOOKUP(M417,{12.5,15,20,30,45,60,75,105,115,150,200,225,250,600,1000},{50,55,60,62,65,68,70,72,75,80,82,85,87,90,95})))))</f>
        <v>75</v>
      </c>
      <c r="P417" s="2">
        <f t="shared" si="33"/>
        <v>-4</v>
      </c>
      <c r="Q417" s="2">
        <f t="shared" si="34"/>
        <v>-2</v>
      </c>
    </row>
    <row r="418" customHeight="1" spans="1:17">
      <c r="B418" s="2">
        <v>417</v>
      </c>
      <c r="C418" s="17">
        <f t="shared" si="32"/>
        <v>69.3</v>
      </c>
      <c r="D418" s="2" t="s">
        <v>731</v>
      </c>
      <c r="E418" s="9">
        <v>70</v>
      </c>
      <c r="F418" s="12">
        <v>63</v>
      </c>
      <c r="G418" s="9">
        <v>77</v>
      </c>
      <c r="H418" s="2" t="s">
        <v>37</v>
      </c>
      <c r="I418" s="2" t="s">
        <v>435</v>
      </c>
      <c r="J418" s="4" t="s">
        <v>24</v>
      </c>
      <c r="M418" s="2">
        <f t="shared" si="30"/>
        <v>75</v>
      </c>
      <c r="N418" s="2">
        <f t="shared" si="31"/>
        <v>69.3</v>
      </c>
      <c r="O418" s="2">
        <f>IF(M418="","",IF(M418&gt;=1000,95,IF(M418&lt;=12.5,50,LOOKUP(M418,{12.5,15,20,30,45,60,75,105,115,150,200,225,250,600,1000},{50,55,60,62,65,68,70,72,75,80,82,85,87,90,95})+(M418-LOOKUP(M418,{12.5,15,20,30,45,60,75,105,115,150,200,225,250,600},{12.5,15,20,30,45,60,75,105,115,150,200,225,250,600}))/(LOOKUP(M418,{12.5,15,20,30,45,60,75,105,115,150,200,225,250,600,1000},{15,20,30,45,60,75,105,115,150,200,225,250,600,1000,1000})-LOOKUP(M418,{12.5,15,20,30,45,60,75,105,115,150,200,225,250,600},{12.5,15,20,30,45,60,75,105,115,150,200,225,250,600}))*(LOOKUP(M418,{12.5,15,20,30,45,60,75,105,115,150,200,225,250,600,1000},{55,60,62,65,68,70,72,75,80,82,85,87,90,95,95})-LOOKUP(M418,{12.5,15,20,30,45,60,75,105,115,150,200,225,250,600,1000},{50,55,60,62,65,68,70,72,75,80,82,85,87,90,95})))))</f>
        <v>70</v>
      </c>
      <c r="P418" s="2">
        <f t="shared" si="33"/>
        <v>0</v>
      </c>
      <c r="Q418" s="2">
        <f t="shared" si="34"/>
        <v>0</v>
      </c>
    </row>
    <row r="419" customHeight="1" spans="1:17">
      <c r="B419" s="2">
        <v>418</v>
      </c>
      <c r="C419" s="17">
        <f t="shared" si="32"/>
        <v>69.3</v>
      </c>
      <c r="D419" s="2" t="s">
        <v>732</v>
      </c>
      <c r="E419" s="9">
        <v>72</v>
      </c>
      <c r="F419" s="12">
        <v>67</v>
      </c>
      <c r="G419" s="2">
        <v>45</v>
      </c>
      <c r="H419" s="2" t="s">
        <v>329</v>
      </c>
      <c r="I419" s="2" t="s">
        <v>63</v>
      </c>
      <c r="J419" s="4" t="s">
        <v>24</v>
      </c>
      <c r="M419" s="2">
        <f t="shared" si="30"/>
        <v>75</v>
      </c>
      <c r="N419" s="2">
        <f t="shared" si="31"/>
        <v>68.3</v>
      </c>
      <c r="O419" s="2">
        <f>IF(M419="","",IF(M419&gt;=1000,95,IF(M419&lt;=12.5,50,LOOKUP(M419,{12.5,15,20,30,45,60,75,105,115,150,200,225,250,600,1000},{50,55,60,62,65,68,70,72,75,80,82,85,87,90,95})+(M419-LOOKUP(M419,{12.5,15,20,30,45,60,75,105,115,150,200,225,250,600},{12.5,15,20,30,45,60,75,105,115,150,200,225,250,600}))/(LOOKUP(M419,{12.5,15,20,30,45,60,75,105,115,150,200,225,250,600,1000},{15,20,30,45,60,75,105,115,150,200,225,250,600,1000,1000})-LOOKUP(M419,{12.5,15,20,30,45,60,75,105,115,150,200,225,250,600},{12.5,15,20,30,45,60,75,105,115,150,200,225,250,600}))*(LOOKUP(M419,{12.5,15,20,30,45,60,75,105,115,150,200,225,250,600,1000},{55,60,62,65,68,70,72,75,80,82,85,87,90,95,95})-LOOKUP(M419,{12.5,15,20,30,45,60,75,105,115,150,200,225,250,600,1000},{50,55,60,62,65,68,70,72,75,80,82,85,87,90,95})))))</f>
        <v>70</v>
      </c>
      <c r="P419" s="2">
        <f t="shared" si="33"/>
        <v>2</v>
      </c>
      <c r="Q419" s="2">
        <f t="shared" si="34"/>
        <v>1</v>
      </c>
    </row>
    <row r="420" customHeight="1" spans="1:17">
      <c r="B420" s="2">
        <v>419</v>
      </c>
      <c r="C420" s="17">
        <f t="shared" si="32"/>
        <v>69.27</v>
      </c>
      <c r="D420" s="2" t="s">
        <v>733</v>
      </c>
      <c r="E420" s="12">
        <v>68</v>
      </c>
      <c r="F420" s="2">
        <v>50</v>
      </c>
      <c r="G420" s="2">
        <v>40</v>
      </c>
      <c r="H420" s="2" t="s">
        <v>37</v>
      </c>
      <c r="I420" s="2" t="s">
        <v>28</v>
      </c>
      <c r="J420" s="4" t="s">
        <v>77</v>
      </c>
      <c r="M420" s="2">
        <f t="shared" si="30"/>
        <v>12.5</v>
      </c>
      <c r="N420" s="2">
        <f t="shared" si="31"/>
        <v>61.6</v>
      </c>
      <c r="O420" s="2">
        <f>IF(M420="","",IF(M420&gt;=1000,95,IF(M420&lt;=12.5,50,LOOKUP(M420,{12.5,15,20,30,45,60,75,105,115,150,200,225,250,600,1000},{50,55,60,62,65,68,70,72,75,80,82,85,87,90,95})+(M420-LOOKUP(M420,{12.5,15,20,30,45,60,75,105,115,150,200,225,250,600},{12.5,15,20,30,45,60,75,105,115,150,200,225,250,600}))/(LOOKUP(M420,{12.5,15,20,30,45,60,75,105,115,150,200,225,250,600,1000},{15,20,30,45,60,75,105,115,150,200,225,250,600,1000,1000})-LOOKUP(M420,{12.5,15,20,30,45,60,75,105,115,150,200,225,250,600},{12.5,15,20,30,45,60,75,105,115,150,200,225,250,600}))*(LOOKUP(M420,{12.5,15,20,30,45,60,75,105,115,150,200,225,250,600,1000},{55,60,62,65,68,70,72,75,80,82,85,87,90,95,95})-LOOKUP(M420,{12.5,15,20,30,45,60,75,105,115,150,200,225,250,600,1000},{50,55,60,62,65,68,70,72,75,80,82,85,87,90,95})))))</f>
        <v>50</v>
      </c>
      <c r="P420" s="2">
        <f t="shared" si="33"/>
        <v>18</v>
      </c>
      <c r="Q420" s="2">
        <f t="shared" si="34"/>
        <v>7.67</v>
      </c>
    </row>
    <row r="421" customHeight="1" spans="1:17">
      <c r="A421" s="2">
        <v>2026</v>
      </c>
      <c r="B421" s="2">
        <v>420</v>
      </c>
      <c r="C421" s="17">
        <f t="shared" si="32"/>
        <v>69.2</v>
      </c>
      <c r="D421" s="2" t="s">
        <v>734</v>
      </c>
      <c r="E421" s="9">
        <v>74</v>
      </c>
      <c r="F421" s="12">
        <v>68</v>
      </c>
      <c r="G421" s="12">
        <v>68</v>
      </c>
      <c r="H421" s="2" t="s">
        <v>54</v>
      </c>
      <c r="I421" s="2" t="s">
        <v>104</v>
      </c>
      <c r="J421" s="4" t="s">
        <v>59</v>
      </c>
      <c r="M421" s="2">
        <f t="shared" si="30"/>
        <v>150</v>
      </c>
      <c r="N421" s="2">
        <f t="shared" si="31"/>
        <v>72.2</v>
      </c>
      <c r="O421" s="2">
        <f>IF(M421="","",IF(M421&gt;=1000,95,IF(M421&lt;=12.5,50,LOOKUP(M421,{12.5,15,20,30,45,60,75,105,115,150,200,225,250,600,1000},{50,55,60,62,65,68,70,72,75,80,82,85,87,90,95})+(M421-LOOKUP(M421,{12.5,15,20,30,45,60,75,105,115,150,200,225,250,600},{12.5,15,20,30,45,60,75,105,115,150,200,225,250,600}))/(LOOKUP(M421,{12.5,15,20,30,45,60,75,105,115,150,200,225,250,600,1000},{15,20,30,45,60,75,105,115,150,200,225,250,600,1000,1000})-LOOKUP(M421,{12.5,15,20,30,45,60,75,105,115,150,200,225,250,600},{12.5,15,20,30,45,60,75,105,115,150,200,225,250,600}))*(LOOKUP(M421,{12.5,15,20,30,45,60,75,105,115,150,200,225,250,600,1000},{55,60,62,65,68,70,72,75,80,82,85,87,90,95,95})-LOOKUP(M421,{12.5,15,20,30,45,60,75,105,115,150,200,225,250,600,1000},{50,55,60,62,65,68,70,72,75,80,82,85,87,90,95})))))</f>
        <v>80</v>
      </c>
      <c r="P421" s="2">
        <f t="shared" si="33"/>
        <v>-6</v>
      </c>
      <c r="Q421" s="2">
        <f t="shared" si="34"/>
        <v>-3</v>
      </c>
    </row>
    <row r="422" customHeight="1" spans="1:17">
      <c r="B422" s="2">
        <v>421</v>
      </c>
      <c r="C422" s="17">
        <f t="shared" si="32"/>
        <v>69.2</v>
      </c>
      <c r="D422" s="2" t="s">
        <v>735</v>
      </c>
      <c r="E422" s="9">
        <v>71</v>
      </c>
      <c r="F422" s="2">
        <v>55</v>
      </c>
      <c r="G422" s="2">
        <v>55</v>
      </c>
      <c r="H422" s="2" t="s">
        <v>41</v>
      </c>
      <c r="I422" s="2" t="s">
        <v>128</v>
      </c>
      <c r="J422" s="4" t="s">
        <v>38</v>
      </c>
      <c r="K422" s="2" t="s">
        <v>736</v>
      </c>
      <c r="M422" s="2">
        <f t="shared" si="30"/>
        <v>45</v>
      </c>
      <c r="N422" s="2">
        <f t="shared" si="31"/>
        <v>66.2</v>
      </c>
      <c r="O422" s="2">
        <f>IF(M422="","",IF(M422&gt;=1000,95,IF(M422&lt;=12.5,50,LOOKUP(M422,{12.5,15,20,30,45,60,75,105,115,150,200,225,250,600,1000},{50,55,60,62,65,68,70,72,75,80,82,85,87,90,95})+(M422-LOOKUP(M422,{12.5,15,20,30,45,60,75,105,115,150,200,225,250,600},{12.5,15,20,30,45,60,75,105,115,150,200,225,250,600}))/(LOOKUP(M422,{12.5,15,20,30,45,60,75,105,115,150,200,225,250,600,1000},{15,20,30,45,60,75,105,115,150,200,225,250,600,1000,1000})-LOOKUP(M422,{12.5,15,20,30,45,60,75,105,115,150,200,225,250,600},{12.5,15,20,30,45,60,75,105,115,150,200,225,250,600}))*(LOOKUP(M422,{12.5,15,20,30,45,60,75,105,115,150,200,225,250,600,1000},{55,60,62,65,68,70,72,75,80,82,85,87,90,95,95})-LOOKUP(M422,{12.5,15,20,30,45,60,75,105,115,150,200,225,250,600,1000},{50,55,60,62,65,68,70,72,75,80,82,85,87,90,95})))))</f>
        <v>65</v>
      </c>
      <c r="P422" s="2">
        <f t="shared" si="33"/>
        <v>6</v>
      </c>
      <c r="Q422" s="2">
        <f t="shared" si="34"/>
        <v>3</v>
      </c>
    </row>
    <row r="423" customHeight="1" spans="1:17">
      <c r="A423" s="2">
        <v>2026</v>
      </c>
      <c r="B423" s="2">
        <v>422</v>
      </c>
      <c r="C423" s="17">
        <f t="shared" si="32"/>
        <v>69.2</v>
      </c>
      <c r="D423" s="2" t="s">
        <v>737</v>
      </c>
      <c r="E423" s="9">
        <v>71</v>
      </c>
      <c r="F423" s="2">
        <v>52</v>
      </c>
      <c r="G423" s="2">
        <v>46</v>
      </c>
      <c r="H423" s="2" t="s">
        <v>54</v>
      </c>
      <c r="I423" s="2" t="s">
        <v>28</v>
      </c>
      <c r="J423" s="4" t="s">
        <v>88</v>
      </c>
      <c r="M423" s="2">
        <f t="shared" si="30"/>
        <v>30</v>
      </c>
      <c r="N423" s="2">
        <f t="shared" si="31"/>
        <v>64.7</v>
      </c>
      <c r="O423" s="2">
        <f>IF(M423="","",IF(M423&gt;=1000,95,IF(M423&lt;=12.5,50,LOOKUP(M423,{12.5,15,20,30,45,60,75,105,115,150,200,225,250,600,1000},{50,55,60,62,65,68,70,72,75,80,82,85,87,90,95})+(M423-LOOKUP(M423,{12.5,15,20,30,45,60,75,105,115,150,200,225,250,600},{12.5,15,20,30,45,60,75,105,115,150,200,225,250,600}))/(LOOKUP(M423,{12.5,15,20,30,45,60,75,105,115,150,200,225,250,600,1000},{15,20,30,45,60,75,105,115,150,200,225,250,600,1000,1000})-LOOKUP(M423,{12.5,15,20,30,45,60,75,105,115,150,200,225,250,600},{12.5,15,20,30,45,60,75,105,115,150,200,225,250,600}))*(LOOKUP(M423,{12.5,15,20,30,45,60,75,105,115,150,200,225,250,600,1000},{55,60,62,65,68,70,72,75,80,82,85,87,90,95,95})-LOOKUP(M423,{12.5,15,20,30,45,60,75,105,115,150,200,225,250,600,1000},{50,55,60,62,65,68,70,72,75,80,82,85,87,90,95})))))</f>
        <v>62</v>
      </c>
      <c r="P423" s="2">
        <f t="shared" si="33"/>
        <v>9</v>
      </c>
      <c r="Q423" s="2">
        <f t="shared" si="34"/>
        <v>4.5</v>
      </c>
    </row>
    <row r="424" customHeight="1" spans="1:17">
      <c r="A424" s="2">
        <v>2026</v>
      </c>
      <c r="B424" s="2">
        <v>423</v>
      </c>
      <c r="C424" s="17">
        <f t="shared" si="32"/>
        <v>69.2</v>
      </c>
      <c r="D424" s="2" t="s">
        <v>738</v>
      </c>
      <c r="E424" s="9">
        <v>74</v>
      </c>
      <c r="F424" s="2">
        <v>52</v>
      </c>
      <c r="G424" s="2">
        <v>40</v>
      </c>
      <c r="H424" s="2" t="s">
        <v>94</v>
      </c>
      <c r="I424" s="2" t="s">
        <v>63</v>
      </c>
      <c r="J424" s="4" t="s">
        <v>34</v>
      </c>
      <c r="M424" s="2">
        <f t="shared" si="30"/>
        <v>60</v>
      </c>
      <c r="N424" s="2">
        <f t="shared" si="31"/>
        <v>66.2</v>
      </c>
      <c r="O424" s="2">
        <f>IF(M424="","",IF(M424&gt;=1000,95,IF(M424&lt;=12.5,50,LOOKUP(M424,{12.5,15,20,30,45,60,75,105,115,150,200,225,250,600,1000},{50,55,60,62,65,68,70,72,75,80,82,85,87,90,95})+(M424-LOOKUP(M424,{12.5,15,20,30,45,60,75,105,115,150,200,225,250,600},{12.5,15,20,30,45,60,75,105,115,150,200,225,250,600}))/(LOOKUP(M424,{12.5,15,20,30,45,60,75,105,115,150,200,225,250,600,1000},{15,20,30,45,60,75,105,115,150,200,225,250,600,1000,1000})-LOOKUP(M424,{12.5,15,20,30,45,60,75,105,115,150,200,225,250,600},{12.5,15,20,30,45,60,75,105,115,150,200,225,250,600}))*(LOOKUP(M424,{12.5,15,20,30,45,60,75,105,115,150,200,225,250,600,1000},{55,60,62,65,68,70,72,75,80,82,85,87,90,95,95})-LOOKUP(M424,{12.5,15,20,30,45,60,75,105,115,150,200,225,250,600,1000},{50,55,60,62,65,68,70,72,75,80,82,85,87,90,95})))))</f>
        <v>68</v>
      </c>
      <c r="P424" s="2">
        <f t="shared" si="33"/>
        <v>6</v>
      </c>
      <c r="Q424" s="2">
        <f t="shared" si="34"/>
        <v>3</v>
      </c>
    </row>
    <row r="425" customHeight="1" spans="1:17">
      <c r="A425" s="2">
        <v>2026</v>
      </c>
      <c r="B425" s="2">
        <v>424</v>
      </c>
      <c r="C425" s="17">
        <f t="shared" si="32"/>
        <v>69.17</v>
      </c>
      <c r="D425" s="2" t="s">
        <v>739</v>
      </c>
      <c r="E425" s="9">
        <v>70</v>
      </c>
      <c r="F425" s="2">
        <v>50</v>
      </c>
      <c r="G425" s="2">
        <v>35</v>
      </c>
      <c r="H425" s="2" t="s">
        <v>54</v>
      </c>
      <c r="I425" s="2" t="s">
        <v>28</v>
      </c>
      <c r="J425" s="4" t="s">
        <v>29</v>
      </c>
      <c r="K425" s="2" t="s">
        <v>740</v>
      </c>
      <c r="M425" s="2">
        <f t="shared" si="30"/>
        <v>15</v>
      </c>
      <c r="N425" s="2">
        <f t="shared" si="31"/>
        <v>62.5</v>
      </c>
      <c r="O425" s="2">
        <f>IF(M425="","",IF(M425&gt;=1000,95,IF(M425&lt;=12.5,50,LOOKUP(M425,{12.5,15,20,30,45,60,75,105,115,150,200,225,250,600,1000},{50,55,60,62,65,68,70,72,75,80,82,85,87,90,95})+(M425-LOOKUP(M425,{12.5,15,20,30,45,60,75,105,115,150,200,225,250,600},{12.5,15,20,30,45,60,75,105,115,150,200,225,250,600}))/(LOOKUP(M425,{12.5,15,20,30,45,60,75,105,115,150,200,225,250,600,1000},{15,20,30,45,60,75,105,115,150,200,225,250,600,1000,1000})-LOOKUP(M425,{12.5,15,20,30,45,60,75,105,115,150,200,225,250,600},{12.5,15,20,30,45,60,75,105,115,150,200,225,250,600}))*(LOOKUP(M425,{12.5,15,20,30,45,60,75,105,115,150,200,225,250,600,1000},{55,60,62,65,68,70,72,75,80,82,85,87,90,95,95})-LOOKUP(M425,{12.5,15,20,30,45,60,75,105,115,150,200,225,250,600,1000},{50,55,60,62,65,68,70,72,75,80,82,85,87,90,95})))))</f>
        <v>55</v>
      </c>
      <c r="P425" s="2">
        <f t="shared" si="33"/>
        <v>15</v>
      </c>
      <c r="Q425" s="2">
        <f t="shared" si="34"/>
        <v>6.67</v>
      </c>
    </row>
    <row r="426" customHeight="1" spans="1:17">
      <c r="B426" s="2">
        <v>425</v>
      </c>
      <c r="C426" s="17">
        <f t="shared" si="32"/>
        <v>69.1</v>
      </c>
      <c r="D426" s="2" t="s">
        <v>741</v>
      </c>
      <c r="E426" s="9">
        <v>75</v>
      </c>
      <c r="F426" s="9">
        <v>75</v>
      </c>
      <c r="G426" s="12">
        <v>66</v>
      </c>
      <c r="H426" s="2" t="s">
        <v>657</v>
      </c>
      <c r="I426" s="2" t="s">
        <v>18</v>
      </c>
      <c r="J426" s="4" t="s">
        <v>19</v>
      </c>
      <c r="M426" s="2">
        <f t="shared" si="30"/>
        <v>225</v>
      </c>
      <c r="N426" s="2">
        <f t="shared" si="31"/>
        <v>74.1</v>
      </c>
      <c r="O426" s="2">
        <f>IF(M426="","",IF(M426&gt;=1000,95,IF(M426&lt;=12.5,50,LOOKUP(M426,{12.5,15,20,30,45,60,75,105,115,150,200,225,250,600,1000},{50,55,60,62,65,68,70,72,75,80,82,85,87,90,95})+(M426-LOOKUP(M426,{12.5,15,20,30,45,60,75,105,115,150,200,225,250,600},{12.5,15,20,30,45,60,75,105,115,150,200,225,250,600}))/(LOOKUP(M426,{12.5,15,20,30,45,60,75,105,115,150,200,225,250,600,1000},{15,20,30,45,60,75,105,115,150,200,225,250,600,1000,1000})-LOOKUP(M426,{12.5,15,20,30,45,60,75,105,115,150,200,225,250,600},{12.5,15,20,30,45,60,75,105,115,150,200,225,250,600}))*(LOOKUP(M426,{12.5,15,20,30,45,60,75,105,115,150,200,225,250,600,1000},{55,60,62,65,68,70,72,75,80,82,85,87,90,95,95})-LOOKUP(M426,{12.5,15,20,30,45,60,75,105,115,150,200,225,250,600,1000},{50,55,60,62,65,68,70,72,75,80,82,85,87,90,95})))))</f>
        <v>85</v>
      </c>
      <c r="P426" s="2">
        <f t="shared" si="33"/>
        <v>-10</v>
      </c>
      <c r="Q426" s="2">
        <f t="shared" si="34"/>
        <v>-5</v>
      </c>
    </row>
    <row r="427" customHeight="1" spans="1:17">
      <c r="B427" s="2">
        <v>426</v>
      </c>
      <c r="C427" s="17">
        <f t="shared" si="32"/>
        <v>69.1</v>
      </c>
      <c r="D427" s="2" t="s">
        <v>742</v>
      </c>
      <c r="E427" s="9">
        <v>70</v>
      </c>
      <c r="F427" s="12">
        <v>68</v>
      </c>
      <c r="G427" s="2">
        <v>55</v>
      </c>
      <c r="H427" s="2" t="s">
        <v>743</v>
      </c>
      <c r="I427" s="2" t="s">
        <v>63</v>
      </c>
      <c r="J427" s="4" t="s">
        <v>34</v>
      </c>
      <c r="M427" s="2">
        <f t="shared" si="30"/>
        <v>60</v>
      </c>
      <c r="N427" s="2">
        <f t="shared" si="31"/>
        <v>68.1</v>
      </c>
      <c r="O427" s="2">
        <f>IF(M427="","",IF(M427&gt;=1000,95,IF(M427&lt;=12.5,50,LOOKUP(M427,{12.5,15,20,30,45,60,75,105,115,150,200,225,250,600,1000},{50,55,60,62,65,68,70,72,75,80,82,85,87,90,95})+(M427-LOOKUP(M427,{12.5,15,20,30,45,60,75,105,115,150,200,225,250,600},{12.5,15,20,30,45,60,75,105,115,150,200,225,250,600}))/(LOOKUP(M427,{12.5,15,20,30,45,60,75,105,115,150,200,225,250,600,1000},{15,20,30,45,60,75,105,115,150,200,225,250,600,1000,1000})-LOOKUP(M427,{12.5,15,20,30,45,60,75,105,115,150,200,225,250,600},{12.5,15,20,30,45,60,75,105,115,150,200,225,250,600}))*(LOOKUP(M427,{12.5,15,20,30,45,60,75,105,115,150,200,225,250,600,1000},{55,60,62,65,68,70,72,75,80,82,85,87,90,95,95})-LOOKUP(M427,{12.5,15,20,30,45,60,75,105,115,150,200,225,250,600,1000},{50,55,60,62,65,68,70,72,75,80,82,85,87,90,95})))))</f>
        <v>68</v>
      </c>
      <c r="P427" s="2">
        <f t="shared" si="33"/>
        <v>2</v>
      </c>
      <c r="Q427" s="2">
        <f t="shared" si="34"/>
        <v>1</v>
      </c>
    </row>
    <row r="428" customHeight="1" spans="1:17">
      <c r="B428" s="2">
        <v>427</v>
      </c>
      <c r="C428" s="17">
        <f t="shared" si="32"/>
        <v>69.1</v>
      </c>
      <c r="D428" s="2" t="s">
        <v>744</v>
      </c>
      <c r="E428" s="9">
        <v>70</v>
      </c>
      <c r="F428" s="12">
        <v>65</v>
      </c>
      <c r="G428" s="12">
        <v>61</v>
      </c>
      <c r="H428" s="2" t="s">
        <v>573</v>
      </c>
      <c r="I428" s="2" t="s">
        <v>50</v>
      </c>
      <c r="J428" s="4" t="s">
        <v>34</v>
      </c>
      <c r="M428" s="2">
        <f t="shared" si="30"/>
        <v>60</v>
      </c>
      <c r="N428" s="2">
        <f t="shared" si="31"/>
        <v>68.1</v>
      </c>
      <c r="O428" s="2">
        <f>IF(M428="","",IF(M428&gt;=1000,95,IF(M428&lt;=12.5,50,LOOKUP(M428,{12.5,15,20,30,45,60,75,105,115,150,200,225,250,600,1000},{50,55,60,62,65,68,70,72,75,80,82,85,87,90,95})+(M428-LOOKUP(M428,{12.5,15,20,30,45,60,75,105,115,150,200,225,250,600},{12.5,15,20,30,45,60,75,105,115,150,200,225,250,600}))/(LOOKUP(M428,{12.5,15,20,30,45,60,75,105,115,150,200,225,250,600,1000},{15,20,30,45,60,75,105,115,150,200,225,250,600,1000,1000})-LOOKUP(M428,{12.5,15,20,30,45,60,75,105,115,150,200,225,250,600},{12.5,15,20,30,45,60,75,105,115,150,200,225,250,600}))*(LOOKUP(M428,{12.5,15,20,30,45,60,75,105,115,150,200,225,250,600,1000},{55,60,62,65,68,70,72,75,80,82,85,87,90,95,95})-LOOKUP(M428,{12.5,15,20,30,45,60,75,105,115,150,200,225,250,600,1000},{50,55,60,62,65,68,70,72,75,80,82,85,87,90,95})))))</f>
        <v>68</v>
      </c>
      <c r="P428" s="2">
        <f t="shared" si="33"/>
        <v>2</v>
      </c>
      <c r="Q428" s="2">
        <f t="shared" si="34"/>
        <v>1</v>
      </c>
    </row>
    <row r="429" customHeight="1" spans="1:17">
      <c r="B429" s="2">
        <v>428</v>
      </c>
      <c r="C429" s="17">
        <f t="shared" si="32"/>
        <v>69</v>
      </c>
      <c r="D429" s="2" t="s">
        <v>745</v>
      </c>
      <c r="E429" s="9">
        <v>70</v>
      </c>
      <c r="F429" s="9">
        <v>77</v>
      </c>
      <c r="G429" s="9">
        <v>71</v>
      </c>
      <c r="H429" s="2" t="s">
        <v>41</v>
      </c>
      <c r="I429" s="2" t="s">
        <v>746</v>
      </c>
      <c r="J429" s="4" t="s">
        <v>148</v>
      </c>
      <c r="M429" s="2">
        <f t="shared" si="30"/>
        <v>115</v>
      </c>
      <c r="N429" s="2">
        <f t="shared" si="31"/>
        <v>71.5</v>
      </c>
      <c r="O429" s="2">
        <f>IF(M429="","",IF(M429&gt;=1000,95,IF(M429&lt;=12.5,50,LOOKUP(M429,{12.5,15,20,30,45,60,75,105,115,150,200,225,250,600,1000},{50,55,60,62,65,68,70,72,75,80,82,85,87,90,95})+(M429-LOOKUP(M429,{12.5,15,20,30,45,60,75,105,115,150,200,225,250,600},{12.5,15,20,30,45,60,75,105,115,150,200,225,250,600}))/(LOOKUP(M429,{12.5,15,20,30,45,60,75,105,115,150,200,225,250,600,1000},{15,20,30,45,60,75,105,115,150,200,225,250,600,1000,1000})-LOOKUP(M429,{12.5,15,20,30,45,60,75,105,115,150,200,225,250,600},{12.5,15,20,30,45,60,75,105,115,150,200,225,250,600}))*(LOOKUP(M429,{12.5,15,20,30,45,60,75,105,115,150,200,225,250,600,1000},{55,60,62,65,68,70,72,75,80,82,85,87,90,95,95})-LOOKUP(M429,{12.5,15,20,30,45,60,75,105,115,150,200,225,250,600,1000},{50,55,60,62,65,68,70,72,75,80,82,85,87,90,95})))))</f>
        <v>75</v>
      </c>
      <c r="P429" s="2">
        <f t="shared" si="33"/>
        <v>-5</v>
      </c>
      <c r="Q429" s="2">
        <f t="shared" si="34"/>
        <v>-2.5</v>
      </c>
    </row>
    <row r="430" customHeight="1" spans="1:17">
      <c r="B430" s="2">
        <v>429</v>
      </c>
      <c r="C430" s="17">
        <f t="shared" si="32"/>
        <v>69</v>
      </c>
      <c r="D430" s="2" t="s">
        <v>747</v>
      </c>
      <c r="E430" s="9">
        <v>73</v>
      </c>
      <c r="F430" s="2">
        <v>58</v>
      </c>
      <c r="G430" s="2">
        <v>48</v>
      </c>
      <c r="H430" s="2" t="s">
        <v>41</v>
      </c>
      <c r="I430" s="2" t="s">
        <v>183</v>
      </c>
      <c r="J430" s="4" t="s">
        <v>24</v>
      </c>
      <c r="M430" s="2">
        <f t="shared" si="30"/>
        <v>75</v>
      </c>
      <c r="N430" s="2">
        <f t="shared" si="31"/>
        <v>67.5</v>
      </c>
      <c r="O430" s="2">
        <f>IF(M430="","",IF(M430&gt;=1000,95,IF(M430&lt;=12.5,50,LOOKUP(M430,{12.5,15,20,30,45,60,75,105,115,150,200,225,250,600,1000},{50,55,60,62,65,68,70,72,75,80,82,85,87,90,95})+(M430-LOOKUP(M430,{12.5,15,20,30,45,60,75,105,115,150,200,225,250,600},{12.5,15,20,30,45,60,75,105,115,150,200,225,250,600}))/(LOOKUP(M430,{12.5,15,20,30,45,60,75,105,115,150,200,225,250,600,1000},{15,20,30,45,60,75,105,115,150,200,225,250,600,1000,1000})-LOOKUP(M430,{12.5,15,20,30,45,60,75,105,115,150,200,225,250,600},{12.5,15,20,30,45,60,75,105,115,150,200,225,250,600}))*(LOOKUP(M430,{12.5,15,20,30,45,60,75,105,115,150,200,225,250,600,1000},{55,60,62,65,68,70,72,75,80,82,85,87,90,95,95})-LOOKUP(M430,{12.5,15,20,30,45,60,75,105,115,150,200,225,250,600,1000},{50,55,60,62,65,68,70,72,75,80,82,85,87,90,95})))))</f>
        <v>70</v>
      </c>
      <c r="P430" s="2">
        <f t="shared" si="33"/>
        <v>3</v>
      </c>
      <c r="Q430" s="2">
        <f t="shared" si="34"/>
        <v>1.5</v>
      </c>
    </row>
    <row r="431" customHeight="1" spans="1:17">
      <c r="B431" s="2">
        <v>430</v>
      </c>
      <c r="C431" s="17">
        <f t="shared" si="32"/>
        <v>68.9</v>
      </c>
      <c r="D431" s="2" t="s">
        <v>748</v>
      </c>
      <c r="E431" s="9">
        <v>70</v>
      </c>
      <c r="F431" s="12">
        <v>65</v>
      </c>
      <c r="G431" s="12">
        <v>69</v>
      </c>
      <c r="H431" s="2" t="s">
        <v>66</v>
      </c>
      <c r="I431" s="2" t="s">
        <v>63</v>
      </c>
      <c r="J431" s="4" t="s">
        <v>24</v>
      </c>
      <c r="M431" s="2">
        <f t="shared" si="30"/>
        <v>75</v>
      </c>
      <c r="N431" s="2">
        <f t="shared" si="31"/>
        <v>68.9</v>
      </c>
      <c r="O431" s="2">
        <f>IF(M431="","",IF(M431&gt;=1000,95,IF(M431&lt;=12.5,50,LOOKUP(M431,{12.5,15,20,30,45,60,75,105,115,150,200,225,250,600,1000},{50,55,60,62,65,68,70,72,75,80,82,85,87,90,95})+(M431-LOOKUP(M431,{12.5,15,20,30,45,60,75,105,115,150,200,225,250,600},{12.5,15,20,30,45,60,75,105,115,150,200,225,250,600}))/(LOOKUP(M431,{12.5,15,20,30,45,60,75,105,115,150,200,225,250,600,1000},{15,20,30,45,60,75,105,115,150,200,225,250,600,1000,1000})-LOOKUP(M431,{12.5,15,20,30,45,60,75,105,115,150,200,225,250,600},{12.5,15,20,30,45,60,75,105,115,150,200,225,250,600}))*(LOOKUP(M431,{12.5,15,20,30,45,60,75,105,115,150,200,225,250,600,1000},{55,60,62,65,68,70,72,75,80,82,85,87,90,95,95})-LOOKUP(M431,{12.5,15,20,30,45,60,75,105,115,150,200,225,250,600,1000},{50,55,60,62,65,68,70,72,75,80,82,85,87,90,95})))))</f>
        <v>70</v>
      </c>
      <c r="P431" s="2">
        <f t="shared" si="33"/>
        <v>0</v>
      </c>
      <c r="Q431" s="2">
        <f t="shared" si="34"/>
        <v>0</v>
      </c>
    </row>
    <row r="432" customHeight="1" spans="1:17">
      <c r="A432" s="2">
        <v>2026</v>
      </c>
      <c r="B432" s="2">
        <v>431</v>
      </c>
      <c r="C432" s="17">
        <f t="shared" si="32"/>
        <v>68.9</v>
      </c>
      <c r="D432" s="2" t="s">
        <v>749</v>
      </c>
      <c r="E432" s="12">
        <v>69</v>
      </c>
      <c r="F432" s="12">
        <v>60</v>
      </c>
      <c r="G432" s="2">
        <v>51</v>
      </c>
      <c r="H432" s="2" t="s">
        <v>54</v>
      </c>
      <c r="I432" s="2" t="s">
        <v>104</v>
      </c>
      <c r="J432" s="4" t="s">
        <v>88</v>
      </c>
      <c r="M432" s="2">
        <f t="shared" si="30"/>
        <v>30</v>
      </c>
      <c r="N432" s="2">
        <f t="shared" si="31"/>
        <v>65.4</v>
      </c>
      <c r="O432" s="2">
        <f>IF(M432="","",IF(M432&gt;=1000,95,IF(M432&lt;=12.5,50,LOOKUP(M432,{12.5,15,20,30,45,60,75,105,115,150,200,225,250,600,1000},{50,55,60,62,65,68,70,72,75,80,82,85,87,90,95})+(M432-LOOKUP(M432,{12.5,15,20,30,45,60,75,105,115,150,200,225,250,600},{12.5,15,20,30,45,60,75,105,115,150,200,225,250,600}))/(LOOKUP(M432,{12.5,15,20,30,45,60,75,105,115,150,200,225,250,600,1000},{15,20,30,45,60,75,105,115,150,200,225,250,600,1000,1000})-LOOKUP(M432,{12.5,15,20,30,45,60,75,105,115,150,200,225,250,600},{12.5,15,20,30,45,60,75,105,115,150,200,225,250,600}))*(LOOKUP(M432,{12.5,15,20,30,45,60,75,105,115,150,200,225,250,600,1000},{55,60,62,65,68,70,72,75,80,82,85,87,90,95,95})-LOOKUP(M432,{12.5,15,20,30,45,60,75,105,115,150,200,225,250,600,1000},{50,55,60,62,65,68,70,72,75,80,82,85,87,90,95})))))</f>
        <v>62</v>
      </c>
      <c r="P432" s="2">
        <f t="shared" si="33"/>
        <v>7</v>
      </c>
      <c r="Q432" s="2">
        <f t="shared" si="34"/>
        <v>3.5</v>
      </c>
    </row>
    <row r="433" customHeight="1" spans="1:17">
      <c r="B433" s="2">
        <v>432</v>
      </c>
      <c r="C433" s="17">
        <f t="shared" si="32"/>
        <v>68.9</v>
      </c>
      <c r="D433" s="2" t="s">
        <v>750</v>
      </c>
      <c r="E433" s="9">
        <v>70</v>
      </c>
      <c r="F433" s="2">
        <v>57</v>
      </c>
      <c r="G433" s="2">
        <v>35</v>
      </c>
      <c r="H433" s="2" t="s">
        <v>353</v>
      </c>
      <c r="I433" s="2" t="s">
        <v>28</v>
      </c>
      <c r="J433" s="4" t="s">
        <v>140</v>
      </c>
      <c r="M433" s="2">
        <f t="shared" si="30"/>
        <v>20</v>
      </c>
      <c r="N433" s="2">
        <f t="shared" si="31"/>
        <v>63.9</v>
      </c>
      <c r="O433" s="2">
        <f>IF(M433="","",IF(M433&gt;=1000,95,IF(M433&lt;=12.5,50,LOOKUP(M433,{12.5,15,20,30,45,60,75,105,115,150,200,225,250,600,1000},{50,55,60,62,65,68,70,72,75,80,82,85,87,90,95})+(M433-LOOKUP(M433,{12.5,15,20,30,45,60,75,105,115,150,200,225,250,600},{12.5,15,20,30,45,60,75,105,115,150,200,225,250,600}))/(LOOKUP(M433,{12.5,15,20,30,45,60,75,105,115,150,200,225,250,600,1000},{15,20,30,45,60,75,105,115,150,200,225,250,600,1000,1000})-LOOKUP(M433,{12.5,15,20,30,45,60,75,105,115,150,200,225,250,600},{12.5,15,20,30,45,60,75,105,115,150,200,225,250,600}))*(LOOKUP(M433,{12.5,15,20,30,45,60,75,105,115,150,200,225,250,600,1000},{55,60,62,65,68,70,72,75,80,82,85,87,90,95,95})-LOOKUP(M433,{12.5,15,20,30,45,60,75,105,115,150,200,225,250,600,1000},{50,55,60,62,65,68,70,72,75,80,82,85,87,90,95})))))</f>
        <v>60</v>
      </c>
      <c r="P433" s="2">
        <f t="shared" si="33"/>
        <v>10</v>
      </c>
      <c r="Q433" s="2">
        <f t="shared" si="34"/>
        <v>5</v>
      </c>
    </row>
    <row r="434" customHeight="1" spans="1:17">
      <c r="B434" s="2">
        <v>433</v>
      </c>
      <c r="C434" s="17">
        <f t="shared" si="32"/>
        <v>68.9</v>
      </c>
      <c r="D434" s="2" t="s">
        <v>751</v>
      </c>
      <c r="E434" s="9">
        <v>72</v>
      </c>
      <c r="F434" s="2">
        <v>50</v>
      </c>
      <c r="G434" s="2">
        <v>35</v>
      </c>
      <c r="H434" s="2" t="s">
        <v>279</v>
      </c>
      <c r="I434" s="2" t="s">
        <v>28</v>
      </c>
      <c r="J434" s="4" t="s">
        <v>88</v>
      </c>
      <c r="K434" s="2" t="s">
        <v>752</v>
      </c>
      <c r="M434" s="2">
        <f t="shared" si="30"/>
        <v>30</v>
      </c>
      <c r="N434" s="2">
        <f t="shared" si="31"/>
        <v>63.9</v>
      </c>
      <c r="O434" s="2">
        <f>IF(M434="","",IF(M434&gt;=1000,95,IF(M434&lt;=12.5,50,LOOKUP(M434,{12.5,15,20,30,45,60,75,105,115,150,200,225,250,600,1000},{50,55,60,62,65,68,70,72,75,80,82,85,87,90,95})+(M434-LOOKUP(M434,{12.5,15,20,30,45,60,75,105,115,150,200,225,250,600},{12.5,15,20,30,45,60,75,105,115,150,200,225,250,600}))/(LOOKUP(M434,{12.5,15,20,30,45,60,75,105,115,150,200,225,250,600,1000},{15,20,30,45,60,75,105,115,150,200,225,250,600,1000,1000})-LOOKUP(M434,{12.5,15,20,30,45,60,75,105,115,150,200,225,250,600},{12.5,15,20,30,45,60,75,105,115,150,200,225,250,600}))*(LOOKUP(M434,{12.5,15,20,30,45,60,75,105,115,150,200,225,250,600,1000},{55,60,62,65,68,70,72,75,80,82,85,87,90,95,95})-LOOKUP(M434,{12.5,15,20,30,45,60,75,105,115,150,200,225,250,600,1000},{50,55,60,62,65,68,70,72,75,80,82,85,87,90,95})))))</f>
        <v>62</v>
      </c>
      <c r="P434" s="2">
        <f t="shared" si="33"/>
        <v>10</v>
      </c>
      <c r="Q434" s="2">
        <f t="shared" si="34"/>
        <v>5</v>
      </c>
    </row>
    <row r="435" customHeight="1" spans="1:17">
      <c r="B435" s="2">
        <v>434</v>
      </c>
      <c r="C435" s="17">
        <f t="shared" si="32"/>
        <v>68.83</v>
      </c>
      <c r="D435" s="2" t="s">
        <v>753</v>
      </c>
      <c r="E435" s="9">
        <v>71</v>
      </c>
      <c r="F435" s="2">
        <v>45</v>
      </c>
      <c r="G435" s="2">
        <v>48</v>
      </c>
      <c r="H435" s="2" t="s">
        <v>264</v>
      </c>
      <c r="I435" s="2" t="s">
        <v>28</v>
      </c>
      <c r="J435" s="4" t="s">
        <v>140</v>
      </c>
      <c r="K435" s="2" t="s">
        <v>387</v>
      </c>
      <c r="M435" s="2">
        <f t="shared" si="30"/>
        <v>20</v>
      </c>
      <c r="N435" s="2">
        <f t="shared" si="31"/>
        <v>63.5</v>
      </c>
      <c r="O435" s="2">
        <f>IF(M435="","",IF(M435&gt;=1000,95,IF(M435&lt;=12.5,50,LOOKUP(M435,{12.5,15,20,30,45,60,75,105,115,150,200,225,250,600,1000},{50,55,60,62,65,68,70,72,75,80,82,85,87,90,95})+(M435-LOOKUP(M435,{12.5,15,20,30,45,60,75,105,115,150,200,225,250,600},{12.5,15,20,30,45,60,75,105,115,150,200,225,250,600}))/(LOOKUP(M435,{12.5,15,20,30,45,60,75,105,115,150,200,225,250,600,1000},{15,20,30,45,60,75,105,115,150,200,225,250,600,1000,1000})-LOOKUP(M435,{12.5,15,20,30,45,60,75,105,115,150,200,225,250,600},{12.5,15,20,30,45,60,75,105,115,150,200,225,250,600}))*(LOOKUP(M435,{12.5,15,20,30,45,60,75,105,115,150,200,225,250,600,1000},{55,60,62,65,68,70,72,75,80,82,85,87,90,95,95})-LOOKUP(M435,{12.5,15,20,30,45,60,75,105,115,150,200,225,250,600,1000},{50,55,60,62,65,68,70,72,75,80,82,85,87,90,95})))))</f>
        <v>60</v>
      </c>
      <c r="P435" s="2">
        <f t="shared" si="33"/>
        <v>11</v>
      </c>
      <c r="Q435" s="2">
        <f t="shared" si="34"/>
        <v>5.33</v>
      </c>
    </row>
    <row r="436" customHeight="1" spans="1:17">
      <c r="A436" s="2">
        <v>2026</v>
      </c>
      <c r="B436" s="2">
        <v>435</v>
      </c>
      <c r="C436" s="17">
        <f t="shared" si="32"/>
        <v>68.8</v>
      </c>
      <c r="D436" s="2" t="s">
        <v>754</v>
      </c>
      <c r="E436" s="9">
        <v>73</v>
      </c>
      <c r="F436" s="2">
        <v>51</v>
      </c>
      <c r="G436" s="2">
        <v>50</v>
      </c>
      <c r="H436" s="2" t="s">
        <v>54</v>
      </c>
      <c r="I436" s="2" t="s">
        <v>33</v>
      </c>
      <c r="J436" s="4" t="s">
        <v>34</v>
      </c>
      <c r="K436" s="2" t="s">
        <v>755</v>
      </c>
      <c r="M436" s="2">
        <f t="shared" si="30"/>
        <v>60</v>
      </c>
      <c r="N436" s="2">
        <f t="shared" si="31"/>
        <v>66.3</v>
      </c>
      <c r="O436" s="2">
        <f>IF(M436="","",IF(M436&gt;=1000,95,IF(M436&lt;=12.5,50,LOOKUP(M436,{12.5,15,20,30,45,60,75,105,115,150,200,225,250,600,1000},{50,55,60,62,65,68,70,72,75,80,82,85,87,90,95})+(M436-LOOKUP(M436,{12.5,15,20,30,45,60,75,105,115,150,200,225,250,600},{12.5,15,20,30,45,60,75,105,115,150,200,225,250,600}))/(LOOKUP(M436,{12.5,15,20,30,45,60,75,105,115,150,200,225,250,600,1000},{15,20,30,45,60,75,105,115,150,200,225,250,600,1000,1000})-LOOKUP(M436,{12.5,15,20,30,45,60,75,105,115,150,200,225,250,600},{12.5,15,20,30,45,60,75,105,115,150,200,225,250,600}))*(LOOKUP(M436,{12.5,15,20,30,45,60,75,105,115,150,200,225,250,600,1000},{55,60,62,65,68,70,72,75,80,82,85,87,90,95,95})-LOOKUP(M436,{12.5,15,20,30,45,60,75,105,115,150,200,225,250,600,1000},{50,55,60,62,65,68,70,72,75,80,82,85,87,90,95})))))</f>
        <v>68</v>
      </c>
      <c r="P436" s="2">
        <f t="shared" si="33"/>
        <v>5</v>
      </c>
      <c r="Q436" s="2">
        <f t="shared" si="34"/>
        <v>2.5</v>
      </c>
    </row>
    <row r="437" customHeight="1" spans="1:17">
      <c r="B437" s="2">
        <v>436</v>
      </c>
      <c r="C437" s="17">
        <f t="shared" si="32"/>
        <v>68.77</v>
      </c>
      <c r="D437" s="2" t="s">
        <v>756</v>
      </c>
      <c r="E437" s="9">
        <v>79</v>
      </c>
      <c r="F437" s="12">
        <v>68</v>
      </c>
      <c r="G437" s="2">
        <v>52</v>
      </c>
      <c r="H437" s="2" t="s">
        <v>94</v>
      </c>
      <c r="I437" s="2" t="s">
        <v>50</v>
      </c>
      <c r="J437" s="4" t="s">
        <v>73</v>
      </c>
      <c r="M437" s="2">
        <f t="shared" si="30"/>
        <v>600</v>
      </c>
      <c r="N437" s="2">
        <f t="shared" si="31"/>
        <v>74.1</v>
      </c>
      <c r="O437" s="2">
        <f>IF(M437="","",IF(M437&gt;=1000,95,IF(M437&lt;=12.5,50,LOOKUP(M437,{12.5,15,20,30,45,60,75,105,115,150,200,225,250,600,1000},{50,55,60,62,65,68,70,72,75,80,82,85,87,90,95})+(M437-LOOKUP(M437,{12.5,15,20,30,45,60,75,105,115,150,200,225,250,600},{12.5,15,20,30,45,60,75,105,115,150,200,225,250,600}))/(LOOKUP(M437,{12.5,15,20,30,45,60,75,105,115,150,200,225,250,600,1000},{15,20,30,45,60,75,105,115,150,200,225,250,600,1000,1000})-LOOKUP(M437,{12.5,15,20,30,45,60,75,105,115,150,200,225,250,600},{12.5,15,20,30,45,60,75,105,115,150,200,225,250,600}))*(LOOKUP(M437,{12.5,15,20,30,45,60,75,105,115,150,200,225,250,600,1000},{55,60,62,65,68,70,72,75,80,82,85,87,90,95,95})-LOOKUP(M437,{12.5,15,20,30,45,60,75,105,115,150,200,225,250,600,1000},{50,55,60,62,65,68,70,72,75,80,82,85,87,90,95})))))</f>
        <v>90</v>
      </c>
      <c r="P437" s="2">
        <f t="shared" si="33"/>
        <v>-11</v>
      </c>
      <c r="Q437" s="2">
        <f t="shared" si="34"/>
        <v>-5.33</v>
      </c>
    </row>
    <row r="438" customHeight="1" spans="1:17">
      <c r="A438" s="2">
        <v>2026</v>
      </c>
      <c r="B438" s="2">
        <v>437</v>
      </c>
      <c r="C438" s="17">
        <f t="shared" si="32"/>
        <v>68.7</v>
      </c>
      <c r="D438" s="2" t="s">
        <v>757</v>
      </c>
      <c r="E438" s="9">
        <v>72</v>
      </c>
      <c r="F438" s="12">
        <v>68</v>
      </c>
      <c r="G438" s="12">
        <v>62</v>
      </c>
      <c r="H438" s="2" t="s">
        <v>54</v>
      </c>
      <c r="I438" s="2" t="s">
        <v>589</v>
      </c>
      <c r="J438" s="4" t="s">
        <v>148</v>
      </c>
      <c r="M438" s="2">
        <f t="shared" si="30"/>
        <v>115</v>
      </c>
      <c r="N438" s="2">
        <f t="shared" si="31"/>
        <v>70.2</v>
      </c>
      <c r="O438" s="2">
        <f>IF(M438="","",IF(M438&gt;=1000,95,IF(M438&lt;=12.5,50,LOOKUP(M438,{12.5,15,20,30,45,60,75,105,115,150,200,225,250,600,1000},{50,55,60,62,65,68,70,72,75,80,82,85,87,90,95})+(M438-LOOKUP(M438,{12.5,15,20,30,45,60,75,105,115,150,200,225,250,600},{12.5,15,20,30,45,60,75,105,115,150,200,225,250,600}))/(LOOKUP(M438,{12.5,15,20,30,45,60,75,105,115,150,200,225,250,600,1000},{15,20,30,45,60,75,105,115,150,200,225,250,600,1000,1000})-LOOKUP(M438,{12.5,15,20,30,45,60,75,105,115,150,200,225,250,600},{12.5,15,20,30,45,60,75,105,115,150,200,225,250,600}))*(LOOKUP(M438,{12.5,15,20,30,45,60,75,105,115,150,200,225,250,600,1000},{55,60,62,65,68,70,72,75,80,82,85,87,90,95,95})-LOOKUP(M438,{12.5,15,20,30,45,60,75,105,115,150,200,225,250,600,1000},{50,55,60,62,65,68,70,72,75,80,82,85,87,90,95})))))</f>
        <v>75</v>
      </c>
      <c r="P438" s="2">
        <f t="shared" si="33"/>
        <v>-3</v>
      </c>
      <c r="Q438" s="2">
        <f t="shared" si="34"/>
        <v>-1.5</v>
      </c>
    </row>
    <row r="439" customHeight="1" spans="1:17">
      <c r="B439" s="2">
        <v>438</v>
      </c>
      <c r="C439" s="17">
        <f t="shared" si="32"/>
        <v>68.7</v>
      </c>
      <c r="D439" s="2" t="s">
        <v>758</v>
      </c>
      <c r="E439" s="9">
        <v>70</v>
      </c>
      <c r="F439" s="12">
        <v>60</v>
      </c>
      <c r="G439" s="2">
        <v>52</v>
      </c>
      <c r="H439" s="2" t="s">
        <v>41</v>
      </c>
      <c r="I439" s="2" t="s">
        <v>104</v>
      </c>
      <c r="J439" s="4" t="s">
        <v>38</v>
      </c>
      <c r="M439" s="2">
        <f t="shared" si="30"/>
        <v>45</v>
      </c>
      <c r="N439" s="2">
        <f t="shared" si="31"/>
        <v>66.2</v>
      </c>
      <c r="O439" s="2">
        <f>IF(M439="","",IF(M439&gt;=1000,95,IF(M439&lt;=12.5,50,LOOKUP(M439,{12.5,15,20,30,45,60,75,105,115,150,200,225,250,600,1000},{50,55,60,62,65,68,70,72,75,80,82,85,87,90,95})+(M439-LOOKUP(M439,{12.5,15,20,30,45,60,75,105,115,150,200,225,250,600},{12.5,15,20,30,45,60,75,105,115,150,200,225,250,600}))/(LOOKUP(M439,{12.5,15,20,30,45,60,75,105,115,150,200,225,250,600,1000},{15,20,30,45,60,75,105,115,150,200,225,250,600,1000,1000})-LOOKUP(M439,{12.5,15,20,30,45,60,75,105,115,150,200,225,250,600},{12.5,15,20,30,45,60,75,105,115,150,200,225,250,600}))*(LOOKUP(M439,{12.5,15,20,30,45,60,75,105,115,150,200,225,250,600,1000},{55,60,62,65,68,70,72,75,80,82,85,87,90,95,95})-LOOKUP(M439,{12.5,15,20,30,45,60,75,105,115,150,200,225,250,600,1000},{50,55,60,62,65,68,70,72,75,80,82,85,87,90,95})))))</f>
        <v>65</v>
      </c>
      <c r="P439" s="2">
        <f t="shared" si="33"/>
        <v>5</v>
      </c>
      <c r="Q439" s="2">
        <f t="shared" si="34"/>
        <v>2.5</v>
      </c>
    </row>
    <row r="440" customHeight="1" spans="1:17">
      <c r="B440" s="2">
        <v>439</v>
      </c>
      <c r="C440" s="17">
        <f t="shared" si="32"/>
        <v>68.7</v>
      </c>
      <c r="D440" s="2" t="s">
        <v>759</v>
      </c>
      <c r="E440" s="9">
        <v>74</v>
      </c>
      <c r="F440" s="12">
        <v>62</v>
      </c>
      <c r="G440" s="2">
        <v>50</v>
      </c>
      <c r="H440" s="2" t="s">
        <v>329</v>
      </c>
      <c r="I440" s="2" t="s">
        <v>159</v>
      </c>
      <c r="J440" s="4" t="s">
        <v>148</v>
      </c>
      <c r="K440" s="2" t="s">
        <v>760</v>
      </c>
      <c r="M440" s="2">
        <f t="shared" si="30"/>
        <v>115</v>
      </c>
      <c r="N440" s="2">
        <f t="shared" si="31"/>
        <v>69.2</v>
      </c>
      <c r="O440" s="2">
        <f>IF(M440="","",IF(M440&gt;=1000,95,IF(M440&lt;=12.5,50,LOOKUP(M440,{12.5,15,20,30,45,60,75,105,115,150,200,225,250,600,1000},{50,55,60,62,65,68,70,72,75,80,82,85,87,90,95})+(M440-LOOKUP(M440,{12.5,15,20,30,45,60,75,105,115,150,200,225,250,600},{12.5,15,20,30,45,60,75,105,115,150,200,225,250,600}))/(LOOKUP(M440,{12.5,15,20,30,45,60,75,105,115,150,200,225,250,600,1000},{15,20,30,45,60,75,105,115,150,200,225,250,600,1000,1000})-LOOKUP(M440,{12.5,15,20,30,45,60,75,105,115,150,200,225,250,600},{12.5,15,20,30,45,60,75,105,115,150,200,225,250,600}))*(LOOKUP(M440,{12.5,15,20,30,45,60,75,105,115,150,200,225,250,600,1000},{55,60,62,65,68,70,72,75,80,82,85,87,90,95,95})-LOOKUP(M440,{12.5,15,20,30,45,60,75,105,115,150,200,225,250,600,1000},{50,55,60,62,65,68,70,72,75,80,82,85,87,90,95})))))</f>
        <v>75</v>
      </c>
      <c r="P440" s="2">
        <f t="shared" si="33"/>
        <v>-1</v>
      </c>
      <c r="Q440" s="2">
        <f t="shared" si="34"/>
        <v>-0.5</v>
      </c>
    </row>
    <row r="441" customHeight="1" spans="1:17">
      <c r="A441" s="2">
        <v>2026</v>
      </c>
      <c r="B441" s="2">
        <v>440</v>
      </c>
      <c r="C441" s="17">
        <f t="shared" si="32"/>
        <v>68.7</v>
      </c>
      <c r="D441" s="2" t="s">
        <v>761</v>
      </c>
      <c r="E441" s="12">
        <v>69</v>
      </c>
      <c r="F441" s="2">
        <v>59</v>
      </c>
      <c r="G441" s="2">
        <v>41</v>
      </c>
      <c r="H441" s="2" t="s">
        <v>54</v>
      </c>
      <c r="I441" s="2" t="s">
        <v>28</v>
      </c>
      <c r="J441" s="4" t="s">
        <v>140</v>
      </c>
      <c r="M441" s="2">
        <f t="shared" si="30"/>
        <v>20</v>
      </c>
      <c r="N441" s="2">
        <f t="shared" si="31"/>
        <v>64.2</v>
      </c>
      <c r="O441" s="2">
        <f>IF(M441="","",IF(M441&gt;=1000,95,IF(M441&lt;=12.5,50,LOOKUP(M441,{12.5,15,20,30,45,60,75,105,115,150,200,225,250,600,1000},{50,55,60,62,65,68,70,72,75,80,82,85,87,90,95})+(M441-LOOKUP(M441,{12.5,15,20,30,45,60,75,105,115,150,200,225,250,600},{12.5,15,20,30,45,60,75,105,115,150,200,225,250,600}))/(LOOKUP(M441,{12.5,15,20,30,45,60,75,105,115,150,200,225,250,600,1000},{15,20,30,45,60,75,105,115,150,200,225,250,600,1000,1000})-LOOKUP(M441,{12.5,15,20,30,45,60,75,105,115,150,200,225,250,600},{12.5,15,20,30,45,60,75,105,115,150,200,225,250,600}))*(LOOKUP(M441,{12.5,15,20,30,45,60,75,105,115,150,200,225,250,600,1000},{55,60,62,65,68,70,72,75,80,82,85,87,90,95,95})-LOOKUP(M441,{12.5,15,20,30,45,60,75,105,115,150,200,225,250,600,1000},{50,55,60,62,65,68,70,72,75,80,82,85,87,90,95})))))</f>
        <v>60</v>
      </c>
      <c r="P441" s="2">
        <f t="shared" si="33"/>
        <v>9</v>
      </c>
      <c r="Q441" s="2">
        <f t="shared" si="34"/>
        <v>4.5</v>
      </c>
    </row>
    <row r="442" customHeight="1" spans="1:17">
      <c r="A442" s="2">
        <v>2026</v>
      </c>
      <c r="B442" s="2">
        <v>441</v>
      </c>
      <c r="C442" s="17">
        <f t="shared" si="32"/>
        <v>68.7</v>
      </c>
      <c r="D442" s="2" t="s">
        <v>762</v>
      </c>
      <c r="E442" s="12">
        <v>69</v>
      </c>
      <c r="F442" s="12">
        <v>67</v>
      </c>
      <c r="G442" s="2">
        <v>50</v>
      </c>
      <c r="H442" s="2" t="s">
        <v>54</v>
      </c>
      <c r="I442" s="2" t="s">
        <v>321</v>
      </c>
      <c r="J442" s="4" t="s">
        <v>38</v>
      </c>
      <c r="M442" s="2">
        <f t="shared" si="30"/>
        <v>45</v>
      </c>
      <c r="N442" s="2">
        <f t="shared" si="31"/>
        <v>66.7</v>
      </c>
      <c r="O442" s="2">
        <f>IF(M442="","",IF(M442&gt;=1000,95,IF(M442&lt;=12.5,50,LOOKUP(M442,{12.5,15,20,30,45,60,75,105,115,150,200,225,250,600,1000},{50,55,60,62,65,68,70,72,75,80,82,85,87,90,95})+(M442-LOOKUP(M442,{12.5,15,20,30,45,60,75,105,115,150,200,225,250,600},{12.5,15,20,30,45,60,75,105,115,150,200,225,250,600}))/(LOOKUP(M442,{12.5,15,20,30,45,60,75,105,115,150,200,225,250,600,1000},{15,20,30,45,60,75,105,115,150,200,225,250,600,1000,1000})-LOOKUP(M442,{12.5,15,20,30,45,60,75,105,115,150,200,225,250,600},{12.5,15,20,30,45,60,75,105,115,150,200,225,250,600}))*(LOOKUP(M442,{12.5,15,20,30,45,60,75,105,115,150,200,225,250,600,1000},{55,60,62,65,68,70,72,75,80,82,85,87,90,95,95})-LOOKUP(M442,{12.5,15,20,30,45,60,75,105,115,150,200,225,250,600,1000},{50,55,60,62,65,68,70,72,75,80,82,85,87,90,95})))))</f>
        <v>65</v>
      </c>
      <c r="P442" s="2">
        <f t="shared" si="33"/>
        <v>4</v>
      </c>
      <c r="Q442" s="2">
        <f t="shared" si="34"/>
        <v>2</v>
      </c>
    </row>
    <row r="443" customHeight="1" spans="1:17">
      <c r="A443" s="2">
        <v>2026</v>
      </c>
      <c r="B443" s="2">
        <v>442</v>
      </c>
      <c r="C443" s="17">
        <f t="shared" si="32"/>
        <v>68.6</v>
      </c>
      <c r="D443" s="2" t="s">
        <v>763</v>
      </c>
      <c r="E443" s="12">
        <v>65</v>
      </c>
      <c r="F443" s="12">
        <v>64</v>
      </c>
      <c r="G443" s="2">
        <v>53</v>
      </c>
      <c r="H443" s="2" t="s">
        <v>54</v>
      </c>
      <c r="I443" s="2" t="s">
        <v>28</v>
      </c>
      <c r="J443" s="4" t="s">
        <v>29</v>
      </c>
      <c r="M443" s="2">
        <f t="shared" si="30"/>
        <v>15</v>
      </c>
      <c r="N443" s="2">
        <f t="shared" si="31"/>
        <v>63.6</v>
      </c>
      <c r="O443" s="2">
        <f>IF(M443="","",IF(M443&gt;=1000,95,IF(M443&lt;=12.5,50,LOOKUP(M443,{12.5,15,20,30,45,60,75,105,115,150,200,225,250,600,1000},{50,55,60,62,65,68,70,72,75,80,82,85,87,90,95})+(M443-LOOKUP(M443,{12.5,15,20,30,45,60,75,105,115,150,200,225,250,600},{12.5,15,20,30,45,60,75,105,115,150,200,225,250,600}))/(LOOKUP(M443,{12.5,15,20,30,45,60,75,105,115,150,200,225,250,600,1000},{15,20,30,45,60,75,105,115,150,200,225,250,600,1000,1000})-LOOKUP(M443,{12.5,15,20,30,45,60,75,105,115,150,200,225,250,600},{12.5,15,20,30,45,60,75,105,115,150,200,225,250,600}))*(LOOKUP(M443,{12.5,15,20,30,45,60,75,105,115,150,200,225,250,600,1000},{55,60,62,65,68,70,72,75,80,82,85,87,90,95,95})-LOOKUP(M443,{12.5,15,20,30,45,60,75,105,115,150,200,225,250,600,1000},{50,55,60,62,65,68,70,72,75,80,82,85,87,90,95})))))</f>
        <v>55</v>
      </c>
      <c r="P443" s="2">
        <f t="shared" si="33"/>
        <v>10</v>
      </c>
      <c r="Q443" s="2">
        <f t="shared" si="34"/>
        <v>5</v>
      </c>
    </row>
    <row r="444" customHeight="1" spans="1:17">
      <c r="A444" s="2">
        <v>2026</v>
      </c>
      <c r="B444" s="2">
        <v>443</v>
      </c>
      <c r="C444" s="17">
        <f t="shared" si="32"/>
        <v>68.6</v>
      </c>
      <c r="D444" s="2" t="s">
        <v>764</v>
      </c>
      <c r="E444" s="9">
        <v>71</v>
      </c>
      <c r="F444" s="12">
        <v>68</v>
      </c>
      <c r="G444" s="2">
        <v>58</v>
      </c>
      <c r="H444" s="2" t="s">
        <v>99</v>
      </c>
      <c r="I444" s="2" t="s">
        <v>28</v>
      </c>
      <c r="J444" s="4" t="s">
        <v>105</v>
      </c>
      <c r="K444" s="2" t="s">
        <v>765</v>
      </c>
      <c r="M444" s="2">
        <f t="shared" si="30"/>
        <v>105</v>
      </c>
      <c r="N444" s="2">
        <f t="shared" si="31"/>
        <v>69.1</v>
      </c>
      <c r="O444" s="2">
        <f>IF(M444="","",IF(M444&gt;=1000,95,IF(M444&lt;=12.5,50,LOOKUP(M444,{12.5,15,20,30,45,60,75,105,115,150,200,225,250,600,1000},{50,55,60,62,65,68,70,72,75,80,82,85,87,90,95})+(M444-LOOKUP(M444,{12.5,15,20,30,45,60,75,105,115,150,200,225,250,600},{12.5,15,20,30,45,60,75,105,115,150,200,225,250,600}))/(LOOKUP(M444,{12.5,15,20,30,45,60,75,105,115,150,200,225,250,600,1000},{15,20,30,45,60,75,105,115,150,200,225,250,600,1000,1000})-LOOKUP(M444,{12.5,15,20,30,45,60,75,105,115,150,200,225,250,600},{12.5,15,20,30,45,60,75,105,115,150,200,225,250,600}))*(LOOKUP(M444,{12.5,15,20,30,45,60,75,105,115,150,200,225,250,600,1000},{55,60,62,65,68,70,72,75,80,82,85,87,90,95,95})-LOOKUP(M444,{12.5,15,20,30,45,60,75,105,115,150,200,225,250,600,1000},{50,55,60,62,65,68,70,72,75,80,82,85,87,90,95})))))</f>
        <v>72</v>
      </c>
      <c r="P444" s="2">
        <f t="shared" si="33"/>
        <v>-1</v>
      </c>
      <c r="Q444" s="2">
        <f t="shared" si="34"/>
        <v>-0.5</v>
      </c>
    </row>
    <row r="445" customHeight="1" spans="1:17">
      <c r="A445" s="2">
        <v>2026</v>
      </c>
      <c r="B445" s="2">
        <v>444</v>
      </c>
      <c r="C445" s="17">
        <f t="shared" si="32"/>
        <v>68.6</v>
      </c>
      <c r="D445" s="2" t="s">
        <v>766</v>
      </c>
      <c r="E445" s="9">
        <v>72</v>
      </c>
      <c r="F445" s="12">
        <v>65</v>
      </c>
      <c r="G445" s="12">
        <v>67</v>
      </c>
      <c r="H445" s="2" t="s">
        <v>54</v>
      </c>
      <c r="I445" s="2" t="s">
        <v>104</v>
      </c>
      <c r="J445" s="4" t="s">
        <v>148</v>
      </c>
      <c r="M445" s="2">
        <f t="shared" si="30"/>
        <v>115</v>
      </c>
      <c r="N445" s="2">
        <f t="shared" si="31"/>
        <v>70.1</v>
      </c>
      <c r="O445" s="2">
        <f>IF(M445="","",IF(M445&gt;=1000,95,IF(M445&lt;=12.5,50,LOOKUP(M445,{12.5,15,20,30,45,60,75,105,115,150,200,225,250,600,1000},{50,55,60,62,65,68,70,72,75,80,82,85,87,90,95})+(M445-LOOKUP(M445,{12.5,15,20,30,45,60,75,105,115,150,200,225,250,600},{12.5,15,20,30,45,60,75,105,115,150,200,225,250,600}))/(LOOKUP(M445,{12.5,15,20,30,45,60,75,105,115,150,200,225,250,600,1000},{15,20,30,45,60,75,105,115,150,200,225,250,600,1000,1000})-LOOKUP(M445,{12.5,15,20,30,45,60,75,105,115,150,200,225,250,600},{12.5,15,20,30,45,60,75,105,115,150,200,225,250,600}))*(LOOKUP(M445,{12.5,15,20,30,45,60,75,105,115,150,200,225,250,600,1000},{55,60,62,65,68,70,72,75,80,82,85,87,90,95,95})-LOOKUP(M445,{12.5,15,20,30,45,60,75,105,115,150,200,225,250,600,1000},{50,55,60,62,65,68,70,72,75,80,82,85,87,90,95})))))</f>
        <v>75</v>
      </c>
      <c r="P445" s="2">
        <f t="shared" si="33"/>
        <v>-3</v>
      </c>
      <c r="Q445" s="2">
        <f t="shared" si="34"/>
        <v>-1.5</v>
      </c>
    </row>
    <row r="446" customHeight="1" spans="1:17">
      <c r="A446" s="2">
        <v>2026</v>
      </c>
      <c r="B446" s="2">
        <v>445</v>
      </c>
      <c r="C446" s="17">
        <f t="shared" si="32"/>
        <v>68.6</v>
      </c>
      <c r="D446" s="2" t="s">
        <v>767</v>
      </c>
      <c r="E446" s="12">
        <v>68</v>
      </c>
      <c r="F446" s="2">
        <v>58</v>
      </c>
      <c r="G446" s="2">
        <v>54</v>
      </c>
      <c r="H446" s="2" t="s">
        <v>37</v>
      </c>
      <c r="I446" s="2" t="s">
        <v>63</v>
      </c>
      <c r="J446" s="4" t="s">
        <v>140</v>
      </c>
      <c r="M446" s="2">
        <f t="shared" si="30"/>
        <v>20</v>
      </c>
      <c r="N446" s="2">
        <f t="shared" si="31"/>
        <v>64.6</v>
      </c>
      <c r="O446" s="2">
        <f>IF(M446="","",IF(M446&gt;=1000,95,IF(M446&lt;=12.5,50,LOOKUP(M446,{12.5,15,20,30,45,60,75,105,115,150,200,225,250,600,1000},{50,55,60,62,65,68,70,72,75,80,82,85,87,90,95})+(M446-LOOKUP(M446,{12.5,15,20,30,45,60,75,105,115,150,200,225,250,600},{12.5,15,20,30,45,60,75,105,115,150,200,225,250,600}))/(LOOKUP(M446,{12.5,15,20,30,45,60,75,105,115,150,200,225,250,600,1000},{15,20,30,45,60,75,105,115,150,200,225,250,600,1000,1000})-LOOKUP(M446,{12.5,15,20,30,45,60,75,105,115,150,200,225,250,600},{12.5,15,20,30,45,60,75,105,115,150,200,225,250,600}))*(LOOKUP(M446,{12.5,15,20,30,45,60,75,105,115,150,200,225,250,600,1000},{55,60,62,65,68,70,72,75,80,82,85,87,90,95,95})-LOOKUP(M446,{12.5,15,20,30,45,60,75,105,115,150,200,225,250,600,1000},{50,55,60,62,65,68,70,72,75,80,82,85,87,90,95})))))</f>
        <v>60</v>
      </c>
      <c r="P446" s="2">
        <f t="shared" si="33"/>
        <v>8</v>
      </c>
      <c r="Q446" s="2">
        <f t="shared" si="34"/>
        <v>4</v>
      </c>
    </row>
    <row r="447" customHeight="1" spans="1:17">
      <c r="B447" s="2">
        <v>446</v>
      </c>
      <c r="C447" s="17">
        <f t="shared" si="32"/>
        <v>68.5</v>
      </c>
      <c r="D447" s="2" t="s">
        <v>768</v>
      </c>
      <c r="E447" s="9">
        <v>71</v>
      </c>
      <c r="F447" s="10">
        <v>85</v>
      </c>
      <c r="G447" s="10">
        <v>88</v>
      </c>
      <c r="H447" s="2" t="s">
        <v>41</v>
      </c>
      <c r="I447" s="2" t="s">
        <v>104</v>
      </c>
      <c r="J447" s="4" t="s">
        <v>123</v>
      </c>
      <c r="M447" s="2">
        <f t="shared" si="30"/>
        <v>250</v>
      </c>
      <c r="N447" s="2">
        <f t="shared" si="31"/>
        <v>75.5</v>
      </c>
      <c r="O447" s="2">
        <f>IF(M447="","",IF(M447&gt;=1000,95,IF(M447&lt;=12.5,50,LOOKUP(M447,{12.5,15,20,30,45,60,75,105,115,150,200,225,250,600,1000},{50,55,60,62,65,68,70,72,75,80,82,85,87,90,95})+(M447-LOOKUP(M447,{12.5,15,20,30,45,60,75,105,115,150,200,225,250,600},{12.5,15,20,30,45,60,75,105,115,150,200,225,250,600}))/(LOOKUP(M447,{12.5,15,20,30,45,60,75,105,115,150,200,225,250,600,1000},{15,20,30,45,60,75,105,115,150,200,225,250,600,1000,1000})-LOOKUP(M447,{12.5,15,20,30,45,60,75,105,115,150,200,225,250,600},{12.5,15,20,30,45,60,75,105,115,150,200,225,250,600}))*(LOOKUP(M447,{12.5,15,20,30,45,60,75,105,115,150,200,225,250,600,1000},{55,60,62,65,68,70,72,75,80,82,85,87,90,95,95})-LOOKUP(M447,{12.5,15,20,30,45,60,75,105,115,150,200,225,250,600,1000},{50,55,60,62,65,68,70,72,75,80,82,85,87,90,95})))))</f>
        <v>87</v>
      </c>
      <c r="P447" s="2">
        <f t="shared" si="33"/>
        <v>-16</v>
      </c>
      <c r="Q447" s="2">
        <f t="shared" si="34"/>
        <v>-7</v>
      </c>
    </row>
    <row r="448" customHeight="1" spans="1:17">
      <c r="B448" s="2">
        <v>447</v>
      </c>
      <c r="C448" s="17">
        <f t="shared" si="32"/>
        <v>68.5</v>
      </c>
      <c r="D448" s="2" t="s">
        <v>769</v>
      </c>
      <c r="E448" s="12">
        <v>69</v>
      </c>
      <c r="F448" s="10">
        <v>80</v>
      </c>
      <c r="G448" s="9">
        <v>72</v>
      </c>
      <c r="H448" s="2" t="s">
        <v>489</v>
      </c>
      <c r="I448" s="2" t="s">
        <v>18</v>
      </c>
      <c r="J448" s="4" t="s">
        <v>148</v>
      </c>
      <c r="M448" s="2">
        <f t="shared" si="30"/>
        <v>115</v>
      </c>
      <c r="N448" s="2">
        <f t="shared" si="31"/>
        <v>71.5</v>
      </c>
      <c r="O448" s="2">
        <f>IF(M448="","",IF(M448&gt;=1000,95,IF(M448&lt;=12.5,50,LOOKUP(M448,{12.5,15,20,30,45,60,75,105,115,150,200,225,250,600,1000},{50,55,60,62,65,68,70,72,75,80,82,85,87,90,95})+(M448-LOOKUP(M448,{12.5,15,20,30,45,60,75,105,115,150,200,225,250,600},{12.5,15,20,30,45,60,75,105,115,150,200,225,250,600}))/(LOOKUP(M448,{12.5,15,20,30,45,60,75,105,115,150,200,225,250,600,1000},{15,20,30,45,60,75,105,115,150,200,225,250,600,1000,1000})-LOOKUP(M448,{12.5,15,20,30,45,60,75,105,115,150,200,225,250,600},{12.5,15,20,30,45,60,75,105,115,150,200,225,250,600}))*(LOOKUP(M448,{12.5,15,20,30,45,60,75,105,115,150,200,225,250,600,1000},{55,60,62,65,68,70,72,75,80,82,85,87,90,95,95})-LOOKUP(M448,{12.5,15,20,30,45,60,75,105,115,150,200,225,250,600,1000},{50,55,60,62,65,68,70,72,75,80,82,85,87,90,95})))))</f>
        <v>75</v>
      </c>
      <c r="P448" s="2">
        <f t="shared" si="33"/>
        <v>-6</v>
      </c>
      <c r="Q448" s="2">
        <f t="shared" si="34"/>
        <v>-3</v>
      </c>
    </row>
    <row r="449" customHeight="1" spans="1:17">
      <c r="A449" s="2">
        <v>2026</v>
      </c>
      <c r="B449" s="2">
        <v>448</v>
      </c>
      <c r="C449" s="17">
        <f t="shared" si="32"/>
        <v>68.5</v>
      </c>
      <c r="D449" s="2" t="s">
        <v>770</v>
      </c>
      <c r="E449" s="9">
        <v>70</v>
      </c>
      <c r="F449" s="2">
        <v>50</v>
      </c>
      <c r="G449" s="2">
        <v>45</v>
      </c>
      <c r="H449" s="2" t="s">
        <v>54</v>
      </c>
      <c r="I449" s="2" t="s">
        <v>28</v>
      </c>
      <c r="J449" s="4" t="s">
        <v>140</v>
      </c>
      <c r="M449" s="2">
        <f t="shared" si="30"/>
        <v>20</v>
      </c>
      <c r="N449" s="2">
        <f t="shared" si="31"/>
        <v>63.5</v>
      </c>
      <c r="O449" s="2">
        <f>IF(M449="","",IF(M449&gt;=1000,95,IF(M449&lt;=12.5,50,LOOKUP(M449,{12.5,15,20,30,45,60,75,105,115,150,200,225,250,600,1000},{50,55,60,62,65,68,70,72,75,80,82,85,87,90,95})+(M449-LOOKUP(M449,{12.5,15,20,30,45,60,75,105,115,150,200,225,250,600},{12.5,15,20,30,45,60,75,105,115,150,200,225,250,600}))/(LOOKUP(M449,{12.5,15,20,30,45,60,75,105,115,150,200,225,250,600,1000},{15,20,30,45,60,75,105,115,150,200,225,250,600,1000,1000})-LOOKUP(M449,{12.5,15,20,30,45,60,75,105,115,150,200,225,250,600},{12.5,15,20,30,45,60,75,105,115,150,200,225,250,600}))*(LOOKUP(M449,{12.5,15,20,30,45,60,75,105,115,150,200,225,250,600,1000},{55,60,62,65,68,70,72,75,80,82,85,87,90,95,95})-LOOKUP(M449,{12.5,15,20,30,45,60,75,105,115,150,200,225,250,600,1000},{50,55,60,62,65,68,70,72,75,80,82,85,87,90,95})))))</f>
        <v>60</v>
      </c>
      <c r="P449" s="2">
        <f t="shared" si="33"/>
        <v>10</v>
      </c>
      <c r="Q449" s="2">
        <f t="shared" si="34"/>
        <v>5</v>
      </c>
    </row>
    <row r="450" customHeight="1" spans="1:17">
      <c r="B450" s="2">
        <v>449</v>
      </c>
      <c r="C450" s="17">
        <f t="shared" si="32"/>
        <v>68.5</v>
      </c>
      <c r="D450" s="2" t="s">
        <v>771</v>
      </c>
      <c r="E450" s="9">
        <v>70</v>
      </c>
      <c r="F450" s="2">
        <v>50</v>
      </c>
      <c r="G450" s="2">
        <v>45</v>
      </c>
      <c r="H450" s="2" t="s">
        <v>166</v>
      </c>
      <c r="I450" s="2" t="s">
        <v>503</v>
      </c>
      <c r="J450" s="4" t="s">
        <v>140</v>
      </c>
      <c r="M450" s="2">
        <f t="shared" ref="M450:M513" si="35">IF(J450="1000+",1000,(LEFT(J450,FIND("-",J450)-1)+RIGHT(J450,LEN(J450)-FIND("-",J450)))/2)</f>
        <v>20</v>
      </c>
      <c r="N450" s="2">
        <f t="shared" ref="N450:N513" si="36">ROUND(E450*0.7+F450*0.2+G450*0.1,2)</f>
        <v>63.5</v>
      </c>
      <c r="O450" s="2">
        <f>IF(M450="","",IF(M450&gt;=1000,95,IF(M450&lt;=12.5,50,LOOKUP(M450,{12.5,15,20,30,45,60,75,105,115,150,200,225,250,600,1000},{50,55,60,62,65,68,70,72,75,80,82,85,87,90,95})+(M450-LOOKUP(M450,{12.5,15,20,30,45,60,75,105,115,150,200,225,250,600},{12.5,15,20,30,45,60,75,105,115,150,200,225,250,600}))/(LOOKUP(M450,{12.5,15,20,30,45,60,75,105,115,150,200,225,250,600,1000},{15,20,30,45,60,75,105,115,150,200,225,250,600,1000,1000})-LOOKUP(M450,{12.5,15,20,30,45,60,75,105,115,150,200,225,250,600},{12.5,15,20,30,45,60,75,105,115,150,200,225,250,600}))*(LOOKUP(M450,{12.5,15,20,30,45,60,75,105,115,150,200,225,250,600,1000},{55,60,62,65,68,70,72,75,80,82,85,87,90,95,95})-LOOKUP(M450,{12.5,15,20,30,45,60,75,105,115,150,200,225,250,600,1000},{50,55,60,62,65,68,70,72,75,80,82,85,87,90,95})))))</f>
        <v>60</v>
      </c>
      <c r="P450" s="2">
        <f t="shared" si="33"/>
        <v>10</v>
      </c>
      <c r="Q450" s="2">
        <f t="shared" si="34"/>
        <v>5</v>
      </c>
    </row>
    <row r="451" customHeight="1" spans="1:17">
      <c r="A451" s="2">
        <v>2026</v>
      </c>
      <c r="B451" s="2">
        <v>450</v>
      </c>
      <c r="C451" s="17">
        <f t="shared" si="32"/>
        <v>68.5</v>
      </c>
      <c r="D451" s="2" t="s">
        <v>772</v>
      </c>
      <c r="E451" s="9">
        <v>73</v>
      </c>
      <c r="F451" s="2">
        <v>52</v>
      </c>
      <c r="G451" s="2">
        <v>45</v>
      </c>
      <c r="H451" s="2" t="s">
        <v>41</v>
      </c>
      <c r="I451" s="2" t="s">
        <v>63</v>
      </c>
      <c r="J451" s="4" t="s">
        <v>34</v>
      </c>
      <c r="K451" s="2" t="s">
        <v>773</v>
      </c>
      <c r="M451" s="2">
        <f t="shared" si="35"/>
        <v>60</v>
      </c>
      <c r="N451" s="2">
        <f t="shared" si="36"/>
        <v>66</v>
      </c>
      <c r="O451" s="2">
        <f>IF(M451="","",IF(M451&gt;=1000,95,IF(M451&lt;=12.5,50,LOOKUP(M451,{12.5,15,20,30,45,60,75,105,115,150,200,225,250,600,1000},{50,55,60,62,65,68,70,72,75,80,82,85,87,90,95})+(M451-LOOKUP(M451,{12.5,15,20,30,45,60,75,105,115,150,200,225,250,600},{12.5,15,20,30,45,60,75,105,115,150,200,225,250,600}))/(LOOKUP(M451,{12.5,15,20,30,45,60,75,105,115,150,200,225,250,600,1000},{15,20,30,45,60,75,105,115,150,200,225,250,600,1000,1000})-LOOKUP(M451,{12.5,15,20,30,45,60,75,105,115,150,200,225,250,600},{12.5,15,20,30,45,60,75,105,115,150,200,225,250,600}))*(LOOKUP(M451,{12.5,15,20,30,45,60,75,105,115,150,200,225,250,600,1000},{55,60,62,65,68,70,72,75,80,82,85,87,90,95,95})-LOOKUP(M451,{12.5,15,20,30,45,60,75,105,115,150,200,225,250,600,1000},{50,55,60,62,65,68,70,72,75,80,82,85,87,90,95})))))</f>
        <v>68</v>
      </c>
      <c r="P451" s="2">
        <f t="shared" si="33"/>
        <v>5</v>
      </c>
      <c r="Q451" s="2">
        <f t="shared" si="34"/>
        <v>2.5</v>
      </c>
    </row>
    <row r="452" customHeight="1" spans="1:17">
      <c r="B452" s="2">
        <v>451</v>
      </c>
      <c r="C452" s="17">
        <f t="shared" si="32"/>
        <v>68.43</v>
      </c>
      <c r="D452" s="2" t="s">
        <v>774</v>
      </c>
      <c r="E452" s="9">
        <v>71</v>
      </c>
      <c r="F452" s="2">
        <v>40</v>
      </c>
      <c r="G452" s="2">
        <v>54</v>
      </c>
      <c r="H452" s="2" t="s">
        <v>37</v>
      </c>
      <c r="I452" s="2" t="s">
        <v>28</v>
      </c>
      <c r="J452" s="4" t="s">
        <v>140</v>
      </c>
      <c r="M452" s="2">
        <f t="shared" si="35"/>
        <v>20</v>
      </c>
      <c r="N452" s="2">
        <f t="shared" si="36"/>
        <v>63.1</v>
      </c>
      <c r="O452" s="2">
        <f>IF(M452="","",IF(M452&gt;=1000,95,IF(M452&lt;=12.5,50,LOOKUP(M452,{12.5,15,20,30,45,60,75,105,115,150,200,225,250,600,1000},{50,55,60,62,65,68,70,72,75,80,82,85,87,90,95})+(M452-LOOKUP(M452,{12.5,15,20,30,45,60,75,105,115,150,200,225,250,600},{12.5,15,20,30,45,60,75,105,115,150,200,225,250,600}))/(LOOKUP(M452,{12.5,15,20,30,45,60,75,105,115,150,200,225,250,600,1000},{15,20,30,45,60,75,105,115,150,200,225,250,600,1000,1000})-LOOKUP(M452,{12.5,15,20,30,45,60,75,105,115,150,200,225,250,600},{12.5,15,20,30,45,60,75,105,115,150,200,225,250,600}))*(LOOKUP(M452,{12.5,15,20,30,45,60,75,105,115,150,200,225,250,600,1000},{55,60,62,65,68,70,72,75,80,82,85,87,90,95,95})-LOOKUP(M452,{12.5,15,20,30,45,60,75,105,115,150,200,225,250,600,1000},{50,55,60,62,65,68,70,72,75,80,82,85,87,90,95})))))</f>
        <v>60</v>
      </c>
      <c r="P452" s="2">
        <f t="shared" si="33"/>
        <v>11</v>
      </c>
      <c r="Q452" s="2">
        <f t="shared" si="34"/>
        <v>5.33</v>
      </c>
    </row>
    <row r="453" customHeight="1" spans="1:17">
      <c r="A453" s="2">
        <v>2026</v>
      </c>
      <c r="B453" s="2">
        <v>452</v>
      </c>
      <c r="C453" s="17">
        <f t="shared" si="32"/>
        <v>68.4</v>
      </c>
      <c r="D453" s="2" t="s">
        <v>775</v>
      </c>
      <c r="E453" s="9">
        <v>73</v>
      </c>
      <c r="F453" s="12">
        <v>63</v>
      </c>
      <c r="G453" s="2">
        <v>57</v>
      </c>
      <c r="H453" s="2" t="s">
        <v>87</v>
      </c>
      <c r="I453" s="2" t="s">
        <v>104</v>
      </c>
      <c r="J453" s="4" t="s">
        <v>148</v>
      </c>
      <c r="K453" s="2" t="s">
        <v>360</v>
      </c>
      <c r="M453" s="2">
        <f t="shared" si="35"/>
        <v>115</v>
      </c>
      <c r="N453" s="2">
        <f t="shared" si="36"/>
        <v>69.4</v>
      </c>
      <c r="O453" s="2">
        <f>IF(M453="","",IF(M453&gt;=1000,95,IF(M453&lt;=12.5,50,LOOKUP(M453,{12.5,15,20,30,45,60,75,105,115,150,200,225,250,600,1000},{50,55,60,62,65,68,70,72,75,80,82,85,87,90,95})+(M453-LOOKUP(M453,{12.5,15,20,30,45,60,75,105,115,150,200,225,250,600},{12.5,15,20,30,45,60,75,105,115,150,200,225,250,600}))/(LOOKUP(M453,{12.5,15,20,30,45,60,75,105,115,150,200,225,250,600,1000},{15,20,30,45,60,75,105,115,150,200,225,250,600,1000,1000})-LOOKUP(M453,{12.5,15,20,30,45,60,75,105,115,150,200,225,250,600},{12.5,15,20,30,45,60,75,105,115,150,200,225,250,600}))*(LOOKUP(M453,{12.5,15,20,30,45,60,75,105,115,150,200,225,250,600,1000},{55,60,62,65,68,70,72,75,80,82,85,87,90,95,95})-LOOKUP(M453,{12.5,15,20,30,45,60,75,105,115,150,200,225,250,600,1000},{50,55,60,62,65,68,70,72,75,80,82,85,87,90,95})))))</f>
        <v>75</v>
      </c>
      <c r="P453" s="2">
        <f t="shared" si="33"/>
        <v>-2</v>
      </c>
      <c r="Q453" s="2">
        <f t="shared" si="34"/>
        <v>-1</v>
      </c>
    </row>
    <row r="454" customHeight="1" spans="1:17">
      <c r="B454" s="2">
        <v>453</v>
      </c>
      <c r="C454" s="17">
        <f t="shared" ref="C454:C517" si="37">ROUND(MAX(MIN(N454+Q454,100),0),2)</f>
        <v>68.4</v>
      </c>
      <c r="D454" s="2" t="s">
        <v>776</v>
      </c>
      <c r="E454" s="9">
        <v>72</v>
      </c>
      <c r="F454" s="10">
        <v>87</v>
      </c>
      <c r="G454" s="2">
        <v>56</v>
      </c>
      <c r="H454" s="2" t="s">
        <v>41</v>
      </c>
      <c r="I454" s="2" t="s">
        <v>183</v>
      </c>
      <c r="J454" s="4" t="s">
        <v>51</v>
      </c>
      <c r="M454" s="2">
        <f t="shared" si="35"/>
        <v>200</v>
      </c>
      <c r="N454" s="2">
        <f t="shared" si="36"/>
        <v>73.4</v>
      </c>
      <c r="O454" s="2">
        <f>IF(M454="","",IF(M454&gt;=1000,95,IF(M454&lt;=12.5,50,LOOKUP(M454,{12.5,15,20,30,45,60,75,105,115,150,200,225,250,600,1000},{50,55,60,62,65,68,70,72,75,80,82,85,87,90,95})+(M454-LOOKUP(M454,{12.5,15,20,30,45,60,75,105,115,150,200,225,250,600},{12.5,15,20,30,45,60,75,105,115,150,200,225,250,600}))/(LOOKUP(M454,{12.5,15,20,30,45,60,75,105,115,150,200,225,250,600,1000},{15,20,30,45,60,75,105,115,150,200,225,250,600,1000,1000})-LOOKUP(M454,{12.5,15,20,30,45,60,75,105,115,150,200,225,250,600},{12.5,15,20,30,45,60,75,105,115,150,200,225,250,600}))*(LOOKUP(M454,{12.5,15,20,30,45,60,75,105,115,150,200,225,250,600,1000},{55,60,62,65,68,70,72,75,80,82,85,87,90,95,95})-LOOKUP(M454,{12.5,15,20,30,45,60,75,105,115,150,200,225,250,600,1000},{50,55,60,62,65,68,70,72,75,80,82,85,87,90,95})))))</f>
        <v>82</v>
      </c>
      <c r="P454" s="2">
        <f t="shared" ref="P454:P517" si="38">E454-O454</f>
        <v>-10</v>
      </c>
      <c r="Q454" s="2">
        <f t="shared" ref="Q454:Q517" si="39">ROUND(SIGN(P454)*IF(ABS(P454)&lt;=10,ABS(P454)*0.5,IF(ABS(P454)&lt;=15,5+(ABS(P454)-10)*(1.67/5),6.67+(ABS(P454)-15)*0.333)),2)</f>
        <v>-5</v>
      </c>
    </row>
    <row r="455" customHeight="1" spans="1:17">
      <c r="B455" s="2">
        <v>454</v>
      </c>
      <c r="C455" s="17">
        <f t="shared" si="37"/>
        <v>68.4</v>
      </c>
      <c r="D455" s="2" t="s">
        <v>777</v>
      </c>
      <c r="E455" s="9">
        <v>70</v>
      </c>
      <c r="F455" s="12">
        <v>68</v>
      </c>
      <c r="G455" s="12">
        <v>68</v>
      </c>
      <c r="H455" s="2" t="s">
        <v>122</v>
      </c>
      <c r="I455" s="2" t="s">
        <v>18</v>
      </c>
      <c r="J455" s="4" t="s">
        <v>105</v>
      </c>
      <c r="M455" s="2">
        <f t="shared" si="35"/>
        <v>105</v>
      </c>
      <c r="N455" s="2">
        <f t="shared" si="36"/>
        <v>69.4</v>
      </c>
      <c r="O455" s="2">
        <f>IF(M455="","",IF(M455&gt;=1000,95,IF(M455&lt;=12.5,50,LOOKUP(M455,{12.5,15,20,30,45,60,75,105,115,150,200,225,250,600,1000},{50,55,60,62,65,68,70,72,75,80,82,85,87,90,95})+(M455-LOOKUP(M455,{12.5,15,20,30,45,60,75,105,115,150,200,225,250,600},{12.5,15,20,30,45,60,75,105,115,150,200,225,250,600}))/(LOOKUP(M455,{12.5,15,20,30,45,60,75,105,115,150,200,225,250,600,1000},{15,20,30,45,60,75,105,115,150,200,225,250,600,1000,1000})-LOOKUP(M455,{12.5,15,20,30,45,60,75,105,115,150,200,225,250,600},{12.5,15,20,30,45,60,75,105,115,150,200,225,250,600}))*(LOOKUP(M455,{12.5,15,20,30,45,60,75,105,115,150,200,225,250,600,1000},{55,60,62,65,68,70,72,75,80,82,85,87,90,95,95})-LOOKUP(M455,{12.5,15,20,30,45,60,75,105,115,150,200,225,250,600,1000},{50,55,60,62,65,68,70,72,75,80,82,85,87,90,95})))))</f>
        <v>72</v>
      </c>
      <c r="P455" s="2">
        <f t="shared" si="38"/>
        <v>-2</v>
      </c>
      <c r="Q455" s="2">
        <f t="shared" si="39"/>
        <v>-1</v>
      </c>
    </row>
    <row r="456" customHeight="1" spans="1:17">
      <c r="B456" s="2">
        <v>455</v>
      </c>
      <c r="C456" s="17">
        <f t="shared" si="37"/>
        <v>68.4</v>
      </c>
      <c r="D456" s="2" t="s">
        <v>778</v>
      </c>
      <c r="E456" s="12">
        <v>69</v>
      </c>
      <c r="F456" s="9">
        <v>70</v>
      </c>
      <c r="G456" s="2">
        <v>56</v>
      </c>
      <c r="H456" s="2" t="s">
        <v>41</v>
      </c>
      <c r="I456" s="2" t="s">
        <v>18</v>
      </c>
      <c r="J456" s="4" t="s">
        <v>34</v>
      </c>
      <c r="M456" s="2">
        <f t="shared" si="35"/>
        <v>60</v>
      </c>
      <c r="N456" s="2">
        <f t="shared" si="36"/>
        <v>67.9</v>
      </c>
      <c r="O456" s="2">
        <f>IF(M456="","",IF(M456&gt;=1000,95,IF(M456&lt;=12.5,50,LOOKUP(M456,{12.5,15,20,30,45,60,75,105,115,150,200,225,250,600,1000},{50,55,60,62,65,68,70,72,75,80,82,85,87,90,95})+(M456-LOOKUP(M456,{12.5,15,20,30,45,60,75,105,115,150,200,225,250,600},{12.5,15,20,30,45,60,75,105,115,150,200,225,250,600}))/(LOOKUP(M456,{12.5,15,20,30,45,60,75,105,115,150,200,225,250,600,1000},{15,20,30,45,60,75,105,115,150,200,225,250,600,1000,1000})-LOOKUP(M456,{12.5,15,20,30,45,60,75,105,115,150,200,225,250,600},{12.5,15,20,30,45,60,75,105,115,150,200,225,250,600}))*(LOOKUP(M456,{12.5,15,20,30,45,60,75,105,115,150,200,225,250,600,1000},{55,60,62,65,68,70,72,75,80,82,85,87,90,95,95})-LOOKUP(M456,{12.5,15,20,30,45,60,75,105,115,150,200,225,250,600,1000},{50,55,60,62,65,68,70,72,75,80,82,85,87,90,95})))))</f>
        <v>68</v>
      </c>
      <c r="P456" s="2">
        <f t="shared" si="38"/>
        <v>1</v>
      </c>
      <c r="Q456" s="2">
        <f t="shared" si="39"/>
        <v>0.5</v>
      </c>
    </row>
    <row r="457" customHeight="1" spans="1:17">
      <c r="A457" s="2">
        <v>2026</v>
      </c>
      <c r="B457" s="2">
        <v>456</v>
      </c>
      <c r="C457" s="17">
        <f t="shared" si="37"/>
        <v>68.4</v>
      </c>
      <c r="D457" s="2" t="s">
        <v>779</v>
      </c>
      <c r="E457" s="12">
        <v>68</v>
      </c>
      <c r="F457" s="12">
        <v>61</v>
      </c>
      <c r="G457" s="2">
        <v>56</v>
      </c>
      <c r="H457" s="2" t="s">
        <v>54</v>
      </c>
      <c r="I457" s="2" t="s">
        <v>28</v>
      </c>
      <c r="J457" s="4" t="s">
        <v>88</v>
      </c>
      <c r="M457" s="2">
        <f t="shared" si="35"/>
        <v>30</v>
      </c>
      <c r="N457" s="2">
        <f t="shared" si="36"/>
        <v>65.4</v>
      </c>
      <c r="O457" s="2">
        <f>IF(M457="","",IF(M457&gt;=1000,95,IF(M457&lt;=12.5,50,LOOKUP(M457,{12.5,15,20,30,45,60,75,105,115,150,200,225,250,600,1000},{50,55,60,62,65,68,70,72,75,80,82,85,87,90,95})+(M457-LOOKUP(M457,{12.5,15,20,30,45,60,75,105,115,150,200,225,250,600},{12.5,15,20,30,45,60,75,105,115,150,200,225,250,600}))/(LOOKUP(M457,{12.5,15,20,30,45,60,75,105,115,150,200,225,250,600,1000},{15,20,30,45,60,75,105,115,150,200,225,250,600,1000,1000})-LOOKUP(M457,{12.5,15,20,30,45,60,75,105,115,150,200,225,250,600},{12.5,15,20,30,45,60,75,105,115,150,200,225,250,600}))*(LOOKUP(M457,{12.5,15,20,30,45,60,75,105,115,150,200,225,250,600,1000},{55,60,62,65,68,70,72,75,80,82,85,87,90,95,95})-LOOKUP(M457,{12.5,15,20,30,45,60,75,105,115,150,200,225,250,600,1000},{50,55,60,62,65,68,70,72,75,80,82,85,87,90,95})))))</f>
        <v>62</v>
      </c>
      <c r="P457" s="2">
        <f t="shared" si="38"/>
        <v>6</v>
      </c>
      <c r="Q457" s="2">
        <f t="shared" si="39"/>
        <v>3</v>
      </c>
    </row>
    <row r="458" customHeight="1" spans="1:17">
      <c r="A458" s="2">
        <v>2026</v>
      </c>
      <c r="B458" s="2">
        <v>457</v>
      </c>
      <c r="C458" s="17">
        <f t="shared" si="37"/>
        <v>68.4</v>
      </c>
      <c r="D458" s="2" t="s">
        <v>780</v>
      </c>
      <c r="E458" s="9">
        <v>71</v>
      </c>
      <c r="F458" s="12">
        <v>63</v>
      </c>
      <c r="G458" s="2">
        <v>56</v>
      </c>
      <c r="H458" s="2" t="s">
        <v>76</v>
      </c>
      <c r="I458" s="2" t="s">
        <v>28</v>
      </c>
      <c r="J458" s="4" t="s">
        <v>24</v>
      </c>
      <c r="K458" s="2" t="s">
        <v>360</v>
      </c>
      <c r="M458" s="2">
        <f t="shared" si="35"/>
        <v>75</v>
      </c>
      <c r="N458" s="2">
        <f t="shared" si="36"/>
        <v>67.9</v>
      </c>
      <c r="O458" s="2">
        <f>IF(M458="","",IF(M458&gt;=1000,95,IF(M458&lt;=12.5,50,LOOKUP(M458,{12.5,15,20,30,45,60,75,105,115,150,200,225,250,600,1000},{50,55,60,62,65,68,70,72,75,80,82,85,87,90,95})+(M458-LOOKUP(M458,{12.5,15,20,30,45,60,75,105,115,150,200,225,250,600},{12.5,15,20,30,45,60,75,105,115,150,200,225,250,600}))/(LOOKUP(M458,{12.5,15,20,30,45,60,75,105,115,150,200,225,250,600,1000},{15,20,30,45,60,75,105,115,150,200,225,250,600,1000,1000})-LOOKUP(M458,{12.5,15,20,30,45,60,75,105,115,150,200,225,250,600},{12.5,15,20,30,45,60,75,105,115,150,200,225,250,600}))*(LOOKUP(M458,{12.5,15,20,30,45,60,75,105,115,150,200,225,250,600,1000},{55,60,62,65,68,70,72,75,80,82,85,87,90,95,95})-LOOKUP(M458,{12.5,15,20,30,45,60,75,105,115,150,200,225,250,600,1000},{50,55,60,62,65,68,70,72,75,80,82,85,87,90,95})))))</f>
        <v>70</v>
      </c>
      <c r="P458" s="2">
        <f t="shared" si="38"/>
        <v>1</v>
      </c>
      <c r="Q458" s="2">
        <f t="shared" si="39"/>
        <v>0.5</v>
      </c>
    </row>
    <row r="459" customHeight="1" spans="1:17">
      <c r="A459" s="2">
        <v>2026</v>
      </c>
      <c r="B459" s="2">
        <v>458</v>
      </c>
      <c r="C459" s="17">
        <f t="shared" si="37"/>
        <v>68.3</v>
      </c>
      <c r="D459" s="2" t="s">
        <v>781</v>
      </c>
      <c r="E459" s="9">
        <v>72</v>
      </c>
      <c r="F459" s="10">
        <v>85</v>
      </c>
      <c r="G459" s="2">
        <v>59</v>
      </c>
      <c r="H459" s="2" t="s">
        <v>41</v>
      </c>
      <c r="I459" s="2" t="s">
        <v>183</v>
      </c>
      <c r="J459" s="4" t="s">
        <v>51</v>
      </c>
      <c r="M459" s="2">
        <f t="shared" si="35"/>
        <v>200</v>
      </c>
      <c r="N459" s="2">
        <f t="shared" si="36"/>
        <v>73.3</v>
      </c>
      <c r="O459" s="2">
        <f>IF(M459="","",IF(M459&gt;=1000,95,IF(M459&lt;=12.5,50,LOOKUP(M459,{12.5,15,20,30,45,60,75,105,115,150,200,225,250,600,1000},{50,55,60,62,65,68,70,72,75,80,82,85,87,90,95})+(M459-LOOKUP(M459,{12.5,15,20,30,45,60,75,105,115,150,200,225,250,600},{12.5,15,20,30,45,60,75,105,115,150,200,225,250,600}))/(LOOKUP(M459,{12.5,15,20,30,45,60,75,105,115,150,200,225,250,600,1000},{15,20,30,45,60,75,105,115,150,200,225,250,600,1000,1000})-LOOKUP(M459,{12.5,15,20,30,45,60,75,105,115,150,200,225,250,600},{12.5,15,20,30,45,60,75,105,115,150,200,225,250,600}))*(LOOKUP(M459,{12.5,15,20,30,45,60,75,105,115,150,200,225,250,600,1000},{55,60,62,65,68,70,72,75,80,82,85,87,90,95,95})-LOOKUP(M459,{12.5,15,20,30,45,60,75,105,115,150,200,225,250,600,1000},{50,55,60,62,65,68,70,72,75,80,82,85,87,90,95})))))</f>
        <v>82</v>
      </c>
      <c r="P459" s="2">
        <f t="shared" si="38"/>
        <v>-10</v>
      </c>
      <c r="Q459" s="2">
        <f t="shared" si="39"/>
        <v>-5</v>
      </c>
    </row>
    <row r="460" customHeight="1" spans="1:17">
      <c r="B460" s="2">
        <v>459</v>
      </c>
      <c r="C460" s="17">
        <f t="shared" si="37"/>
        <v>68.3</v>
      </c>
      <c r="D460" s="2" t="s">
        <v>782</v>
      </c>
      <c r="E460" s="9">
        <v>70</v>
      </c>
      <c r="F460" s="9">
        <v>74</v>
      </c>
      <c r="G460" s="9">
        <v>70</v>
      </c>
      <c r="H460" s="2" t="s">
        <v>37</v>
      </c>
      <c r="I460" s="2" t="s">
        <v>104</v>
      </c>
      <c r="J460" s="4" t="s">
        <v>148</v>
      </c>
      <c r="M460" s="2">
        <f t="shared" si="35"/>
        <v>115</v>
      </c>
      <c r="N460" s="2">
        <f t="shared" si="36"/>
        <v>70.8</v>
      </c>
      <c r="O460" s="2">
        <f>IF(M460="","",IF(M460&gt;=1000,95,IF(M460&lt;=12.5,50,LOOKUP(M460,{12.5,15,20,30,45,60,75,105,115,150,200,225,250,600,1000},{50,55,60,62,65,68,70,72,75,80,82,85,87,90,95})+(M460-LOOKUP(M460,{12.5,15,20,30,45,60,75,105,115,150,200,225,250,600},{12.5,15,20,30,45,60,75,105,115,150,200,225,250,600}))/(LOOKUP(M460,{12.5,15,20,30,45,60,75,105,115,150,200,225,250,600,1000},{15,20,30,45,60,75,105,115,150,200,225,250,600,1000,1000})-LOOKUP(M460,{12.5,15,20,30,45,60,75,105,115,150,200,225,250,600},{12.5,15,20,30,45,60,75,105,115,150,200,225,250,600}))*(LOOKUP(M460,{12.5,15,20,30,45,60,75,105,115,150,200,225,250,600,1000},{55,60,62,65,68,70,72,75,80,82,85,87,90,95,95})-LOOKUP(M460,{12.5,15,20,30,45,60,75,105,115,150,200,225,250,600,1000},{50,55,60,62,65,68,70,72,75,80,82,85,87,90,95})))))</f>
        <v>75</v>
      </c>
      <c r="P460" s="2">
        <f t="shared" si="38"/>
        <v>-5</v>
      </c>
      <c r="Q460" s="2">
        <f t="shared" si="39"/>
        <v>-2.5</v>
      </c>
    </row>
    <row r="461" customHeight="1" spans="1:17">
      <c r="B461" s="2">
        <v>460</v>
      </c>
      <c r="C461" s="17">
        <f t="shared" si="37"/>
        <v>68.3</v>
      </c>
      <c r="D461" s="2" t="s">
        <v>783</v>
      </c>
      <c r="E461" s="9">
        <v>73</v>
      </c>
      <c r="F461" s="12">
        <v>60</v>
      </c>
      <c r="G461" s="2">
        <v>47</v>
      </c>
      <c r="H461" s="2" t="s">
        <v>22</v>
      </c>
      <c r="I461" s="2" t="s">
        <v>183</v>
      </c>
      <c r="J461" s="4" t="s">
        <v>105</v>
      </c>
      <c r="M461" s="2">
        <f t="shared" si="35"/>
        <v>105</v>
      </c>
      <c r="N461" s="2">
        <f t="shared" si="36"/>
        <v>67.8</v>
      </c>
      <c r="O461" s="2">
        <f>IF(M461="","",IF(M461&gt;=1000,95,IF(M461&lt;=12.5,50,LOOKUP(M461,{12.5,15,20,30,45,60,75,105,115,150,200,225,250,600,1000},{50,55,60,62,65,68,70,72,75,80,82,85,87,90,95})+(M461-LOOKUP(M461,{12.5,15,20,30,45,60,75,105,115,150,200,225,250,600},{12.5,15,20,30,45,60,75,105,115,150,200,225,250,600}))/(LOOKUP(M461,{12.5,15,20,30,45,60,75,105,115,150,200,225,250,600,1000},{15,20,30,45,60,75,105,115,150,200,225,250,600,1000,1000})-LOOKUP(M461,{12.5,15,20,30,45,60,75,105,115,150,200,225,250,600},{12.5,15,20,30,45,60,75,105,115,150,200,225,250,600}))*(LOOKUP(M461,{12.5,15,20,30,45,60,75,105,115,150,200,225,250,600,1000},{55,60,62,65,68,70,72,75,80,82,85,87,90,95,95})-LOOKUP(M461,{12.5,15,20,30,45,60,75,105,115,150,200,225,250,600,1000},{50,55,60,62,65,68,70,72,75,80,82,85,87,90,95})))))</f>
        <v>72</v>
      </c>
      <c r="P461" s="2">
        <f t="shared" si="38"/>
        <v>1</v>
      </c>
      <c r="Q461" s="2">
        <f t="shared" si="39"/>
        <v>0.5</v>
      </c>
    </row>
    <row r="462" customHeight="1" spans="1:17">
      <c r="A462" s="2">
        <v>2026</v>
      </c>
      <c r="B462" s="2">
        <v>461</v>
      </c>
      <c r="C462" s="17">
        <f t="shared" si="37"/>
        <v>68.3</v>
      </c>
      <c r="D462" s="2" t="s">
        <v>784</v>
      </c>
      <c r="E462" s="12">
        <v>69</v>
      </c>
      <c r="F462" s="2">
        <v>57</v>
      </c>
      <c r="G462" s="2">
        <v>41</v>
      </c>
      <c r="H462" s="2" t="s">
        <v>54</v>
      </c>
      <c r="I462" s="2" t="s">
        <v>28</v>
      </c>
      <c r="J462" s="4" t="s">
        <v>140</v>
      </c>
      <c r="M462" s="2">
        <f t="shared" si="35"/>
        <v>20</v>
      </c>
      <c r="N462" s="2">
        <f t="shared" si="36"/>
        <v>63.8</v>
      </c>
      <c r="O462" s="2">
        <f>IF(M462="","",IF(M462&gt;=1000,95,IF(M462&lt;=12.5,50,LOOKUP(M462,{12.5,15,20,30,45,60,75,105,115,150,200,225,250,600,1000},{50,55,60,62,65,68,70,72,75,80,82,85,87,90,95})+(M462-LOOKUP(M462,{12.5,15,20,30,45,60,75,105,115,150,200,225,250,600},{12.5,15,20,30,45,60,75,105,115,150,200,225,250,600}))/(LOOKUP(M462,{12.5,15,20,30,45,60,75,105,115,150,200,225,250,600,1000},{15,20,30,45,60,75,105,115,150,200,225,250,600,1000,1000})-LOOKUP(M462,{12.5,15,20,30,45,60,75,105,115,150,200,225,250,600},{12.5,15,20,30,45,60,75,105,115,150,200,225,250,600}))*(LOOKUP(M462,{12.5,15,20,30,45,60,75,105,115,150,200,225,250,600,1000},{55,60,62,65,68,70,72,75,80,82,85,87,90,95,95})-LOOKUP(M462,{12.5,15,20,30,45,60,75,105,115,150,200,225,250,600,1000},{50,55,60,62,65,68,70,72,75,80,82,85,87,90,95})))))</f>
        <v>60</v>
      </c>
      <c r="P462" s="2">
        <f t="shared" si="38"/>
        <v>9</v>
      </c>
      <c r="Q462" s="2">
        <f t="shared" si="39"/>
        <v>4.5</v>
      </c>
    </row>
    <row r="463" customHeight="1" spans="1:17">
      <c r="B463" s="2">
        <v>462</v>
      </c>
      <c r="C463" s="17">
        <f t="shared" si="37"/>
        <v>68.2</v>
      </c>
      <c r="D463" s="2" t="s">
        <v>785</v>
      </c>
      <c r="E463" s="9">
        <v>74</v>
      </c>
      <c r="F463" s="12">
        <v>65</v>
      </c>
      <c r="G463" s="12">
        <v>64</v>
      </c>
      <c r="H463" s="2" t="s">
        <v>37</v>
      </c>
      <c r="I463" s="2" t="s">
        <v>104</v>
      </c>
      <c r="J463" s="4" t="s">
        <v>59</v>
      </c>
      <c r="M463" s="2">
        <f t="shared" si="35"/>
        <v>150</v>
      </c>
      <c r="N463" s="2">
        <f t="shared" si="36"/>
        <v>71.2</v>
      </c>
      <c r="O463" s="2">
        <f>IF(M463="","",IF(M463&gt;=1000,95,IF(M463&lt;=12.5,50,LOOKUP(M463,{12.5,15,20,30,45,60,75,105,115,150,200,225,250,600,1000},{50,55,60,62,65,68,70,72,75,80,82,85,87,90,95})+(M463-LOOKUP(M463,{12.5,15,20,30,45,60,75,105,115,150,200,225,250,600},{12.5,15,20,30,45,60,75,105,115,150,200,225,250,600}))/(LOOKUP(M463,{12.5,15,20,30,45,60,75,105,115,150,200,225,250,600,1000},{15,20,30,45,60,75,105,115,150,200,225,250,600,1000,1000})-LOOKUP(M463,{12.5,15,20,30,45,60,75,105,115,150,200,225,250,600},{12.5,15,20,30,45,60,75,105,115,150,200,225,250,600}))*(LOOKUP(M463,{12.5,15,20,30,45,60,75,105,115,150,200,225,250,600,1000},{55,60,62,65,68,70,72,75,80,82,85,87,90,95,95})-LOOKUP(M463,{12.5,15,20,30,45,60,75,105,115,150,200,225,250,600,1000},{50,55,60,62,65,68,70,72,75,80,82,85,87,90,95})))))</f>
        <v>80</v>
      </c>
      <c r="P463" s="2">
        <f t="shared" si="38"/>
        <v>-6</v>
      </c>
      <c r="Q463" s="2">
        <f t="shared" si="39"/>
        <v>-3</v>
      </c>
    </row>
    <row r="464" customHeight="1" spans="1:17">
      <c r="A464" s="2">
        <v>2026</v>
      </c>
      <c r="B464" s="2">
        <v>463</v>
      </c>
      <c r="C464" s="17">
        <f t="shared" si="37"/>
        <v>68.2</v>
      </c>
      <c r="D464" s="2" t="s">
        <v>786</v>
      </c>
      <c r="E464" s="9">
        <v>70</v>
      </c>
      <c r="F464" s="12">
        <v>64</v>
      </c>
      <c r="G464" s="2">
        <v>54</v>
      </c>
      <c r="H464" s="2" t="s">
        <v>347</v>
      </c>
      <c r="I464" s="2" t="s">
        <v>604</v>
      </c>
      <c r="J464" s="4" t="s">
        <v>34</v>
      </c>
      <c r="K464" s="2" t="s">
        <v>787</v>
      </c>
      <c r="M464" s="2">
        <f t="shared" si="35"/>
        <v>60</v>
      </c>
      <c r="N464" s="2">
        <f t="shared" si="36"/>
        <v>67.2</v>
      </c>
      <c r="O464" s="2">
        <f>IF(M464="","",IF(M464&gt;=1000,95,IF(M464&lt;=12.5,50,LOOKUP(M464,{12.5,15,20,30,45,60,75,105,115,150,200,225,250,600,1000},{50,55,60,62,65,68,70,72,75,80,82,85,87,90,95})+(M464-LOOKUP(M464,{12.5,15,20,30,45,60,75,105,115,150,200,225,250,600},{12.5,15,20,30,45,60,75,105,115,150,200,225,250,600}))/(LOOKUP(M464,{12.5,15,20,30,45,60,75,105,115,150,200,225,250,600,1000},{15,20,30,45,60,75,105,115,150,200,225,250,600,1000,1000})-LOOKUP(M464,{12.5,15,20,30,45,60,75,105,115,150,200,225,250,600},{12.5,15,20,30,45,60,75,105,115,150,200,225,250,600}))*(LOOKUP(M464,{12.5,15,20,30,45,60,75,105,115,150,200,225,250,600,1000},{55,60,62,65,68,70,72,75,80,82,85,87,90,95,95})-LOOKUP(M464,{12.5,15,20,30,45,60,75,105,115,150,200,225,250,600,1000},{50,55,60,62,65,68,70,72,75,80,82,85,87,90,95})))))</f>
        <v>68</v>
      </c>
      <c r="P464" s="2">
        <f t="shared" si="38"/>
        <v>2</v>
      </c>
      <c r="Q464" s="2">
        <f t="shared" si="39"/>
        <v>1</v>
      </c>
    </row>
    <row r="465" customHeight="1" spans="1:17">
      <c r="B465" s="2">
        <v>464</v>
      </c>
      <c r="C465" s="17">
        <f t="shared" si="37"/>
        <v>68.1</v>
      </c>
      <c r="D465" s="2" t="s">
        <v>788</v>
      </c>
      <c r="E465" s="9">
        <v>71</v>
      </c>
      <c r="F465" s="2">
        <v>59</v>
      </c>
      <c r="G465" s="12">
        <v>61</v>
      </c>
      <c r="H465" s="2" t="s">
        <v>41</v>
      </c>
      <c r="I465" s="2" t="s">
        <v>23</v>
      </c>
      <c r="J465" s="4" t="s">
        <v>24</v>
      </c>
      <c r="M465" s="2">
        <f t="shared" si="35"/>
        <v>75</v>
      </c>
      <c r="N465" s="2">
        <f t="shared" si="36"/>
        <v>67.6</v>
      </c>
      <c r="O465" s="2">
        <f>IF(M465="","",IF(M465&gt;=1000,95,IF(M465&lt;=12.5,50,LOOKUP(M465,{12.5,15,20,30,45,60,75,105,115,150,200,225,250,600,1000},{50,55,60,62,65,68,70,72,75,80,82,85,87,90,95})+(M465-LOOKUP(M465,{12.5,15,20,30,45,60,75,105,115,150,200,225,250,600},{12.5,15,20,30,45,60,75,105,115,150,200,225,250,600}))/(LOOKUP(M465,{12.5,15,20,30,45,60,75,105,115,150,200,225,250,600,1000},{15,20,30,45,60,75,105,115,150,200,225,250,600,1000,1000})-LOOKUP(M465,{12.5,15,20,30,45,60,75,105,115,150,200,225,250,600},{12.5,15,20,30,45,60,75,105,115,150,200,225,250,600}))*(LOOKUP(M465,{12.5,15,20,30,45,60,75,105,115,150,200,225,250,600,1000},{55,60,62,65,68,70,72,75,80,82,85,87,90,95,95})-LOOKUP(M465,{12.5,15,20,30,45,60,75,105,115,150,200,225,250,600,1000},{50,55,60,62,65,68,70,72,75,80,82,85,87,90,95})))))</f>
        <v>70</v>
      </c>
      <c r="P465" s="2">
        <f t="shared" si="38"/>
        <v>1</v>
      </c>
      <c r="Q465" s="2">
        <f t="shared" si="39"/>
        <v>0.5</v>
      </c>
    </row>
    <row r="466" customHeight="1" spans="1:17">
      <c r="A466" s="2">
        <v>2026</v>
      </c>
      <c r="B466" s="2">
        <v>465</v>
      </c>
      <c r="C466" s="17">
        <f t="shared" si="37"/>
        <v>68.1</v>
      </c>
      <c r="D466" s="2" t="s">
        <v>789</v>
      </c>
      <c r="E466" s="12">
        <v>69</v>
      </c>
      <c r="F466" s="2">
        <v>53</v>
      </c>
      <c r="G466" s="2">
        <v>47</v>
      </c>
      <c r="H466" s="2" t="s">
        <v>41</v>
      </c>
      <c r="I466" s="2" t="s">
        <v>63</v>
      </c>
      <c r="J466" s="4" t="s">
        <v>140</v>
      </c>
      <c r="M466" s="2">
        <f t="shared" si="35"/>
        <v>20</v>
      </c>
      <c r="N466" s="2">
        <f t="shared" si="36"/>
        <v>63.6</v>
      </c>
      <c r="O466" s="2">
        <f>IF(M466="","",IF(M466&gt;=1000,95,IF(M466&lt;=12.5,50,LOOKUP(M466,{12.5,15,20,30,45,60,75,105,115,150,200,225,250,600,1000},{50,55,60,62,65,68,70,72,75,80,82,85,87,90,95})+(M466-LOOKUP(M466,{12.5,15,20,30,45,60,75,105,115,150,200,225,250,600},{12.5,15,20,30,45,60,75,105,115,150,200,225,250,600}))/(LOOKUP(M466,{12.5,15,20,30,45,60,75,105,115,150,200,225,250,600,1000},{15,20,30,45,60,75,105,115,150,200,225,250,600,1000,1000})-LOOKUP(M466,{12.5,15,20,30,45,60,75,105,115,150,200,225,250,600},{12.5,15,20,30,45,60,75,105,115,150,200,225,250,600}))*(LOOKUP(M466,{12.5,15,20,30,45,60,75,105,115,150,200,225,250,600,1000},{55,60,62,65,68,70,72,75,80,82,85,87,90,95,95})-LOOKUP(M466,{12.5,15,20,30,45,60,75,105,115,150,200,225,250,600,1000},{50,55,60,62,65,68,70,72,75,80,82,85,87,90,95})))))</f>
        <v>60</v>
      </c>
      <c r="P466" s="2">
        <f t="shared" si="38"/>
        <v>9</v>
      </c>
      <c r="Q466" s="2">
        <f t="shared" si="39"/>
        <v>4.5</v>
      </c>
    </row>
    <row r="467" customHeight="1" spans="1:17">
      <c r="B467" s="2">
        <v>466</v>
      </c>
      <c r="C467" s="17">
        <f t="shared" si="37"/>
        <v>68.1</v>
      </c>
      <c r="D467" s="2" t="s">
        <v>790</v>
      </c>
      <c r="E467" s="9">
        <v>73</v>
      </c>
      <c r="F467" s="2">
        <v>45</v>
      </c>
      <c r="G467" s="2">
        <v>40</v>
      </c>
      <c r="H467" s="2" t="s">
        <v>113</v>
      </c>
      <c r="I467" s="2" t="s">
        <v>33</v>
      </c>
      <c r="J467" s="4" t="s">
        <v>38</v>
      </c>
      <c r="M467" s="2">
        <f t="shared" si="35"/>
        <v>45</v>
      </c>
      <c r="N467" s="2">
        <f t="shared" si="36"/>
        <v>64.1</v>
      </c>
      <c r="O467" s="2">
        <f>IF(M467="","",IF(M467&gt;=1000,95,IF(M467&lt;=12.5,50,LOOKUP(M467,{12.5,15,20,30,45,60,75,105,115,150,200,225,250,600,1000},{50,55,60,62,65,68,70,72,75,80,82,85,87,90,95})+(M467-LOOKUP(M467,{12.5,15,20,30,45,60,75,105,115,150,200,225,250,600},{12.5,15,20,30,45,60,75,105,115,150,200,225,250,600}))/(LOOKUP(M467,{12.5,15,20,30,45,60,75,105,115,150,200,225,250,600,1000},{15,20,30,45,60,75,105,115,150,200,225,250,600,1000,1000})-LOOKUP(M467,{12.5,15,20,30,45,60,75,105,115,150,200,225,250,600},{12.5,15,20,30,45,60,75,105,115,150,200,225,250,600}))*(LOOKUP(M467,{12.5,15,20,30,45,60,75,105,115,150,200,225,250,600,1000},{55,60,62,65,68,70,72,75,80,82,85,87,90,95,95})-LOOKUP(M467,{12.5,15,20,30,45,60,75,105,115,150,200,225,250,600,1000},{50,55,60,62,65,68,70,72,75,80,82,85,87,90,95})))))</f>
        <v>65</v>
      </c>
      <c r="P467" s="2">
        <f t="shared" si="38"/>
        <v>8</v>
      </c>
      <c r="Q467" s="2">
        <f t="shared" si="39"/>
        <v>4</v>
      </c>
    </row>
    <row r="468" customHeight="1" spans="1:17">
      <c r="A468" s="2">
        <v>2026</v>
      </c>
      <c r="B468" s="2">
        <v>467</v>
      </c>
      <c r="C468" s="17">
        <f t="shared" si="37"/>
        <v>68</v>
      </c>
      <c r="D468" s="2" t="s">
        <v>791</v>
      </c>
      <c r="E468" s="9">
        <v>74</v>
      </c>
      <c r="F468" s="10">
        <v>82</v>
      </c>
      <c r="G468" s="12">
        <v>68</v>
      </c>
      <c r="H468" s="2" t="s">
        <v>41</v>
      </c>
      <c r="I468" s="2" t="s">
        <v>305</v>
      </c>
      <c r="J468" s="4" t="s">
        <v>73</v>
      </c>
      <c r="M468" s="2">
        <f t="shared" si="35"/>
        <v>600</v>
      </c>
      <c r="N468" s="2">
        <f t="shared" si="36"/>
        <v>75</v>
      </c>
      <c r="O468" s="2">
        <f>IF(M468="","",IF(M468&gt;=1000,95,IF(M468&lt;=12.5,50,LOOKUP(M468,{12.5,15,20,30,45,60,75,105,115,150,200,225,250,600,1000},{50,55,60,62,65,68,70,72,75,80,82,85,87,90,95})+(M468-LOOKUP(M468,{12.5,15,20,30,45,60,75,105,115,150,200,225,250,600},{12.5,15,20,30,45,60,75,105,115,150,200,225,250,600}))/(LOOKUP(M468,{12.5,15,20,30,45,60,75,105,115,150,200,225,250,600,1000},{15,20,30,45,60,75,105,115,150,200,225,250,600,1000,1000})-LOOKUP(M468,{12.5,15,20,30,45,60,75,105,115,150,200,225,250,600},{12.5,15,20,30,45,60,75,105,115,150,200,225,250,600}))*(LOOKUP(M468,{12.5,15,20,30,45,60,75,105,115,150,200,225,250,600,1000},{55,60,62,65,68,70,72,75,80,82,85,87,90,95,95})-LOOKUP(M468,{12.5,15,20,30,45,60,75,105,115,150,200,225,250,600,1000},{50,55,60,62,65,68,70,72,75,80,82,85,87,90,95})))))</f>
        <v>90</v>
      </c>
      <c r="P468" s="2">
        <f t="shared" si="38"/>
        <v>-16</v>
      </c>
      <c r="Q468" s="2">
        <f t="shared" si="39"/>
        <v>-7</v>
      </c>
    </row>
    <row r="469" customHeight="1" spans="1:17">
      <c r="A469" s="2">
        <v>2026</v>
      </c>
      <c r="B469" s="2">
        <v>468</v>
      </c>
      <c r="C469" s="17">
        <f t="shared" si="37"/>
        <v>68</v>
      </c>
      <c r="D469" s="2" t="s">
        <v>792</v>
      </c>
      <c r="E469" s="9">
        <v>72</v>
      </c>
      <c r="F469" s="10">
        <v>82</v>
      </c>
      <c r="G469" s="9">
        <v>72</v>
      </c>
      <c r="H469" s="2" t="s">
        <v>91</v>
      </c>
      <c r="I469" s="2" t="s">
        <v>350</v>
      </c>
      <c r="J469" s="4" t="s">
        <v>19</v>
      </c>
      <c r="M469" s="2">
        <f t="shared" si="35"/>
        <v>225</v>
      </c>
      <c r="N469" s="2">
        <f t="shared" si="36"/>
        <v>74</v>
      </c>
      <c r="O469" s="2">
        <f>IF(M469="","",IF(M469&gt;=1000,95,IF(M469&lt;=12.5,50,LOOKUP(M469,{12.5,15,20,30,45,60,75,105,115,150,200,225,250,600,1000},{50,55,60,62,65,68,70,72,75,80,82,85,87,90,95})+(M469-LOOKUP(M469,{12.5,15,20,30,45,60,75,105,115,150,200,225,250,600},{12.5,15,20,30,45,60,75,105,115,150,200,225,250,600}))/(LOOKUP(M469,{12.5,15,20,30,45,60,75,105,115,150,200,225,250,600,1000},{15,20,30,45,60,75,105,115,150,200,225,250,600,1000,1000})-LOOKUP(M469,{12.5,15,20,30,45,60,75,105,115,150,200,225,250,600},{12.5,15,20,30,45,60,75,105,115,150,200,225,250,600}))*(LOOKUP(M469,{12.5,15,20,30,45,60,75,105,115,150,200,225,250,600,1000},{55,60,62,65,68,70,72,75,80,82,85,87,90,95,95})-LOOKUP(M469,{12.5,15,20,30,45,60,75,105,115,150,200,225,250,600,1000},{50,55,60,62,65,68,70,72,75,80,82,85,87,90,95})))))</f>
        <v>85</v>
      </c>
      <c r="P469" s="2">
        <f t="shared" si="38"/>
        <v>-13</v>
      </c>
      <c r="Q469" s="2">
        <f t="shared" si="39"/>
        <v>-6</v>
      </c>
    </row>
    <row r="470" customHeight="1" spans="1:17">
      <c r="B470" s="2">
        <v>469</v>
      </c>
      <c r="C470" s="17">
        <f t="shared" si="37"/>
        <v>68</v>
      </c>
      <c r="D470" s="2" t="s">
        <v>793</v>
      </c>
      <c r="E470" s="9">
        <v>74</v>
      </c>
      <c r="F470" s="9">
        <v>78</v>
      </c>
      <c r="G470" s="9">
        <v>76</v>
      </c>
      <c r="H470" s="2" t="s">
        <v>300</v>
      </c>
      <c r="I470" s="2" t="s">
        <v>50</v>
      </c>
      <c r="J470" s="4" t="s">
        <v>73</v>
      </c>
      <c r="K470" s="2" t="s">
        <v>794</v>
      </c>
      <c r="M470" s="2">
        <f t="shared" si="35"/>
        <v>600</v>
      </c>
      <c r="N470" s="2">
        <f t="shared" si="36"/>
        <v>75</v>
      </c>
      <c r="O470" s="2">
        <f>IF(M470="","",IF(M470&gt;=1000,95,IF(M470&lt;=12.5,50,LOOKUP(M470,{12.5,15,20,30,45,60,75,105,115,150,200,225,250,600,1000},{50,55,60,62,65,68,70,72,75,80,82,85,87,90,95})+(M470-LOOKUP(M470,{12.5,15,20,30,45,60,75,105,115,150,200,225,250,600},{12.5,15,20,30,45,60,75,105,115,150,200,225,250,600}))/(LOOKUP(M470,{12.5,15,20,30,45,60,75,105,115,150,200,225,250,600,1000},{15,20,30,45,60,75,105,115,150,200,225,250,600,1000,1000})-LOOKUP(M470,{12.5,15,20,30,45,60,75,105,115,150,200,225,250,600},{12.5,15,20,30,45,60,75,105,115,150,200,225,250,600}))*(LOOKUP(M470,{12.5,15,20,30,45,60,75,105,115,150,200,225,250,600,1000},{55,60,62,65,68,70,72,75,80,82,85,87,90,95,95})-LOOKUP(M470,{12.5,15,20,30,45,60,75,105,115,150,200,225,250,600,1000},{50,55,60,62,65,68,70,72,75,80,82,85,87,90,95})))))</f>
        <v>90</v>
      </c>
      <c r="P470" s="2">
        <f t="shared" si="38"/>
        <v>-16</v>
      </c>
      <c r="Q470" s="2">
        <f t="shared" si="39"/>
        <v>-7</v>
      </c>
    </row>
    <row r="471" customHeight="1" spans="1:17">
      <c r="B471" s="2">
        <v>470</v>
      </c>
      <c r="C471" s="17">
        <f t="shared" si="37"/>
        <v>67.9</v>
      </c>
      <c r="D471" s="2" t="s">
        <v>795</v>
      </c>
      <c r="E471" s="9">
        <v>70</v>
      </c>
      <c r="F471" s="12">
        <v>66</v>
      </c>
      <c r="G471" s="12">
        <v>67</v>
      </c>
      <c r="H471" s="2" t="s">
        <v>41</v>
      </c>
      <c r="I471" s="2" t="s">
        <v>104</v>
      </c>
      <c r="J471" s="4" t="s">
        <v>105</v>
      </c>
      <c r="K471" s="2" t="s">
        <v>796</v>
      </c>
      <c r="M471" s="2">
        <f t="shared" si="35"/>
        <v>105</v>
      </c>
      <c r="N471" s="2">
        <f t="shared" si="36"/>
        <v>68.9</v>
      </c>
      <c r="O471" s="2">
        <f>IF(M471="","",IF(M471&gt;=1000,95,IF(M471&lt;=12.5,50,LOOKUP(M471,{12.5,15,20,30,45,60,75,105,115,150,200,225,250,600,1000},{50,55,60,62,65,68,70,72,75,80,82,85,87,90,95})+(M471-LOOKUP(M471,{12.5,15,20,30,45,60,75,105,115,150,200,225,250,600},{12.5,15,20,30,45,60,75,105,115,150,200,225,250,600}))/(LOOKUP(M471,{12.5,15,20,30,45,60,75,105,115,150,200,225,250,600,1000},{15,20,30,45,60,75,105,115,150,200,225,250,600,1000,1000})-LOOKUP(M471,{12.5,15,20,30,45,60,75,105,115,150,200,225,250,600},{12.5,15,20,30,45,60,75,105,115,150,200,225,250,600}))*(LOOKUP(M471,{12.5,15,20,30,45,60,75,105,115,150,200,225,250,600,1000},{55,60,62,65,68,70,72,75,80,82,85,87,90,95,95})-LOOKUP(M471,{12.5,15,20,30,45,60,75,105,115,150,200,225,250,600,1000},{50,55,60,62,65,68,70,72,75,80,82,85,87,90,95})))))</f>
        <v>72</v>
      </c>
      <c r="P471" s="2">
        <f t="shared" si="38"/>
        <v>-2</v>
      </c>
      <c r="Q471" s="2">
        <f t="shared" si="39"/>
        <v>-1</v>
      </c>
    </row>
    <row r="472" customHeight="1" spans="1:17">
      <c r="A472" s="2">
        <v>2026</v>
      </c>
      <c r="B472" s="2">
        <v>471</v>
      </c>
      <c r="C472" s="17">
        <f t="shared" si="37"/>
        <v>67.9</v>
      </c>
      <c r="D472" s="2" t="s">
        <v>797</v>
      </c>
      <c r="E472" s="12">
        <v>69</v>
      </c>
      <c r="F472" s="12">
        <v>63</v>
      </c>
      <c r="G472" s="2">
        <v>50</v>
      </c>
      <c r="H472" s="2" t="s">
        <v>41</v>
      </c>
      <c r="I472" s="2" t="s">
        <v>63</v>
      </c>
      <c r="J472" s="4" t="s">
        <v>38</v>
      </c>
      <c r="M472" s="2">
        <f t="shared" si="35"/>
        <v>45</v>
      </c>
      <c r="N472" s="2">
        <f t="shared" si="36"/>
        <v>65.9</v>
      </c>
      <c r="O472" s="2">
        <f>IF(M472="","",IF(M472&gt;=1000,95,IF(M472&lt;=12.5,50,LOOKUP(M472,{12.5,15,20,30,45,60,75,105,115,150,200,225,250,600,1000},{50,55,60,62,65,68,70,72,75,80,82,85,87,90,95})+(M472-LOOKUP(M472,{12.5,15,20,30,45,60,75,105,115,150,200,225,250,600},{12.5,15,20,30,45,60,75,105,115,150,200,225,250,600}))/(LOOKUP(M472,{12.5,15,20,30,45,60,75,105,115,150,200,225,250,600,1000},{15,20,30,45,60,75,105,115,150,200,225,250,600,1000,1000})-LOOKUP(M472,{12.5,15,20,30,45,60,75,105,115,150,200,225,250,600},{12.5,15,20,30,45,60,75,105,115,150,200,225,250,600}))*(LOOKUP(M472,{12.5,15,20,30,45,60,75,105,115,150,200,225,250,600,1000},{55,60,62,65,68,70,72,75,80,82,85,87,90,95,95})-LOOKUP(M472,{12.5,15,20,30,45,60,75,105,115,150,200,225,250,600,1000},{50,55,60,62,65,68,70,72,75,80,82,85,87,90,95})))))</f>
        <v>65</v>
      </c>
      <c r="P472" s="2">
        <f t="shared" si="38"/>
        <v>4</v>
      </c>
      <c r="Q472" s="2">
        <f t="shared" si="39"/>
        <v>2</v>
      </c>
    </row>
    <row r="473" customHeight="1" spans="1:17">
      <c r="A473" s="2">
        <v>2026</v>
      </c>
      <c r="B473" s="2">
        <v>472</v>
      </c>
      <c r="C473" s="17">
        <f t="shared" si="37"/>
        <v>67.9</v>
      </c>
      <c r="D473" s="2" t="s">
        <v>798</v>
      </c>
      <c r="E473" s="12">
        <v>68</v>
      </c>
      <c r="F473" s="2">
        <v>58</v>
      </c>
      <c r="G473" s="2">
        <v>47</v>
      </c>
      <c r="H473" s="2" t="s">
        <v>54</v>
      </c>
      <c r="I473" s="2" t="s">
        <v>28</v>
      </c>
      <c r="J473" s="4" t="s">
        <v>140</v>
      </c>
      <c r="M473" s="2">
        <f t="shared" si="35"/>
        <v>20</v>
      </c>
      <c r="N473" s="2">
        <f t="shared" si="36"/>
        <v>63.9</v>
      </c>
      <c r="O473" s="2">
        <f>IF(M473="","",IF(M473&gt;=1000,95,IF(M473&lt;=12.5,50,LOOKUP(M473,{12.5,15,20,30,45,60,75,105,115,150,200,225,250,600,1000},{50,55,60,62,65,68,70,72,75,80,82,85,87,90,95})+(M473-LOOKUP(M473,{12.5,15,20,30,45,60,75,105,115,150,200,225,250,600},{12.5,15,20,30,45,60,75,105,115,150,200,225,250,600}))/(LOOKUP(M473,{12.5,15,20,30,45,60,75,105,115,150,200,225,250,600,1000},{15,20,30,45,60,75,105,115,150,200,225,250,600,1000,1000})-LOOKUP(M473,{12.5,15,20,30,45,60,75,105,115,150,200,225,250,600},{12.5,15,20,30,45,60,75,105,115,150,200,225,250,600}))*(LOOKUP(M473,{12.5,15,20,30,45,60,75,105,115,150,200,225,250,600,1000},{55,60,62,65,68,70,72,75,80,82,85,87,90,95,95})-LOOKUP(M473,{12.5,15,20,30,45,60,75,105,115,150,200,225,250,600,1000},{50,55,60,62,65,68,70,72,75,80,82,85,87,90,95})))))</f>
        <v>60</v>
      </c>
      <c r="P473" s="2">
        <f t="shared" si="38"/>
        <v>8</v>
      </c>
      <c r="Q473" s="2">
        <f t="shared" si="39"/>
        <v>4</v>
      </c>
    </row>
    <row r="474" customHeight="1" spans="1:17">
      <c r="A474" s="2">
        <v>2026</v>
      </c>
      <c r="B474" s="2">
        <v>473</v>
      </c>
      <c r="C474" s="17">
        <f t="shared" si="37"/>
        <v>67.9</v>
      </c>
      <c r="D474" s="2" t="s">
        <v>799</v>
      </c>
      <c r="E474" s="9">
        <v>76</v>
      </c>
      <c r="F474" s="10">
        <v>80</v>
      </c>
      <c r="G474" s="12">
        <v>67</v>
      </c>
      <c r="H474" s="2" t="s">
        <v>32</v>
      </c>
      <c r="I474" s="2" t="s">
        <v>50</v>
      </c>
      <c r="J474" s="4" t="s">
        <v>43</v>
      </c>
      <c r="M474" s="2">
        <f t="shared" si="35"/>
        <v>1000</v>
      </c>
      <c r="N474" s="2">
        <f t="shared" si="36"/>
        <v>75.9</v>
      </c>
      <c r="O474" s="2">
        <f>IF(M474="","",IF(M474&gt;=1000,95,IF(M474&lt;=12.5,50,LOOKUP(M474,{12.5,15,20,30,45,60,75,105,115,150,200,225,250,600,1000},{50,55,60,62,65,68,70,72,75,80,82,85,87,90,95})+(M474-LOOKUP(M474,{12.5,15,20,30,45,60,75,105,115,150,200,225,250,600},{12.5,15,20,30,45,60,75,105,115,150,200,225,250,600}))/(LOOKUP(M474,{12.5,15,20,30,45,60,75,105,115,150,200,225,250,600,1000},{15,20,30,45,60,75,105,115,150,200,225,250,600,1000,1000})-LOOKUP(M474,{12.5,15,20,30,45,60,75,105,115,150,200,225,250,600},{12.5,15,20,30,45,60,75,105,115,150,200,225,250,600}))*(LOOKUP(M474,{12.5,15,20,30,45,60,75,105,115,150,200,225,250,600,1000},{55,60,62,65,68,70,72,75,80,82,85,87,90,95,95})-LOOKUP(M474,{12.5,15,20,30,45,60,75,105,115,150,200,225,250,600,1000},{50,55,60,62,65,68,70,72,75,80,82,85,87,90,95})))))</f>
        <v>95</v>
      </c>
      <c r="P474" s="2">
        <f t="shared" si="38"/>
        <v>-19</v>
      </c>
      <c r="Q474" s="2">
        <f t="shared" si="39"/>
        <v>-8</v>
      </c>
    </row>
    <row r="475" customHeight="1" spans="1:17">
      <c r="A475" s="2">
        <v>2026</v>
      </c>
      <c r="B475" s="2">
        <v>474</v>
      </c>
      <c r="C475" s="17">
        <f t="shared" si="37"/>
        <v>67.83</v>
      </c>
      <c r="D475" s="2" t="s">
        <v>800</v>
      </c>
      <c r="E475" s="12">
        <v>66</v>
      </c>
      <c r="F475" s="12">
        <v>60</v>
      </c>
      <c r="G475" s="2">
        <v>43</v>
      </c>
      <c r="H475" s="2" t="s">
        <v>54</v>
      </c>
      <c r="I475" s="2" t="s">
        <v>28</v>
      </c>
      <c r="J475" s="4" t="s">
        <v>29</v>
      </c>
      <c r="M475" s="2">
        <f t="shared" si="35"/>
        <v>15</v>
      </c>
      <c r="N475" s="2">
        <f t="shared" si="36"/>
        <v>62.5</v>
      </c>
      <c r="O475" s="2">
        <f>IF(M475="","",IF(M475&gt;=1000,95,IF(M475&lt;=12.5,50,LOOKUP(M475,{12.5,15,20,30,45,60,75,105,115,150,200,225,250,600,1000},{50,55,60,62,65,68,70,72,75,80,82,85,87,90,95})+(M475-LOOKUP(M475,{12.5,15,20,30,45,60,75,105,115,150,200,225,250,600},{12.5,15,20,30,45,60,75,105,115,150,200,225,250,600}))/(LOOKUP(M475,{12.5,15,20,30,45,60,75,105,115,150,200,225,250,600,1000},{15,20,30,45,60,75,105,115,150,200,225,250,600,1000,1000})-LOOKUP(M475,{12.5,15,20,30,45,60,75,105,115,150,200,225,250,600},{12.5,15,20,30,45,60,75,105,115,150,200,225,250,600}))*(LOOKUP(M475,{12.5,15,20,30,45,60,75,105,115,150,200,225,250,600,1000},{55,60,62,65,68,70,72,75,80,82,85,87,90,95,95})-LOOKUP(M475,{12.5,15,20,30,45,60,75,105,115,150,200,225,250,600,1000},{50,55,60,62,65,68,70,72,75,80,82,85,87,90,95})))))</f>
        <v>55</v>
      </c>
      <c r="P475" s="2">
        <f t="shared" si="38"/>
        <v>11</v>
      </c>
      <c r="Q475" s="2">
        <f t="shared" si="39"/>
        <v>5.33</v>
      </c>
    </row>
    <row r="476" customHeight="1" spans="1:17">
      <c r="A476" s="2">
        <v>2026</v>
      </c>
      <c r="B476" s="2">
        <v>475</v>
      </c>
      <c r="C476" s="17">
        <f t="shared" si="37"/>
        <v>67.8</v>
      </c>
      <c r="D476" s="2" t="s">
        <v>801</v>
      </c>
      <c r="E476" s="9">
        <v>70</v>
      </c>
      <c r="F476" s="12">
        <v>67</v>
      </c>
      <c r="G476" s="12">
        <v>64</v>
      </c>
      <c r="H476" s="2" t="s">
        <v>54</v>
      </c>
      <c r="I476" s="2" t="s">
        <v>612</v>
      </c>
      <c r="J476" s="4" t="s">
        <v>105</v>
      </c>
      <c r="M476" s="2">
        <f t="shared" si="35"/>
        <v>105</v>
      </c>
      <c r="N476" s="2">
        <f t="shared" si="36"/>
        <v>68.8</v>
      </c>
      <c r="O476" s="2">
        <f>IF(M476="","",IF(M476&gt;=1000,95,IF(M476&lt;=12.5,50,LOOKUP(M476,{12.5,15,20,30,45,60,75,105,115,150,200,225,250,600,1000},{50,55,60,62,65,68,70,72,75,80,82,85,87,90,95})+(M476-LOOKUP(M476,{12.5,15,20,30,45,60,75,105,115,150,200,225,250,600},{12.5,15,20,30,45,60,75,105,115,150,200,225,250,600}))/(LOOKUP(M476,{12.5,15,20,30,45,60,75,105,115,150,200,225,250,600,1000},{15,20,30,45,60,75,105,115,150,200,225,250,600,1000,1000})-LOOKUP(M476,{12.5,15,20,30,45,60,75,105,115,150,200,225,250,600},{12.5,15,20,30,45,60,75,105,115,150,200,225,250,600}))*(LOOKUP(M476,{12.5,15,20,30,45,60,75,105,115,150,200,225,250,600,1000},{55,60,62,65,68,70,72,75,80,82,85,87,90,95,95})-LOOKUP(M476,{12.5,15,20,30,45,60,75,105,115,150,200,225,250,600,1000},{50,55,60,62,65,68,70,72,75,80,82,85,87,90,95})))))</f>
        <v>72</v>
      </c>
      <c r="P476" s="2">
        <f t="shared" si="38"/>
        <v>-2</v>
      </c>
      <c r="Q476" s="2">
        <f t="shared" si="39"/>
        <v>-1</v>
      </c>
    </row>
    <row r="477" customHeight="1" spans="1:17">
      <c r="A477" s="2">
        <v>2026</v>
      </c>
      <c r="B477" s="2">
        <v>476</v>
      </c>
      <c r="C477" s="17">
        <f t="shared" si="37"/>
        <v>67.8</v>
      </c>
      <c r="D477" s="2" t="s">
        <v>802</v>
      </c>
      <c r="E477" s="12">
        <v>69</v>
      </c>
      <c r="F477" s="12">
        <v>60</v>
      </c>
      <c r="G477" s="2">
        <v>55</v>
      </c>
      <c r="H477" s="2" t="s">
        <v>54</v>
      </c>
      <c r="I477" s="2" t="s">
        <v>803</v>
      </c>
      <c r="J477" s="4" t="s">
        <v>38</v>
      </c>
      <c r="M477" s="2">
        <f t="shared" si="35"/>
        <v>45</v>
      </c>
      <c r="N477" s="2">
        <f t="shared" si="36"/>
        <v>65.8</v>
      </c>
      <c r="O477" s="2">
        <f>IF(M477="","",IF(M477&gt;=1000,95,IF(M477&lt;=12.5,50,LOOKUP(M477,{12.5,15,20,30,45,60,75,105,115,150,200,225,250,600,1000},{50,55,60,62,65,68,70,72,75,80,82,85,87,90,95})+(M477-LOOKUP(M477,{12.5,15,20,30,45,60,75,105,115,150,200,225,250,600},{12.5,15,20,30,45,60,75,105,115,150,200,225,250,600}))/(LOOKUP(M477,{12.5,15,20,30,45,60,75,105,115,150,200,225,250,600,1000},{15,20,30,45,60,75,105,115,150,200,225,250,600,1000,1000})-LOOKUP(M477,{12.5,15,20,30,45,60,75,105,115,150,200,225,250,600},{12.5,15,20,30,45,60,75,105,115,150,200,225,250,600}))*(LOOKUP(M477,{12.5,15,20,30,45,60,75,105,115,150,200,225,250,600,1000},{55,60,62,65,68,70,72,75,80,82,85,87,90,95,95})-LOOKUP(M477,{12.5,15,20,30,45,60,75,105,115,150,200,225,250,600,1000},{50,55,60,62,65,68,70,72,75,80,82,85,87,90,95})))))</f>
        <v>65</v>
      </c>
      <c r="P477" s="2">
        <f t="shared" si="38"/>
        <v>4</v>
      </c>
      <c r="Q477" s="2">
        <f t="shared" si="39"/>
        <v>2</v>
      </c>
    </row>
    <row r="478" customHeight="1" spans="1:17">
      <c r="B478" s="2">
        <v>477</v>
      </c>
      <c r="C478" s="17">
        <f t="shared" si="37"/>
        <v>67.8</v>
      </c>
      <c r="D478" s="2" t="s">
        <v>804</v>
      </c>
      <c r="E478" s="12">
        <v>68</v>
      </c>
      <c r="F478" s="12">
        <v>65</v>
      </c>
      <c r="G478" s="2">
        <v>57</v>
      </c>
      <c r="H478" s="2" t="s">
        <v>41</v>
      </c>
      <c r="I478" s="2" t="s">
        <v>28</v>
      </c>
      <c r="J478" s="4" t="s">
        <v>38</v>
      </c>
      <c r="M478" s="2">
        <f t="shared" si="35"/>
        <v>45</v>
      </c>
      <c r="N478" s="2">
        <f t="shared" si="36"/>
        <v>66.3</v>
      </c>
      <c r="O478" s="2">
        <f>IF(M478="","",IF(M478&gt;=1000,95,IF(M478&lt;=12.5,50,LOOKUP(M478,{12.5,15,20,30,45,60,75,105,115,150,200,225,250,600,1000},{50,55,60,62,65,68,70,72,75,80,82,85,87,90,95})+(M478-LOOKUP(M478,{12.5,15,20,30,45,60,75,105,115,150,200,225,250,600},{12.5,15,20,30,45,60,75,105,115,150,200,225,250,600}))/(LOOKUP(M478,{12.5,15,20,30,45,60,75,105,115,150,200,225,250,600,1000},{15,20,30,45,60,75,105,115,150,200,225,250,600,1000,1000})-LOOKUP(M478,{12.5,15,20,30,45,60,75,105,115,150,200,225,250,600},{12.5,15,20,30,45,60,75,105,115,150,200,225,250,600}))*(LOOKUP(M478,{12.5,15,20,30,45,60,75,105,115,150,200,225,250,600,1000},{55,60,62,65,68,70,72,75,80,82,85,87,90,95,95})-LOOKUP(M478,{12.5,15,20,30,45,60,75,105,115,150,200,225,250,600,1000},{50,55,60,62,65,68,70,72,75,80,82,85,87,90,95})))))</f>
        <v>65</v>
      </c>
      <c r="P478" s="2">
        <f t="shared" si="38"/>
        <v>3</v>
      </c>
      <c r="Q478" s="2">
        <f t="shared" si="39"/>
        <v>1.5</v>
      </c>
    </row>
    <row r="479" customHeight="1" spans="1:17">
      <c r="A479" s="2">
        <v>2026</v>
      </c>
      <c r="B479" s="2">
        <v>478</v>
      </c>
      <c r="C479" s="17">
        <f t="shared" si="37"/>
        <v>67.8</v>
      </c>
      <c r="D479" s="2" t="s">
        <v>805</v>
      </c>
      <c r="E479" s="12">
        <v>68</v>
      </c>
      <c r="F479" s="2">
        <v>58</v>
      </c>
      <c r="G479" s="2">
        <v>56</v>
      </c>
      <c r="H479" s="2" t="s">
        <v>54</v>
      </c>
      <c r="I479" s="2" t="s">
        <v>28</v>
      </c>
      <c r="J479" s="4" t="s">
        <v>88</v>
      </c>
      <c r="M479" s="2">
        <f t="shared" si="35"/>
        <v>30</v>
      </c>
      <c r="N479" s="2">
        <f t="shared" si="36"/>
        <v>64.8</v>
      </c>
      <c r="O479" s="2">
        <f>IF(M479="","",IF(M479&gt;=1000,95,IF(M479&lt;=12.5,50,LOOKUP(M479,{12.5,15,20,30,45,60,75,105,115,150,200,225,250,600,1000},{50,55,60,62,65,68,70,72,75,80,82,85,87,90,95})+(M479-LOOKUP(M479,{12.5,15,20,30,45,60,75,105,115,150,200,225,250,600},{12.5,15,20,30,45,60,75,105,115,150,200,225,250,600}))/(LOOKUP(M479,{12.5,15,20,30,45,60,75,105,115,150,200,225,250,600,1000},{15,20,30,45,60,75,105,115,150,200,225,250,600,1000,1000})-LOOKUP(M479,{12.5,15,20,30,45,60,75,105,115,150,200,225,250,600},{12.5,15,20,30,45,60,75,105,115,150,200,225,250,600}))*(LOOKUP(M479,{12.5,15,20,30,45,60,75,105,115,150,200,225,250,600,1000},{55,60,62,65,68,70,72,75,80,82,85,87,90,95,95})-LOOKUP(M479,{12.5,15,20,30,45,60,75,105,115,150,200,225,250,600,1000},{50,55,60,62,65,68,70,72,75,80,82,85,87,90,95})))))</f>
        <v>62</v>
      </c>
      <c r="P479" s="2">
        <f t="shared" si="38"/>
        <v>6</v>
      </c>
      <c r="Q479" s="2">
        <f t="shared" si="39"/>
        <v>3</v>
      </c>
    </row>
    <row r="480" customHeight="1" spans="1:17">
      <c r="B480" s="2">
        <v>479</v>
      </c>
      <c r="C480" s="17">
        <f t="shared" si="37"/>
        <v>67.8</v>
      </c>
      <c r="D480" s="2" t="s">
        <v>806</v>
      </c>
      <c r="E480" s="9">
        <v>71</v>
      </c>
      <c r="F480" s="2">
        <v>58</v>
      </c>
      <c r="G480" s="12">
        <v>60</v>
      </c>
      <c r="H480" s="2" t="s">
        <v>41</v>
      </c>
      <c r="I480" s="2" t="s">
        <v>28</v>
      </c>
      <c r="J480" s="4" t="s">
        <v>24</v>
      </c>
      <c r="M480" s="2">
        <f t="shared" si="35"/>
        <v>75</v>
      </c>
      <c r="N480" s="2">
        <f t="shared" si="36"/>
        <v>67.3</v>
      </c>
      <c r="O480" s="2">
        <f>IF(M480="","",IF(M480&gt;=1000,95,IF(M480&lt;=12.5,50,LOOKUP(M480,{12.5,15,20,30,45,60,75,105,115,150,200,225,250,600,1000},{50,55,60,62,65,68,70,72,75,80,82,85,87,90,95})+(M480-LOOKUP(M480,{12.5,15,20,30,45,60,75,105,115,150,200,225,250,600},{12.5,15,20,30,45,60,75,105,115,150,200,225,250,600}))/(LOOKUP(M480,{12.5,15,20,30,45,60,75,105,115,150,200,225,250,600,1000},{15,20,30,45,60,75,105,115,150,200,225,250,600,1000,1000})-LOOKUP(M480,{12.5,15,20,30,45,60,75,105,115,150,200,225,250,600},{12.5,15,20,30,45,60,75,105,115,150,200,225,250,600}))*(LOOKUP(M480,{12.5,15,20,30,45,60,75,105,115,150,200,225,250,600,1000},{55,60,62,65,68,70,72,75,80,82,85,87,90,95,95})-LOOKUP(M480,{12.5,15,20,30,45,60,75,105,115,150,200,225,250,600,1000},{50,55,60,62,65,68,70,72,75,80,82,85,87,90,95})))))</f>
        <v>70</v>
      </c>
      <c r="P480" s="2">
        <f t="shared" si="38"/>
        <v>1</v>
      </c>
      <c r="Q480" s="2">
        <f t="shared" si="39"/>
        <v>0.5</v>
      </c>
    </row>
    <row r="481" customHeight="1" spans="1:17">
      <c r="B481" s="2">
        <v>480</v>
      </c>
      <c r="C481" s="17">
        <f t="shared" si="37"/>
        <v>67.8</v>
      </c>
      <c r="D481" s="2" t="s">
        <v>807</v>
      </c>
      <c r="E481" s="9">
        <v>70</v>
      </c>
      <c r="F481" s="2">
        <v>59</v>
      </c>
      <c r="G481" s="2">
        <v>45</v>
      </c>
      <c r="H481" s="2" t="s">
        <v>41</v>
      </c>
      <c r="I481" s="2" t="s">
        <v>28</v>
      </c>
      <c r="J481" s="4" t="s">
        <v>38</v>
      </c>
      <c r="M481" s="2">
        <f t="shared" si="35"/>
        <v>45</v>
      </c>
      <c r="N481" s="2">
        <f t="shared" si="36"/>
        <v>65.3</v>
      </c>
      <c r="O481" s="2">
        <f>IF(M481="","",IF(M481&gt;=1000,95,IF(M481&lt;=12.5,50,LOOKUP(M481,{12.5,15,20,30,45,60,75,105,115,150,200,225,250,600,1000},{50,55,60,62,65,68,70,72,75,80,82,85,87,90,95})+(M481-LOOKUP(M481,{12.5,15,20,30,45,60,75,105,115,150,200,225,250,600},{12.5,15,20,30,45,60,75,105,115,150,200,225,250,600}))/(LOOKUP(M481,{12.5,15,20,30,45,60,75,105,115,150,200,225,250,600,1000},{15,20,30,45,60,75,105,115,150,200,225,250,600,1000,1000})-LOOKUP(M481,{12.5,15,20,30,45,60,75,105,115,150,200,225,250,600},{12.5,15,20,30,45,60,75,105,115,150,200,225,250,600}))*(LOOKUP(M481,{12.5,15,20,30,45,60,75,105,115,150,200,225,250,600,1000},{55,60,62,65,68,70,72,75,80,82,85,87,90,95,95})-LOOKUP(M481,{12.5,15,20,30,45,60,75,105,115,150,200,225,250,600,1000},{50,55,60,62,65,68,70,72,75,80,82,85,87,90,95})))))</f>
        <v>65</v>
      </c>
      <c r="P481" s="2">
        <f t="shared" si="38"/>
        <v>5</v>
      </c>
      <c r="Q481" s="2">
        <f t="shared" si="39"/>
        <v>2.5</v>
      </c>
    </row>
    <row r="482" customHeight="1" spans="1:17">
      <c r="B482" s="2">
        <v>481</v>
      </c>
      <c r="C482" s="17">
        <f t="shared" si="37"/>
        <v>67.8</v>
      </c>
      <c r="D482" s="2" t="s">
        <v>808</v>
      </c>
      <c r="E482" s="9">
        <v>73</v>
      </c>
      <c r="F482" s="2">
        <v>50</v>
      </c>
      <c r="G482" s="2">
        <v>52</v>
      </c>
      <c r="H482" s="2" t="s">
        <v>444</v>
      </c>
      <c r="I482" s="2" t="s">
        <v>63</v>
      </c>
      <c r="J482" s="4" t="s">
        <v>24</v>
      </c>
      <c r="M482" s="2">
        <f t="shared" si="35"/>
        <v>75</v>
      </c>
      <c r="N482" s="2">
        <f t="shared" si="36"/>
        <v>66.3</v>
      </c>
      <c r="O482" s="2">
        <f>IF(M482="","",IF(M482&gt;=1000,95,IF(M482&lt;=12.5,50,LOOKUP(M482,{12.5,15,20,30,45,60,75,105,115,150,200,225,250,600,1000},{50,55,60,62,65,68,70,72,75,80,82,85,87,90,95})+(M482-LOOKUP(M482,{12.5,15,20,30,45,60,75,105,115,150,200,225,250,600},{12.5,15,20,30,45,60,75,105,115,150,200,225,250,600}))/(LOOKUP(M482,{12.5,15,20,30,45,60,75,105,115,150,200,225,250,600,1000},{15,20,30,45,60,75,105,115,150,200,225,250,600,1000,1000})-LOOKUP(M482,{12.5,15,20,30,45,60,75,105,115,150,200,225,250,600},{12.5,15,20,30,45,60,75,105,115,150,200,225,250,600}))*(LOOKUP(M482,{12.5,15,20,30,45,60,75,105,115,150,200,225,250,600,1000},{55,60,62,65,68,70,72,75,80,82,85,87,90,95,95})-LOOKUP(M482,{12.5,15,20,30,45,60,75,105,115,150,200,225,250,600,1000},{50,55,60,62,65,68,70,72,75,80,82,85,87,90,95})))))</f>
        <v>70</v>
      </c>
      <c r="P482" s="2">
        <f t="shared" si="38"/>
        <v>3</v>
      </c>
      <c r="Q482" s="2">
        <f t="shared" si="39"/>
        <v>1.5</v>
      </c>
    </row>
    <row r="483" customHeight="1" spans="1:17">
      <c r="B483" s="2">
        <v>482</v>
      </c>
      <c r="C483" s="17">
        <f t="shared" si="37"/>
        <v>67.8</v>
      </c>
      <c r="D483" s="2" t="s">
        <v>809</v>
      </c>
      <c r="E483" s="9">
        <v>70</v>
      </c>
      <c r="F483" s="2">
        <v>50</v>
      </c>
      <c r="G483" s="2">
        <v>38</v>
      </c>
      <c r="H483" s="2" t="s">
        <v>91</v>
      </c>
      <c r="I483" s="2" t="s">
        <v>503</v>
      </c>
      <c r="J483" s="4" t="s">
        <v>140</v>
      </c>
      <c r="K483" s="2" t="s">
        <v>577</v>
      </c>
      <c r="M483" s="2">
        <f t="shared" si="35"/>
        <v>20</v>
      </c>
      <c r="N483" s="2">
        <f t="shared" si="36"/>
        <v>62.8</v>
      </c>
      <c r="O483" s="2">
        <f>IF(M483="","",IF(M483&gt;=1000,95,IF(M483&lt;=12.5,50,LOOKUP(M483,{12.5,15,20,30,45,60,75,105,115,150,200,225,250,600,1000},{50,55,60,62,65,68,70,72,75,80,82,85,87,90,95})+(M483-LOOKUP(M483,{12.5,15,20,30,45,60,75,105,115,150,200,225,250,600},{12.5,15,20,30,45,60,75,105,115,150,200,225,250,600}))/(LOOKUP(M483,{12.5,15,20,30,45,60,75,105,115,150,200,225,250,600,1000},{15,20,30,45,60,75,105,115,150,200,225,250,600,1000,1000})-LOOKUP(M483,{12.5,15,20,30,45,60,75,105,115,150,200,225,250,600},{12.5,15,20,30,45,60,75,105,115,150,200,225,250,600}))*(LOOKUP(M483,{12.5,15,20,30,45,60,75,105,115,150,200,225,250,600,1000},{55,60,62,65,68,70,72,75,80,82,85,87,90,95,95})-LOOKUP(M483,{12.5,15,20,30,45,60,75,105,115,150,200,225,250,600,1000},{50,55,60,62,65,68,70,72,75,80,82,85,87,90,95})))))</f>
        <v>60</v>
      </c>
      <c r="P483" s="2">
        <f t="shared" si="38"/>
        <v>10</v>
      </c>
      <c r="Q483" s="2">
        <f t="shared" si="39"/>
        <v>5</v>
      </c>
    </row>
    <row r="484" customHeight="1" spans="1:17">
      <c r="A484" s="2">
        <v>2026</v>
      </c>
      <c r="B484" s="2">
        <v>483</v>
      </c>
      <c r="C484" s="17">
        <f t="shared" si="37"/>
        <v>67.8</v>
      </c>
      <c r="D484" s="2" t="s">
        <v>810</v>
      </c>
      <c r="E484" s="9">
        <v>72</v>
      </c>
      <c r="F484" s="12">
        <v>68</v>
      </c>
      <c r="G484" s="9">
        <v>78</v>
      </c>
      <c r="H484" s="2" t="s">
        <v>54</v>
      </c>
      <c r="I484" s="2" t="s">
        <v>449</v>
      </c>
      <c r="J484" s="4" t="s">
        <v>59</v>
      </c>
      <c r="K484" s="2" t="s">
        <v>811</v>
      </c>
      <c r="M484" s="2">
        <f t="shared" si="35"/>
        <v>150</v>
      </c>
      <c r="N484" s="2">
        <f t="shared" si="36"/>
        <v>71.8</v>
      </c>
      <c r="O484" s="2">
        <f>IF(M484="","",IF(M484&gt;=1000,95,IF(M484&lt;=12.5,50,LOOKUP(M484,{12.5,15,20,30,45,60,75,105,115,150,200,225,250,600,1000},{50,55,60,62,65,68,70,72,75,80,82,85,87,90,95})+(M484-LOOKUP(M484,{12.5,15,20,30,45,60,75,105,115,150,200,225,250,600},{12.5,15,20,30,45,60,75,105,115,150,200,225,250,600}))/(LOOKUP(M484,{12.5,15,20,30,45,60,75,105,115,150,200,225,250,600,1000},{15,20,30,45,60,75,105,115,150,200,225,250,600,1000,1000})-LOOKUP(M484,{12.5,15,20,30,45,60,75,105,115,150,200,225,250,600},{12.5,15,20,30,45,60,75,105,115,150,200,225,250,600}))*(LOOKUP(M484,{12.5,15,20,30,45,60,75,105,115,150,200,225,250,600,1000},{55,60,62,65,68,70,72,75,80,82,85,87,90,95,95})-LOOKUP(M484,{12.5,15,20,30,45,60,75,105,115,150,200,225,250,600,1000},{50,55,60,62,65,68,70,72,75,80,82,85,87,90,95})))))</f>
        <v>80</v>
      </c>
      <c r="P484" s="2">
        <f t="shared" si="38"/>
        <v>-8</v>
      </c>
      <c r="Q484" s="2">
        <f t="shared" si="39"/>
        <v>-4</v>
      </c>
    </row>
    <row r="485" customHeight="1" spans="1:17">
      <c r="A485" s="2">
        <v>2026</v>
      </c>
      <c r="B485" s="2">
        <v>484</v>
      </c>
      <c r="C485" s="17">
        <f t="shared" si="37"/>
        <v>67.74</v>
      </c>
      <c r="D485" s="2" t="s">
        <v>812</v>
      </c>
      <c r="E485" s="12">
        <v>67</v>
      </c>
      <c r="F485" s="2">
        <v>50</v>
      </c>
      <c r="G485" s="2">
        <v>35</v>
      </c>
      <c r="H485" s="2" t="s">
        <v>54</v>
      </c>
      <c r="I485" s="2" t="s">
        <v>28</v>
      </c>
      <c r="J485" s="4" t="s">
        <v>77</v>
      </c>
      <c r="M485" s="2">
        <f t="shared" si="35"/>
        <v>12.5</v>
      </c>
      <c r="N485" s="2">
        <f t="shared" si="36"/>
        <v>60.4</v>
      </c>
      <c r="O485" s="2">
        <f>IF(M485="","",IF(M485&gt;=1000,95,IF(M485&lt;=12.5,50,LOOKUP(M485,{12.5,15,20,30,45,60,75,105,115,150,200,225,250,600,1000},{50,55,60,62,65,68,70,72,75,80,82,85,87,90,95})+(M485-LOOKUP(M485,{12.5,15,20,30,45,60,75,105,115,150,200,225,250,600},{12.5,15,20,30,45,60,75,105,115,150,200,225,250,600}))/(LOOKUP(M485,{12.5,15,20,30,45,60,75,105,115,150,200,225,250,600,1000},{15,20,30,45,60,75,105,115,150,200,225,250,600,1000,1000})-LOOKUP(M485,{12.5,15,20,30,45,60,75,105,115,150,200,225,250,600},{12.5,15,20,30,45,60,75,105,115,150,200,225,250,600}))*(LOOKUP(M485,{12.5,15,20,30,45,60,75,105,115,150,200,225,250,600,1000},{55,60,62,65,68,70,72,75,80,82,85,87,90,95,95})-LOOKUP(M485,{12.5,15,20,30,45,60,75,105,115,150,200,225,250,600,1000},{50,55,60,62,65,68,70,72,75,80,82,85,87,90,95})))))</f>
        <v>50</v>
      </c>
      <c r="P485" s="2">
        <f t="shared" si="38"/>
        <v>17</v>
      </c>
      <c r="Q485" s="2">
        <f t="shared" si="39"/>
        <v>7.34</v>
      </c>
    </row>
    <row r="486" customHeight="1" spans="1:17">
      <c r="B486" s="2">
        <v>485</v>
      </c>
      <c r="C486" s="17">
        <f t="shared" si="37"/>
        <v>67.7</v>
      </c>
      <c r="D486" s="2" t="s">
        <v>813</v>
      </c>
      <c r="E486" s="9">
        <v>70</v>
      </c>
      <c r="F486" s="9">
        <v>79</v>
      </c>
      <c r="G486" s="9">
        <v>79</v>
      </c>
      <c r="H486" s="2" t="s">
        <v>814</v>
      </c>
      <c r="I486" s="2" t="s">
        <v>239</v>
      </c>
      <c r="J486" s="4" t="s">
        <v>59</v>
      </c>
      <c r="K486" s="2" t="s">
        <v>815</v>
      </c>
      <c r="M486" s="2">
        <f t="shared" si="35"/>
        <v>150</v>
      </c>
      <c r="N486" s="2">
        <f t="shared" si="36"/>
        <v>72.7</v>
      </c>
      <c r="O486" s="2">
        <f>IF(M486="","",IF(M486&gt;=1000,95,IF(M486&lt;=12.5,50,LOOKUP(M486,{12.5,15,20,30,45,60,75,105,115,150,200,225,250,600,1000},{50,55,60,62,65,68,70,72,75,80,82,85,87,90,95})+(M486-LOOKUP(M486,{12.5,15,20,30,45,60,75,105,115,150,200,225,250,600},{12.5,15,20,30,45,60,75,105,115,150,200,225,250,600}))/(LOOKUP(M486,{12.5,15,20,30,45,60,75,105,115,150,200,225,250,600,1000},{15,20,30,45,60,75,105,115,150,200,225,250,600,1000,1000})-LOOKUP(M486,{12.5,15,20,30,45,60,75,105,115,150,200,225,250,600},{12.5,15,20,30,45,60,75,105,115,150,200,225,250,600}))*(LOOKUP(M486,{12.5,15,20,30,45,60,75,105,115,150,200,225,250,600,1000},{55,60,62,65,68,70,72,75,80,82,85,87,90,95,95})-LOOKUP(M486,{12.5,15,20,30,45,60,75,105,115,150,200,225,250,600,1000},{50,55,60,62,65,68,70,72,75,80,82,85,87,90,95})))))</f>
        <v>80</v>
      </c>
      <c r="P486" s="2">
        <f t="shared" si="38"/>
        <v>-10</v>
      </c>
      <c r="Q486" s="2">
        <f t="shared" si="39"/>
        <v>-5</v>
      </c>
    </row>
    <row r="487" customHeight="1" spans="1:17">
      <c r="B487" s="2">
        <v>486</v>
      </c>
      <c r="C487" s="17">
        <f t="shared" si="37"/>
        <v>67.7</v>
      </c>
      <c r="D487" s="2" t="s">
        <v>816</v>
      </c>
      <c r="E487" s="9">
        <v>70</v>
      </c>
      <c r="F487" s="12">
        <v>66</v>
      </c>
      <c r="G487" s="12">
        <v>65</v>
      </c>
      <c r="H487" s="2" t="s">
        <v>175</v>
      </c>
      <c r="I487" s="2" t="s">
        <v>63</v>
      </c>
      <c r="J487" s="4" t="s">
        <v>105</v>
      </c>
      <c r="K487" s="2" t="s">
        <v>817</v>
      </c>
      <c r="M487" s="2">
        <f t="shared" si="35"/>
        <v>105</v>
      </c>
      <c r="N487" s="2">
        <f t="shared" si="36"/>
        <v>68.7</v>
      </c>
      <c r="O487" s="2">
        <f>IF(M487="","",IF(M487&gt;=1000,95,IF(M487&lt;=12.5,50,LOOKUP(M487,{12.5,15,20,30,45,60,75,105,115,150,200,225,250,600,1000},{50,55,60,62,65,68,70,72,75,80,82,85,87,90,95})+(M487-LOOKUP(M487,{12.5,15,20,30,45,60,75,105,115,150,200,225,250,600},{12.5,15,20,30,45,60,75,105,115,150,200,225,250,600}))/(LOOKUP(M487,{12.5,15,20,30,45,60,75,105,115,150,200,225,250,600,1000},{15,20,30,45,60,75,105,115,150,200,225,250,600,1000,1000})-LOOKUP(M487,{12.5,15,20,30,45,60,75,105,115,150,200,225,250,600},{12.5,15,20,30,45,60,75,105,115,150,200,225,250,600}))*(LOOKUP(M487,{12.5,15,20,30,45,60,75,105,115,150,200,225,250,600,1000},{55,60,62,65,68,70,72,75,80,82,85,87,90,95,95})-LOOKUP(M487,{12.5,15,20,30,45,60,75,105,115,150,200,225,250,600,1000},{50,55,60,62,65,68,70,72,75,80,82,85,87,90,95})))))</f>
        <v>72</v>
      </c>
      <c r="P487" s="2">
        <f t="shared" si="38"/>
        <v>-2</v>
      </c>
      <c r="Q487" s="2">
        <f t="shared" si="39"/>
        <v>-1</v>
      </c>
    </row>
    <row r="488" customHeight="1" spans="1:17">
      <c r="A488" s="2">
        <v>2026</v>
      </c>
      <c r="B488" s="2">
        <v>487</v>
      </c>
      <c r="C488" s="17">
        <f t="shared" si="37"/>
        <v>67.7</v>
      </c>
      <c r="D488" s="2" t="s">
        <v>818</v>
      </c>
      <c r="E488" s="9">
        <v>70</v>
      </c>
      <c r="F488" s="12">
        <v>68</v>
      </c>
      <c r="G488" s="12">
        <v>61</v>
      </c>
      <c r="H488" s="2" t="s">
        <v>54</v>
      </c>
      <c r="I488" s="2" t="s">
        <v>104</v>
      </c>
      <c r="J488" s="4" t="s">
        <v>105</v>
      </c>
      <c r="M488" s="2">
        <f t="shared" si="35"/>
        <v>105</v>
      </c>
      <c r="N488" s="2">
        <f t="shared" si="36"/>
        <v>68.7</v>
      </c>
      <c r="O488" s="2">
        <f>IF(M488="","",IF(M488&gt;=1000,95,IF(M488&lt;=12.5,50,LOOKUP(M488,{12.5,15,20,30,45,60,75,105,115,150,200,225,250,600,1000},{50,55,60,62,65,68,70,72,75,80,82,85,87,90,95})+(M488-LOOKUP(M488,{12.5,15,20,30,45,60,75,105,115,150,200,225,250,600},{12.5,15,20,30,45,60,75,105,115,150,200,225,250,600}))/(LOOKUP(M488,{12.5,15,20,30,45,60,75,105,115,150,200,225,250,600,1000},{15,20,30,45,60,75,105,115,150,200,225,250,600,1000,1000})-LOOKUP(M488,{12.5,15,20,30,45,60,75,105,115,150,200,225,250,600},{12.5,15,20,30,45,60,75,105,115,150,200,225,250,600}))*(LOOKUP(M488,{12.5,15,20,30,45,60,75,105,115,150,200,225,250,600,1000},{55,60,62,65,68,70,72,75,80,82,85,87,90,95,95})-LOOKUP(M488,{12.5,15,20,30,45,60,75,105,115,150,200,225,250,600,1000},{50,55,60,62,65,68,70,72,75,80,82,85,87,90,95})))))</f>
        <v>72</v>
      </c>
      <c r="P488" s="2">
        <f t="shared" si="38"/>
        <v>-2</v>
      </c>
      <c r="Q488" s="2">
        <f t="shared" si="39"/>
        <v>-1</v>
      </c>
    </row>
    <row r="489" customHeight="1" spans="1:17">
      <c r="B489" s="2">
        <v>488</v>
      </c>
      <c r="C489" s="17">
        <f t="shared" si="37"/>
        <v>67.7</v>
      </c>
      <c r="D489" s="2" t="s">
        <v>819</v>
      </c>
      <c r="E489" s="9">
        <v>72</v>
      </c>
      <c r="F489" s="12">
        <v>60</v>
      </c>
      <c r="G489" s="12">
        <v>68</v>
      </c>
      <c r="H489" s="2" t="s">
        <v>820</v>
      </c>
      <c r="I489" s="2" t="s">
        <v>128</v>
      </c>
      <c r="J489" s="4" t="s">
        <v>148</v>
      </c>
      <c r="K489" s="2" t="s">
        <v>821</v>
      </c>
      <c r="M489" s="2">
        <f t="shared" si="35"/>
        <v>115</v>
      </c>
      <c r="N489" s="2">
        <f t="shared" si="36"/>
        <v>69.2</v>
      </c>
      <c r="O489" s="2">
        <f>IF(M489="","",IF(M489&gt;=1000,95,IF(M489&lt;=12.5,50,LOOKUP(M489,{12.5,15,20,30,45,60,75,105,115,150,200,225,250,600,1000},{50,55,60,62,65,68,70,72,75,80,82,85,87,90,95})+(M489-LOOKUP(M489,{12.5,15,20,30,45,60,75,105,115,150,200,225,250,600},{12.5,15,20,30,45,60,75,105,115,150,200,225,250,600}))/(LOOKUP(M489,{12.5,15,20,30,45,60,75,105,115,150,200,225,250,600,1000},{15,20,30,45,60,75,105,115,150,200,225,250,600,1000,1000})-LOOKUP(M489,{12.5,15,20,30,45,60,75,105,115,150,200,225,250,600},{12.5,15,20,30,45,60,75,105,115,150,200,225,250,600}))*(LOOKUP(M489,{12.5,15,20,30,45,60,75,105,115,150,200,225,250,600,1000},{55,60,62,65,68,70,72,75,80,82,85,87,90,95,95})-LOOKUP(M489,{12.5,15,20,30,45,60,75,105,115,150,200,225,250,600,1000},{50,55,60,62,65,68,70,72,75,80,82,85,87,90,95})))))</f>
        <v>75</v>
      </c>
      <c r="P489" s="2">
        <f t="shared" si="38"/>
        <v>-3</v>
      </c>
      <c r="Q489" s="2">
        <f t="shared" si="39"/>
        <v>-1.5</v>
      </c>
    </row>
    <row r="490" customHeight="1" spans="1:17">
      <c r="A490" s="2">
        <v>2026</v>
      </c>
      <c r="B490" s="2">
        <v>489</v>
      </c>
      <c r="C490" s="17">
        <f t="shared" si="37"/>
        <v>67.63</v>
      </c>
      <c r="D490" s="2" t="s">
        <v>822</v>
      </c>
      <c r="E490" s="9">
        <v>73</v>
      </c>
      <c r="F490" s="9">
        <v>77</v>
      </c>
      <c r="G490" s="12">
        <v>68</v>
      </c>
      <c r="H490" s="2" t="s">
        <v>54</v>
      </c>
      <c r="I490" s="2" t="s">
        <v>159</v>
      </c>
      <c r="J490" s="4" t="s">
        <v>19</v>
      </c>
      <c r="M490" s="2">
        <f t="shared" si="35"/>
        <v>225</v>
      </c>
      <c r="N490" s="2">
        <f t="shared" si="36"/>
        <v>73.3</v>
      </c>
      <c r="O490" s="2">
        <f>IF(M490="","",IF(M490&gt;=1000,95,IF(M490&lt;=12.5,50,LOOKUP(M490,{12.5,15,20,30,45,60,75,105,115,150,200,225,250,600,1000},{50,55,60,62,65,68,70,72,75,80,82,85,87,90,95})+(M490-LOOKUP(M490,{12.5,15,20,30,45,60,75,105,115,150,200,225,250,600},{12.5,15,20,30,45,60,75,105,115,150,200,225,250,600}))/(LOOKUP(M490,{12.5,15,20,30,45,60,75,105,115,150,200,225,250,600,1000},{15,20,30,45,60,75,105,115,150,200,225,250,600,1000,1000})-LOOKUP(M490,{12.5,15,20,30,45,60,75,105,115,150,200,225,250,600},{12.5,15,20,30,45,60,75,105,115,150,200,225,250,600}))*(LOOKUP(M490,{12.5,15,20,30,45,60,75,105,115,150,200,225,250,600,1000},{55,60,62,65,68,70,72,75,80,82,85,87,90,95,95})-LOOKUP(M490,{12.5,15,20,30,45,60,75,105,115,150,200,225,250,600,1000},{50,55,60,62,65,68,70,72,75,80,82,85,87,90,95})))))</f>
        <v>85</v>
      </c>
      <c r="P490" s="2">
        <f t="shared" si="38"/>
        <v>-12</v>
      </c>
      <c r="Q490" s="2">
        <f t="shared" si="39"/>
        <v>-5.67</v>
      </c>
    </row>
    <row r="491" customHeight="1" spans="1:17">
      <c r="A491" s="2">
        <v>2026</v>
      </c>
      <c r="B491" s="2">
        <v>490</v>
      </c>
      <c r="C491" s="17">
        <f t="shared" si="37"/>
        <v>67.63</v>
      </c>
      <c r="D491" s="2" t="s">
        <v>823</v>
      </c>
      <c r="E491" s="9">
        <v>72</v>
      </c>
      <c r="F491" s="10">
        <v>85</v>
      </c>
      <c r="G491" s="12">
        <v>69</v>
      </c>
      <c r="H491" s="2" t="s">
        <v>41</v>
      </c>
      <c r="I491" s="2" t="s">
        <v>746</v>
      </c>
      <c r="J491" s="4" t="s">
        <v>123</v>
      </c>
      <c r="M491" s="2">
        <f t="shared" si="35"/>
        <v>250</v>
      </c>
      <c r="N491" s="2">
        <f t="shared" si="36"/>
        <v>74.3</v>
      </c>
      <c r="O491" s="2">
        <f>IF(M491="","",IF(M491&gt;=1000,95,IF(M491&lt;=12.5,50,LOOKUP(M491,{12.5,15,20,30,45,60,75,105,115,150,200,225,250,600,1000},{50,55,60,62,65,68,70,72,75,80,82,85,87,90,95})+(M491-LOOKUP(M491,{12.5,15,20,30,45,60,75,105,115,150,200,225,250,600},{12.5,15,20,30,45,60,75,105,115,150,200,225,250,600}))/(LOOKUP(M491,{12.5,15,20,30,45,60,75,105,115,150,200,225,250,600,1000},{15,20,30,45,60,75,105,115,150,200,225,250,600,1000,1000})-LOOKUP(M491,{12.5,15,20,30,45,60,75,105,115,150,200,225,250,600},{12.5,15,20,30,45,60,75,105,115,150,200,225,250,600}))*(LOOKUP(M491,{12.5,15,20,30,45,60,75,105,115,150,200,225,250,600,1000},{55,60,62,65,68,70,72,75,80,82,85,87,90,95,95})-LOOKUP(M491,{12.5,15,20,30,45,60,75,105,115,150,200,225,250,600,1000},{50,55,60,62,65,68,70,72,75,80,82,85,87,90,95})))))</f>
        <v>87</v>
      </c>
      <c r="P491" s="2">
        <f t="shared" si="38"/>
        <v>-15</v>
      </c>
      <c r="Q491" s="2">
        <f t="shared" si="39"/>
        <v>-6.67</v>
      </c>
    </row>
    <row r="492" customHeight="1" spans="1:17">
      <c r="B492" s="2">
        <v>491</v>
      </c>
      <c r="C492" s="17">
        <f t="shared" si="37"/>
        <v>67.6</v>
      </c>
      <c r="D492" s="2" t="s">
        <v>824</v>
      </c>
      <c r="E492" s="12">
        <v>69</v>
      </c>
      <c r="F492" s="2">
        <v>54</v>
      </c>
      <c r="G492" s="10">
        <v>80</v>
      </c>
      <c r="H492" s="2" t="s">
        <v>119</v>
      </c>
      <c r="I492" s="2" t="s">
        <v>63</v>
      </c>
      <c r="J492" s="4" t="s">
        <v>34</v>
      </c>
      <c r="M492" s="2">
        <f t="shared" si="35"/>
        <v>60</v>
      </c>
      <c r="N492" s="2">
        <f t="shared" si="36"/>
        <v>67.1</v>
      </c>
      <c r="O492" s="2">
        <f>IF(M492="","",IF(M492&gt;=1000,95,IF(M492&lt;=12.5,50,LOOKUP(M492,{12.5,15,20,30,45,60,75,105,115,150,200,225,250,600,1000},{50,55,60,62,65,68,70,72,75,80,82,85,87,90,95})+(M492-LOOKUP(M492,{12.5,15,20,30,45,60,75,105,115,150,200,225,250,600},{12.5,15,20,30,45,60,75,105,115,150,200,225,250,600}))/(LOOKUP(M492,{12.5,15,20,30,45,60,75,105,115,150,200,225,250,600,1000},{15,20,30,45,60,75,105,115,150,200,225,250,600,1000,1000})-LOOKUP(M492,{12.5,15,20,30,45,60,75,105,115,150,200,225,250,600},{12.5,15,20,30,45,60,75,105,115,150,200,225,250,600}))*(LOOKUP(M492,{12.5,15,20,30,45,60,75,105,115,150,200,225,250,600,1000},{55,60,62,65,68,70,72,75,80,82,85,87,90,95,95})-LOOKUP(M492,{12.5,15,20,30,45,60,75,105,115,150,200,225,250,600,1000},{50,55,60,62,65,68,70,72,75,80,82,85,87,90,95})))))</f>
        <v>68</v>
      </c>
      <c r="P492" s="2">
        <f t="shared" si="38"/>
        <v>1</v>
      </c>
      <c r="Q492" s="2">
        <f t="shared" si="39"/>
        <v>0.5</v>
      </c>
    </row>
    <row r="493" customHeight="1" spans="1:17">
      <c r="B493" s="2">
        <v>492</v>
      </c>
      <c r="C493" s="17">
        <f t="shared" si="37"/>
        <v>67.6</v>
      </c>
      <c r="D493" s="2" t="s">
        <v>825</v>
      </c>
      <c r="E493" s="12">
        <v>68</v>
      </c>
      <c r="F493" s="12">
        <v>65</v>
      </c>
      <c r="G493" s="2">
        <v>55</v>
      </c>
      <c r="H493" s="2" t="s">
        <v>41</v>
      </c>
      <c r="I493" s="2" t="s">
        <v>33</v>
      </c>
      <c r="J493" s="4" t="s">
        <v>38</v>
      </c>
      <c r="M493" s="2">
        <f t="shared" si="35"/>
        <v>45</v>
      </c>
      <c r="N493" s="2">
        <f t="shared" si="36"/>
        <v>66.1</v>
      </c>
      <c r="O493" s="2">
        <f>IF(M493="","",IF(M493&gt;=1000,95,IF(M493&lt;=12.5,50,LOOKUP(M493,{12.5,15,20,30,45,60,75,105,115,150,200,225,250,600,1000},{50,55,60,62,65,68,70,72,75,80,82,85,87,90,95})+(M493-LOOKUP(M493,{12.5,15,20,30,45,60,75,105,115,150,200,225,250,600},{12.5,15,20,30,45,60,75,105,115,150,200,225,250,600}))/(LOOKUP(M493,{12.5,15,20,30,45,60,75,105,115,150,200,225,250,600,1000},{15,20,30,45,60,75,105,115,150,200,225,250,600,1000,1000})-LOOKUP(M493,{12.5,15,20,30,45,60,75,105,115,150,200,225,250,600},{12.5,15,20,30,45,60,75,105,115,150,200,225,250,600}))*(LOOKUP(M493,{12.5,15,20,30,45,60,75,105,115,150,200,225,250,600,1000},{55,60,62,65,68,70,72,75,80,82,85,87,90,95,95})-LOOKUP(M493,{12.5,15,20,30,45,60,75,105,115,150,200,225,250,600,1000},{50,55,60,62,65,68,70,72,75,80,82,85,87,90,95})))))</f>
        <v>65</v>
      </c>
      <c r="P493" s="2">
        <f t="shared" si="38"/>
        <v>3</v>
      </c>
      <c r="Q493" s="2">
        <f t="shared" si="39"/>
        <v>1.5</v>
      </c>
    </row>
    <row r="494" customHeight="1" spans="1:17">
      <c r="A494" s="2">
        <v>2026</v>
      </c>
      <c r="B494" s="2">
        <v>493</v>
      </c>
      <c r="C494" s="17">
        <f t="shared" si="37"/>
        <v>67.6</v>
      </c>
      <c r="D494" s="2" t="s">
        <v>826</v>
      </c>
      <c r="E494" s="9">
        <v>71</v>
      </c>
      <c r="F494" s="12">
        <v>66</v>
      </c>
      <c r="G494" s="2">
        <v>52</v>
      </c>
      <c r="H494" s="2" t="s">
        <v>54</v>
      </c>
      <c r="I494" s="2" t="s">
        <v>104</v>
      </c>
      <c r="J494" s="4" t="s">
        <v>105</v>
      </c>
      <c r="K494" s="2" t="s">
        <v>827</v>
      </c>
      <c r="M494" s="2">
        <f t="shared" si="35"/>
        <v>105</v>
      </c>
      <c r="N494" s="2">
        <f t="shared" si="36"/>
        <v>68.1</v>
      </c>
      <c r="O494" s="2">
        <f>IF(M494="","",IF(M494&gt;=1000,95,IF(M494&lt;=12.5,50,LOOKUP(M494,{12.5,15,20,30,45,60,75,105,115,150,200,225,250,600,1000},{50,55,60,62,65,68,70,72,75,80,82,85,87,90,95})+(M494-LOOKUP(M494,{12.5,15,20,30,45,60,75,105,115,150,200,225,250,600},{12.5,15,20,30,45,60,75,105,115,150,200,225,250,600}))/(LOOKUP(M494,{12.5,15,20,30,45,60,75,105,115,150,200,225,250,600,1000},{15,20,30,45,60,75,105,115,150,200,225,250,600,1000,1000})-LOOKUP(M494,{12.5,15,20,30,45,60,75,105,115,150,200,225,250,600},{12.5,15,20,30,45,60,75,105,115,150,200,225,250,600}))*(LOOKUP(M494,{12.5,15,20,30,45,60,75,105,115,150,200,225,250,600,1000},{55,60,62,65,68,70,72,75,80,82,85,87,90,95,95})-LOOKUP(M494,{12.5,15,20,30,45,60,75,105,115,150,200,225,250,600,1000},{50,55,60,62,65,68,70,72,75,80,82,85,87,90,95})))))</f>
        <v>72</v>
      </c>
      <c r="P494" s="2">
        <f t="shared" si="38"/>
        <v>-1</v>
      </c>
      <c r="Q494" s="2">
        <f t="shared" si="39"/>
        <v>-0.5</v>
      </c>
    </row>
    <row r="495" customHeight="1" spans="1:17">
      <c r="B495" s="2">
        <v>494</v>
      </c>
      <c r="C495" s="17">
        <f t="shared" si="37"/>
        <v>67.6</v>
      </c>
      <c r="D495" s="2" t="s">
        <v>828</v>
      </c>
      <c r="E495" s="9">
        <v>70</v>
      </c>
      <c r="F495" s="12">
        <v>62</v>
      </c>
      <c r="G495" s="2">
        <v>52</v>
      </c>
      <c r="H495" s="2" t="s">
        <v>829</v>
      </c>
      <c r="I495" s="2" t="s">
        <v>72</v>
      </c>
      <c r="J495" s="4" t="s">
        <v>34</v>
      </c>
      <c r="M495" s="2">
        <f t="shared" si="35"/>
        <v>60</v>
      </c>
      <c r="N495" s="2">
        <f t="shared" si="36"/>
        <v>66.6</v>
      </c>
      <c r="O495" s="2">
        <f>IF(M495="","",IF(M495&gt;=1000,95,IF(M495&lt;=12.5,50,LOOKUP(M495,{12.5,15,20,30,45,60,75,105,115,150,200,225,250,600,1000},{50,55,60,62,65,68,70,72,75,80,82,85,87,90,95})+(M495-LOOKUP(M495,{12.5,15,20,30,45,60,75,105,115,150,200,225,250,600},{12.5,15,20,30,45,60,75,105,115,150,200,225,250,600}))/(LOOKUP(M495,{12.5,15,20,30,45,60,75,105,115,150,200,225,250,600,1000},{15,20,30,45,60,75,105,115,150,200,225,250,600,1000,1000})-LOOKUP(M495,{12.5,15,20,30,45,60,75,105,115,150,200,225,250,600},{12.5,15,20,30,45,60,75,105,115,150,200,225,250,600}))*(LOOKUP(M495,{12.5,15,20,30,45,60,75,105,115,150,200,225,250,600,1000},{55,60,62,65,68,70,72,75,80,82,85,87,90,95,95})-LOOKUP(M495,{12.5,15,20,30,45,60,75,105,115,150,200,225,250,600,1000},{50,55,60,62,65,68,70,72,75,80,82,85,87,90,95})))))</f>
        <v>68</v>
      </c>
      <c r="P495" s="2">
        <f t="shared" si="38"/>
        <v>2</v>
      </c>
      <c r="Q495" s="2">
        <f t="shared" si="39"/>
        <v>1</v>
      </c>
    </row>
    <row r="496" customHeight="1" spans="1:17">
      <c r="B496" s="2">
        <v>495</v>
      </c>
      <c r="C496" s="17">
        <f t="shared" si="37"/>
        <v>67.6</v>
      </c>
      <c r="D496" s="2" t="s">
        <v>830</v>
      </c>
      <c r="E496" s="12">
        <v>69</v>
      </c>
      <c r="F496" s="12">
        <v>60</v>
      </c>
      <c r="G496" s="2">
        <v>53</v>
      </c>
      <c r="H496" s="2" t="s">
        <v>37</v>
      </c>
      <c r="I496" s="2" t="s">
        <v>28</v>
      </c>
      <c r="J496" s="4" t="s">
        <v>38</v>
      </c>
      <c r="M496" s="2">
        <f t="shared" si="35"/>
        <v>45</v>
      </c>
      <c r="N496" s="2">
        <f t="shared" si="36"/>
        <v>65.6</v>
      </c>
      <c r="O496" s="2">
        <f>IF(M496="","",IF(M496&gt;=1000,95,IF(M496&lt;=12.5,50,LOOKUP(M496,{12.5,15,20,30,45,60,75,105,115,150,200,225,250,600,1000},{50,55,60,62,65,68,70,72,75,80,82,85,87,90,95})+(M496-LOOKUP(M496,{12.5,15,20,30,45,60,75,105,115,150,200,225,250,600},{12.5,15,20,30,45,60,75,105,115,150,200,225,250,600}))/(LOOKUP(M496,{12.5,15,20,30,45,60,75,105,115,150,200,225,250,600,1000},{15,20,30,45,60,75,105,115,150,200,225,250,600,1000,1000})-LOOKUP(M496,{12.5,15,20,30,45,60,75,105,115,150,200,225,250,600},{12.5,15,20,30,45,60,75,105,115,150,200,225,250,600}))*(LOOKUP(M496,{12.5,15,20,30,45,60,75,105,115,150,200,225,250,600,1000},{55,60,62,65,68,70,72,75,80,82,85,87,90,95,95})-LOOKUP(M496,{12.5,15,20,30,45,60,75,105,115,150,200,225,250,600,1000},{50,55,60,62,65,68,70,72,75,80,82,85,87,90,95})))))</f>
        <v>65</v>
      </c>
      <c r="P496" s="2">
        <f t="shared" si="38"/>
        <v>4</v>
      </c>
      <c r="Q496" s="2">
        <f t="shared" si="39"/>
        <v>2</v>
      </c>
    </row>
    <row r="497" customHeight="1" spans="1:17">
      <c r="B497" s="2">
        <v>496</v>
      </c>
      <c r="C497" s="17">
        <f t="shared" si="37"/>
        <v>67.6</v>
      </c>
      <c r="D497" s="2" t="s">
        <v>831</v>
      </c>
      <c r="E497" s="9">
        <v>72</v>
      </c>
      <c r="F497" s="12">
        <v>60</v>
      </c>
      <c r="G497" s="2">
        <v>52</v>
      </c>
      <c r="H497" s="2" t="s">
        <v>37</v>
      </c>
      <c r="I497" s="2" t="s">
        <v>229</v>
      </c>
      <c r="J497" s="4" t="s">
        <v>105</v>
      </c>
      <c r="K497" s="2" t="s">
        <v>439</v>
      </c>
      <c r="M497" s="2">
        <f t="shared" si="35"/>
        <v>105</v>
      </c>
      <c r="N497" s="2">
        <f t="shared" si="36"/>
        <v>67.6</v>
      </c>
      <c r="O497" s="2">
        <f>IF(M497="","",IF(M497&gt;=1000,95,IF(M497&lt;=12.5,50,LOOKUP(M497,{12.5,15,20,30,45,60,75,105,115,150,200,225,250,600,1000},{50,55,60,62,65,68,70,72,75,80,82,85,87,90,95})+(M497-LOOKUP(M497,{12.5,15,20,30,45,60,75,105,115,150,200,225,250,600},{12.5,15,20,30,45,60,75,105,115,150,200,225,250,600}))/(LOOKUP(M497,{12.5,15,20,30,45,60,75,105,115,150,200,225,250,600,1000},{15,20,30,45,60,75,105,115,150,200,225,250,600,1000,1000})-LOOKUP(M497,{12.5,15,20,30,45,60,75,105,115,150,200,225,250,600},{12.5,15,20,30,45,60,75,105,115,150,200,225,250,600}))*(LOOKUP(M497,{12.5,15,20,30,45,60,75,105,115,150,200,225,250,600,1000},{55,60,62,65,68,70,72,75,80,82,85,87,90,95,95})-LOOKUP(M497,{12.5,15,20,30,45,60,75,105,115,150,200,225,250,600,1000},{50,55,60,62,65,68,70,72,75,80,82,85,87,90,95})))))</f>
        <v>72</v>
      </c>
      <c r="P497" s="2">
        <f t="shared" si="38"/>
        <v>0</v>
      </c>
      <c r="Q497" s="2">
        <f t="shared" si="39"/>
        <v>0</v>
      </c>
    </row>
    <row r="498" customHeight="1" spans="1:17">
      <c r="A498" s="2">
        <v>2026</v>
      </c>
      <c r="B498" s="2">
        <v>497</v>
      </c>
      <c r="C498" s="17">
        <f t="shared" si="37"/>
        <v>67.57</v>
      </c>
      <c r="D498" s="2" t="s">
        <v>832</v>
      </c>
      <c r="E498" s="12">
        <v>65</v>
      </c>
      <c r="F498" s="2">
        <v>50</v>
      </c>
      <c r="G498" s="2">
        <v>54</v>
      </c>
      <c r="H498" s="2" t="s">
        <v>41</v>
      </c>
      <c r="I498" s="2" t="s">
        <v>28</v>
      </c>
      <c r="J498" s="4" t="s">
        <v>77</v>
      </c>
      <c r="M498" s="2">
        <f t="shared" si="35"/>
        <v>12.5</v>
      </c>
      <c r="N498" s="2">
        <f t="shared" si="36"/>
        <v>60.9</v>
      </c>
      <c r="O498" s="2">
        <f>IF(M498="","",IF(M498&gt;=1000,95,IF(M498&lt;=12.5,50,LOOKUP(M498,{12.5,15,20,30,45,60,75,105,115,150,200,225,250,600,1000},{50,55,60,62,65,68,70,72,75,80,82,85,87,90,95})+(M498-LOOKUP(M498,{12.5,15,20,30,45,60,75,105,115,150,200,225,250,600},{12.5,15,20,30,45,60,75,105,115,150,200,225,250,600}))/(LOOKUP(M498,{12.5,15,20,30,45,60,75,105,115,150,200,225,250,600,1000},{15,20,30,45,60,75,105,115,150,200,225,250,600,1000,1000})-LOOKUP(M498,{12.5,15,20,30,45,60,75,105,115,150,200,225,250,600},{12.5,15,20,30,45,60,75,105,115,150,200,225,250,600}))*(LOOKUP(M498,{12.5,15,20,30,45,60,75,105,115,150,200,225,250,600,1000},{55,60,62,65,68,70,72,75,80,82,85,87,90,95,95})-LOOKUP(M498,{12.5,15,20,30,45,60,75,105,115,150,200,225,250,600,1000},{50,55,60,62,65,68,70,72,75,80,82,85,87,90,95})))))</f>
        <v>50</v>
      </c>
      <c r="P498" s="2">
        <f t="shared" si="38"/>
        <v>15</v>
      </c>
      <c r="Q498" s="2">
        <f t="shared" si="39"/>
        <v>6.67</v>
      </c>
    </row>
    <row r="499" customHeight="1" spans="1:17">
      <c r="B499" s="2">
        <v>498</v>
      </c>
      <c r="C499" s="17">
        <f t="shared" si="37"/>
        <v>67.5</v>
      </c>
      <c r="D499" s="2" t="s">
        <v>833</v>
      </c>
      <c r="E499" s="9">
        <v>71</v>
      </c>
      <c r="F499" s="12">
        <v>61</v>
      </c>
      <c r="G499" s="12">
        <v>61</v>
      </c>
      <c r="H499" s="2" t="s">
        <v>122</v>
      </c>
      <c r="I499" s="2" t="s">
        <v>18</v>
      </c>
      <c r="J499" s="4" t="s">
        <v>105</v>
      </c>
      <c r="M499" s="2">
        <f t="shared" si="35"/>
        <v>105</v>
      </c>
      <c r="N499" s="2">
        <f t="shared" si="36"/>
        <v>68</v>
      </c>
      <c r="O499" s="2">
        <f>IF(M499="","",IF(M499&gt;=1000,95,IF(M499&lt;=12.5,50,LOOKUP(M499,{12.5,15,20,30,45,60,75,105,115,150,200,225,250,600,1000},{50,55,60,62,65,68,70,72,75,80,82,85,87,90,95})+(M499-LOOKUP(M499,{12.5,15,20,30,45,60,75,105,115,150,200,225,250,600},{12.5,15,20,30,45,60,75,105,115,150,200,225,250,600}))/(LOOKUP(M499,{12.5,15,20,30,45,60,75,105,115,150,200,225,250,600,1000},{15,20,30,45,60,75,105,115,150,200,225,250,600,1000,1000})-LOOKUP(M499,{12.5,15,20,30,45,60,75,105,115,150,200,225,250,600},{12.5,15,20,30,45,60,75,105,115,150,200,225,250,600}))*(LOOKUP(M499,{12.5,15,20,30,45,60,75,105,115,150,200,225,250,600,1000},{55,60,62,65,68,70,72,75,80,82,85,87,90,95,95})-LOOKUP(M499,{12.5,15,20,30,45,60,75,105,115,150,200,225,250,600,1000},{50,55,60,62,65,68,70,72,75,80,82,85,87,90,95})))))</f>
        <v>72</v>
      </c>
      <c r="P499" s="2">
        <f t="shared" si="38"/>
        <v>-1</v>
      </c>
      <c r="Q499" s="2">
        <f t="shared" si="39"/>
        <v>-0.5</v>
      </c>
    </row>
    <row r="500" customHeight="1" spans="1:17">
      <c r="B500" s="2">
        <v>499</v>
      </c>
      <c r="C500" s="17">
        <f t="shared" si="37"/>
        <v>67.5</v>
      </c>
      <c r="D500" s="2" t="s">
        <v>834</v>
      </c>
      <c r="E500" s="12">
        <v>69</v>
      </c>
      <c r="F500" s="12">
        <v>60</v>
      </c>
      <c r="G500" s="2">
        <v>52</v>
      </c>
      <c r="H500" s="2" t="s">
        <v>41</v>
      </c>
      <c r="I500" s="2" t="s">
        <v>28</v>
      </c>
      <c r="J500" s="4" t="s">
        <v>38</v>
      </c>
      <c r="M500" s="2">
        <f t="shared" si="35"/>
        <v>45</v>
      </c>
      <c r="N500" s="2">
        <f t="shared" si="36"/>
        <v>65.5</v>
      </c>
      <c r="O500" s="2">
        <f>IF(M500="","",IF(M500&gt;=1000,95,IF(M500&lt;=12.5,50,LOOKUP(M500,{12.5,15,20,30,45,60,75,105,115,150,200,225,250,600,1000},{50,55,60,62,65,68,70,72,75,80,82,85,87,90,95})+(M500-LOOKUP(M500,{12.5,15,20,30,45,60,75,105,115,150,200,225,250,600},{12.5,15,20,30,45,60,75,105,115,150,200,225,250,600}))/(LOOKUP(M500,{12.5,15,20,30,45,60,75,105,115,150,200,225,250,600,1000},{15,20,30,45,60,75,105,115,150,200,225,250,600,1000,1000})-LOOKUP(M500,{12.5,15,20,30,45,60,75,105,115,150,200,225,250,600},{12.5,15,20,30,45,60,75,105,115,150,200,225,250,600}))*(LOOKUP(M500,{12.5,15,20,30,45,60,75,105,115,150,200,225,250,600,1000},{55,60,62,65,68,70,72,75,80,82,85,87,90,95,95})-LOOKUP(M500,{12.5,15,20,30,45,60,75,105,115,150,200,225,250,600,1000},{50,55,60,62,65,68,70,72,75,80,82,85,87,90,95})))))</f>
        <v>65</v>
      </c>
      <c r="P500" s="2">
        <f t="shared" si="38"/>
        <v>4</v>
      </c>
      <c r="Q500" s="2">
        <f t="shared" si="39"/>
        <v>2</v>
      </c>
    </row>
    <row r="501" customHeight="1" spans="1:17">
      <c r="B501" s="2">
        <v>500</v>
      </c>
      <c r="C501" s="17">
        <f t="shared" si="37"/>
        <v>67.5</v>
      </c>
      <c r="D501" s="2" t="s">
        <v>835</v>
      </c>
      <c r="E501" s="12">
        <v>68</v>
      </c>
      <c r="F501" s="2">
        <v>56</v>
      </c>
      <c r="G501" s="2">
        <v>47</v>
      </c>
      <c r="H501" s="2" t="s">
        <v>279</v>
      </c>
      <c r="I501" s="2" t="s">
        <v>28</v>
      </c>
      <c r="J501" s="4" t="s">
        <v>140</v>
      </c>
      <c r="M501" s="2">
        <f t="shared" si="35"/>
        <v>20</v>
      </c>
      <c r="N501" s="2">
        <f t="shared" si="36"/>
        <v>63.5</v>
      </c>
      <c r="O501" s="2">
        <f>IF(M501="","",IF(M501&gt;=1000,95,IF(M501&lt;=12.5,50,LOOKUP(M501,{12.5,15,20,30,45,60,75,105,115,150,200,225,250,600,1000},{50,55,60,62,65,68,70,72,75,80,82,85,87,90,95})+(M501-LOOKUP(M501,{12.5,15,20,30,45,60,75,105,115,150,200,225,250,600},{12.5,15,20,30,45,60,75,105,115,150,200,225,250,600}))/(LOOKUP(M501,{12.5,15,20,30,45,60,75,105,115,150,200,225,250,600,1000},{15,20,30,45,60,75,105,115,150,200,225,250,600,1000,1000})-LOOKUP(M501,{12.5,15,20,30,45,60,75,105,115,150,200,225,250,600},{12.5,15,20,30,45,60,75,105,115,150,200,225,250,600}))*(LOOKUP(M501,{12.5,15,20,30,45,60,75,105,115,150,200,225,250,600,1000},{55,60,62,65,68,70,72,75,80,82,85,87,90,95,95})-LOOKUP(M501,{12.5,15,20,30,45,60,75,105,115,150,200,225,250,600,1000},{50,55,60,62,65,68,70,72,75,80,82,85,87,90,95})))))</f>
        <v>60</v>
      </c>
      <c r="P501" s="2">
        <f t="shared" si="38"/>
        <v>8</v>
      </c>
      <c r="Q501" s="2">
        <f t="shared" si="39"/>
        <v>4</v>
      </c>
    </row>
    <row r="502" customHeight="1" spans="1:17">
      <c r="A502" s="2">
        <v>2026</v>
      </c>
      <c r="B502" s="2">
        <v>501</v>
      </c>
      <c r="C502" s="17">
        <f t="shared" si="37"/>
        <v>67.5</v>
      </c>
      <c r="D502" s="2" t="s">
        <v>836</v>
      </c>
      <c r="E502" s="12">
        <v>69</v>
      </c>
      <c r="F502" s="2">
        <v>51</v>
      </c>
      <c r="G502" s="2">
        <v>45</v>
      </c>
      <c r="H502" s="2" t="s">
        <v>41</v>
      </c>
      <c r="I502" s="2" t="s">
        <v>63</v>
      </c>
      <c r="J502" s="4" t="s">
        <v>140</v>
      </c>
      <c r="M502" s="2">
        <f t="shared" si="35"/>
        <v>20</v>
      </c>
      <c r="N502" s="2">
        <f t="shared" si="36"/>
        <v>63</v>
      </c>
      <c r="O502" s="2">
        <f>IF(M502="","",IF(M502&gt;=1000,95,IF(M502&lt;=12.5,50,LOOKUP(M502,{12.5,15,20,30,45,60,75,105,115,150,200,225,250,600,1000},{50,55,60,62,65,68,70,72,75,80,82,85,87,90,95})+(M502-LOOKUP(M502,{12.5,15,20,30,45,60,75,105,115,150,200,225,250,600},{12.5,15,20,30,45,60,75,105,115,150,200,225,250,600}))/(LOOKUP(M502,{12.5,15,20,30,45,60,75,105,115,150,200,225,250,600,1000},{15,20,30,45,60,75,105,115,150,200,225,250,600,1000,1000})-LOOKUP(M502,{12.5,15,20,30,45,60,75,105,115,150,200,225,250,600},{12.5,15,20,30,45,60,75,105,115,150,200,225,250,600}))*(LOOKUP(M502,{12.5,15,20,30,45,60,75,105,115,150,200,225,250,600,1000},{55,60,62,65,68,70,72,75,80,82,85,87,90,95,95})-LOOKUP(M502,{12.5,15,20,30,45,60,75,105,115,150,200,225,250,600,1000},{50,55,60,62,65,68,70,72,75,80,82,85,87,90,95})))))</f>
        <v>60</v>
      </c>
      <c r="P502" s="2">
        <f t="shared" si="38"/>
        <v>9</v>
      </c>
      <c r="Q502" s="2">
        <f t="shared" si="39"/>
        <v>4.5</v>
      </c>
    </row>
    <row r="503" customHeight="1" spans="1:17">
      <c r="B503" s="2">
        <v>502</v>
      </c>
      <c r="C503" s="17">
        <f t="shared" si="37"/>
        <v>67.43</v>
      </c>
      <c r="D503" s="2" t="s">
        <v>837</v>
      </c>
      <c r="E503" s="9">
        <v>72</v>
      </c>
      <c r="F503" s="9">
        <v>79</v>
      </c>
      <c r="G503" s="10">
        <v>89</v>
      </c>
      <c r="H503" s="2" t="s">
        <v>41</v>
      </c>
      <c r="I503" s="2" t="s">
        <v>435</v>
      </c>
      <c r="J503" s="4" t="s">
        <v>73</v>
      </c>
      <c r="K503" s="2" t="s">
        <v>838</v>
      </c>
      <c r="M503" s="2">
        <f t="shared" si="35"/>
        <v>600</v>
      </c>
      <c r="N503" s="2">
        <f t="shared" si="36"/>
        <v>75.1</v>
      </c>
      <c r="O503" s="2">
        <f>IF(M503="","",IF(M503&gt;=1000,95,IF(M503&lt;=12.5,50,LOOKUP(M503,{12.5,15,20,30,45,60,75,105,115,150,200,225,250,600,1000},{50,55,60,62,65,68,70,72,75,80,82,85,87,90,95})+(M503-LOOKUP(M503,{12.5,15,20,30,45,60,75,105,115,150,200,225,250,600},{12.5,15,20,30,45,60,75,105,115,150,200,225,250,600}))/(LOOKUP(M503,{12.5,15,20,30,45,60,75,105,115,150,200,225,250,600,1000},{15,20,30,45,60,75,105,115,150,200,225,250,600,1000,1000})-LOOKUP(M503,{12.5,15,20,30,45,60,75,105,115,150,200,225,250,600},{12.5,15,20,30,45,60,75,105,115,150,200,225,250,600}))*(LOOKUP(M503,{12.5,15,20,30,45,60,75,105,115,150,200,225,250,600,1000},{55,60,62,65,68,70,72,75,80,82,85,87,90,95,95})-LOOKUP(M503,{12.5,15,20,30,45,60,75,105,115,150,200,225,250,600,1000},{50,55,60,62,65,68,70,72,75,80,82,85,87,90,95})))))</f>
        <v>90</v>
      </c>
      <c r="P503" s="2">
        <f t="shared" si="38"/>
        <v>-18</v>
      </c>
      <c r="Q503" s="2">
        <f t="shared" si="39"/>
        <v>-7.67</v>
      </c>
    </row>
    <row r="504" customHeight="1" spans="1:17">
      <c r="B504" s="2">
        <v>503</v>
      </c>
      <c r="C504" s="17">
        <f t="shared" si="37"/>
        <v>67.43</v>
      </c>
      <c r="D504" s="2" t="s">
        <v>839</v>
      </c>
      <c r="E504" s="9">
        <v>72</v>
      </c>
      <c r="F504" s="10">
        <v>84</v>
      </c>
      <c r="G504" s="9">
        <v>79</v>
      </c>
      <c r="H504" s="2" t="s">
        <v>91</v>
      </c>
      <c r="I504" s="2" t="s">
        <v>183</v>
      </c>
      <c r="J504" s="4" t="s">
        <v>73</v>
      </c>
      <c r="M504" s="2">
        <f t="shared" si="35"/>
        <v>600</v>
      </c>
      <c r="N504" s="2">
        <f t="shared" si="36"/>
        <v>75.1</v>
      </c>
      <c r="O504" s="2">
        <f>IF(M504="","",IF(M504&gt;=1000,95,IF(M504&lt;=12.5,50,LOOKUP(M504,{12.5,15,20,30,45,60,75,105,115,150,200,225,250,600,1000},{50,55,60,62,65,68,70,72,75,80,82,85,87,90,95})+(M504-LOOKUP(M504,{12.5,15,20,30,45,60,75,105,115,150,200,225,250,600},{12.5,15,20,30,45,60,75,105,115,150,200,225,250,600}))/(LOOKUP(M504,{12.5,15,20,30,45,60,75,105,115,150,200,225,250,600,1000},{15,20,30,45,60,75,105,115,150,200,225,250,600,1000,1000})-LOOKUP(M504,{12.5,15,20,30,45,60,75,105,115,150,200,225,250,600},{12.5,15,20,30,45,60,75,105,115,150,200,225,250,600}))*(LOOKUP(M504,{12.5,15,20,30,45,60,75,105,115,150,200,225,250,600,1000},{55,60,62,65,68,70,72,75,80,82,85,87,90,95,95})-LOOKUP(M504,{12.5,15,20,30,45,60,75,105,115,150,200,225,250,600,1000},{50,55,60,62,65,68,70,72,75,80,82,85,87,90,95})))))</f>
        <v>90</v>
      </c>
      <c r="P504" s="2">
        <f t="shared" si="38"/>
        <v>-18</v>
      </c>
      <c r="Q504" s="2">
        <f t="shared" si="39"/>
        <v>-7.67</v>
      </c>
    </row>
    <row r="505" customHeight="1" spans="1:17">
      <c r="A505" s="2">
        <v>2026</v>
      </c>
      <c r="B505" s="2">
        <v>504</v>
      </c>
      <c r="C505" s="17">
        <f t="shared" si="37"/>
        <v>67.4</v>
      </c>
      <c r="D505" s="2" t="s">
        <v>840</v>
      </c>
      <c r="E505" s="9">
        <v>75</v>
      </c>
      <c r="F505" s="2">
        <v>40</v>
      </c>
      <c r="G505" s="2">
        <v>54</v>
      </c>
      <c r="H505" s="2" t="s">
        <v>54</v>
      </c>
      <c r="I505" s="2" t="s">
        <v>104</v>
      </c>
      <c r="J505" s="4" t="s">
        <v>105</v>
      </c>
      <c r="M505" s="2">
        <f t="shared" si="35"/>
        <v>105</v>
      </c>
      <c r="N505" s="2">
        <f t="shared" si="36"/>
        <v>65.9</v>
      </c>
      <c r="O505" s="2">
        <f>IF(M505="","",IF(M505&gt;=1000,95,IF(M505&lt;=12.5,50,LOOKUP(M505,{12.5,15,20,30,45,60,75,105,115,150,200,225,250,600,1000},{50,55,60,62,65,68,70,72,75,80,82,85,87,90,95})+(M505-LOOKUP(M505,{12.5,15,20,30,45,60,75,105,115,150,200,225,250,600},{12.5,15,20,30,45,60,75,105,115,150,200,225,250,600}))/(LOOKUP(M505,{12.5,15,20,30,45,60,75,105,115,150,200,225,250,600,1000},{15,20,30,45,60,75,105,115,150,200,225,250,600,1000,1000})-LOOKUP(M505,{12.5,15,20,30,45,60,75,105,115,150,200,225,250,600},{12.5,15,20,30,45,60,75,105,115,150,200,225,250,600}))*(LOOKUP(M505,{12.5,15,20,30,45,60,75,105,115,150,200,225,250,600,1000},{55,60,62,65,68,70,72,75,80,82,85,87,90,95,95})-LOOKUP(M505,{12.5,15,20,30,45,60,75,105,115,150,200,225,250,600,1000},{50,55,60,62,65,68,70,72,75,80,82,85,87,90,95})))))</f>
        <v>72</v>
      </c>
      <c r="P505" s="2">
        <f t="shared" si="38"/>
        <v>3</v>
      </c>
      <c r="Q505" s="2">
        <f t="shared" si="39"/>
        <v>1.5</v>
      </c>
    </row>
    <row r="506" customHeight="1" spans="1:17">
      <c r="B506" s="2">
        <v>505</v>
      </c>
      <c r="C506" s="17">
        <f t="shared" si="37"/>
        <v>67.4</v>
      </c>
      <c r="D506" s="2" t="s">
        <v>841</v>
      </c>
      <c r="E506" s="12">
        <v>69</v>
      </c>
      <c r="F506" s="2">
        <v>56</v>
      </c>
      <c r="G506" s="10">
        <v>84</v>
      </c>
      <c r="H506" s="2" t="s">
        <v>46</v>
      </c>
      <c r="I506" s="2" t="s">
        <v>63</v>
      </c>
      <c r="J506" s="4" t="s">
        <v>24</v>
      </c>
      <c r="M506" s="2">
        <f t="shared" si="35"/>
        <v>75</v>
      </c>
      <c r="N506" s="2">
        <f t="shared" si="36"/>
        <v>67.9</v>
      </c>
      <c r="O506" s="2">
        <f>IF(M506="","",IF(M506&gt;=1000,95,IF(M506&lt;=12.5,50,LOOKUP(M506,{12.5,15,20,30,45,60,75,105,115,150,200,225,250,600,1000},{50,55,60,62,65,68,70,72,75,80,82,85,87,90,95})+(M506-LOOKUP(M506,{12.5,15,20,30,45,60,75,105,115,150,200,225,250,600},{12.5,15,20,30,45,60,75,105,115,150,200,225,250,600}))/(LOOKUP(M506,{12.5,15,20,30,45,60,75,105,115,150,200,225,250,600,1000},{15,20,30,45,60,75,105,115,150,200,225,250,600,1000,1000})-LOOKUP(M506,{12.5,15,20,30,45,60,75,105,115,150,200,225,250,600},{12.5,15,20,30,45,60,75,105,115,150,200,225,250,600}))*(LOOKUP(M506,{12.5,15,20,30,45,60,75,105,115,150,200,225,250,600,1000},{55,60,62,65,68,70,72,75,80,82,85,87,90,95,95})-LOOKUP(M506,{12.5,15,20,30,45,60,75,105,115,150,200,225,250,600,1000},{50,55,60,62,65,68,70,72,75,80,82,85,87,90,95})))))</f>
        <v>70</v>
      </c>
      <c r="P506" s="2">
        <f t="shared" si="38"/>
        <v>-1</v>
      </c>
      <c r="Q506" s="2">
        <f t="shared" si="39"/>
        <v>-0.5</v>
      </c>
    </row>
    <row r="507" customHeight="1" spans="1:17">
      <c r="B507" s="2">
        <v>506</v>
      </c>
      <c r="C507" s="17">
        <f t="shared" si="37"/>
        <v>67.4</v>
      </c>
      <c r="D507" s="2" t="s">
        <v>842</v>
      </c>
      <c r="E507" s="12">
        <v>69</v>
      </c>
      <c r="F507" s="12">
        <v>66</v>
      </c>
      <c r="G507" s="12">
        <v>64</v>
      </c>
      <c r="H507" s="2" t="s">
        <v>41</v>
      </c>
      <c r="I507" s="2" t="s">
        <v>58</v>
      </c>
      <c r="J507" s="4" t="s">
        <v>24</v>
      </c>
      <c r="M507" s="2">
        <f t="shared" si="35"/>
        <v>75</v>
      </c>
      <c r="N507" s="2">
        <f t="shared" si="36"/>
        <v>67.9</v>
      </c>
      <c r="O507" s="2">
        <f>IF(M507="","",IF(M507&gt;=1000,95,IF(M507&lt;=12.5,50,LOOKUP(M507,{12.5,15,20,30,45,60,75,105,115,150,200,225,250,600,1000},{50,55,60,62,65,68,70,72,75,80,82,85,87,90,95})+(M507-LOOKUP(M507,{12.5,15,20,30,45,60,75,105,115,150,200,225,250,600},{12.5,15,20,30,45,60,75,105,115,150,200,225,250,600}))/(LOOKUP(M507,{12.5,15,20,30,45,60,75,105,115,150,200,225,250,600,1000},{15,20,30,45,60,75,105,115,150,200,225,250,600,1000,1000})-LOOKUP(M507,{12.5,15,20,30,45,60,75,105,115,150,200,225,250,600},{12.5,15,20,30,45,60,75,105,115,150,200,225,250,600}))*(LOOKUP(M507,{12.5,15,20,30,45,60,75,105,115,150,200,225,250,600,1000},{55,60,62,65,68,70,72,75,80,82,85,87,90,95,95})-LOOKUP(M507,{12.5,15,20,30,45,60,75,105,115,150,200,225,250,600,1000},{50,55,60,62,65,68,70,72,75,80,82,85,87,90,95})))))</f>
        <v>70</v>
      </c>
      <c r="P507" s="2">
        <f t="shared" si="38"/>
        <v>-1</v>
      </c>
      <c r="Q507" s="2">
        <f t="shared" si="39"/>
        <v>-0.5</v>
      </c>
    </row>
    <row r="508" customHeight="1" spans="1:17">
      <c r="A508" s="2">
        <v>2026</v>
      </c>
      <c r="B508" s="2">
        <v>507</v>
      </c>
      <c r="C508" s="17">
        <f t="shared" si="37"/>
        <v>67.4</v>
      </c>
      <c r="D508" s="2" t="s">
        <v>843</v>
      </c>
      <c r="E508" s="12">
        <v>67</v>
      </c>
      <c r="F508" s="12">
        <v>60</v>
      </c>
      <c r="G508" s="2">
        <v>50</v>
      </c>
      <c r="H508" s="2" t="s">
        <v>54</v>
      </c>
      <c r="I508" s="2" t="s">
        <v>28</v>
      </c>
      <c r="J508" s="4" t="s">
        <v>140</v>
      </c>
      <c r="M508" s="2">
        <f t="shared" si="35"/>
        <v>20</v>
      </c>
      <c r="N508" s="2">
        <f t="shared" si="36"/>
        <v>63.9</v>
      </c>
      <c r="O508" s="2">
        <f>IF(M508="","",IF(M508&gt;=1000,95,IF(M508&lt;=12.5,50,LOOKUP(M508,{12.5,15,20,30,45,60,75,105,115,150,200,225,250,600,1000},{50,55,60,62,65,68,70,72,75,80,82,85,87,90,95})+(M508-LOOKUP(M508,{12.5,15,20,30,45,60,75,105,115,150,200,225,250,600},{12.5,15,20,30,45,60,75,105,115,150,200,225,250,600}))/(LOOKUP(M508,{12.5,15,20,30,45,60,75,105,115,150,200,225,250,600,1000},{15,20,30,45,60,75,105,115,150,200,225,250,600,1000,1000})-LOOKUP(M508,{12.5,15,20,30,45,60,75,105,115,150,200,225,250,600},{12.5,15,20,30,45,60,75,105,115,150,200,225,250,600}))*(LOOKUP(M508,{12.5,15,20,30,45,60,75,105,115,150,200,225,250,600,1000},{55,60,62,65,68,70,72,75,80,82,85,87,90,95,95})-LOOKUP(M508,{12.5,15,20,30,45,60,75,105,115,150,200,225,250,600,1000},{50,55,60,62,65,68,70,72,75,80,82,85,87,90,95})))))</f>
        <v>60</v>
      </c>
      <c r="P508" s="2">
        <f t="shared" si="38"/>
        <v>7</v>
      </c>
      <c r="Q508" s="2">
        <f t="shared" si="39"/>
        <v>3.5</v>
      </c>
    </row>
    <row r="509" customHeight="1" spans="1:17">
      <c r="A509" s="2">
        <v>2026</v>
      </c>
      <c r="B509" s="2">
        <v>508</v>
      </c>
      <c r="C509" s="17">
        <f t="shared" si="37"/>
        <v>67.3</v>
      </c>
      <c r="D509" s="2" t="s">
        <v>844</v>
      </c>
      <c r="E509" s="9">
        <v>71</v>
      </c>
      <c r="F509" s="2">
        <v>52</v>
      </c>
      <c r="G509" s="2">
        <v>42</v>
      </c>
      <c r="H509" s="2" t="s">
        <v>102</v>
      </c>
      <c r="I509" s="2" t="s">
        <v>104</v>
      </c>
      <c r="J509" s="4" t="s">
        <v>38</v>
      </c>
      <c r="M509" s="2">
        <f t="shared" si="35"/>
        <v>45</v>
      </c>
      <c r="N509" s="2">
        <f t="shared" si="36"/>
        <v>64.3</v>
      </c>
      <c r="O509" s="2">
        <f>IF(M509="","",IF(M509&gt;=1000,95,IF(M509&lt;=12.5,50,LOOKUP(M509,{12.5,15,20,30,45,60,75,105,115,150,200,225,250,600,1000},{50,55,60,62,65,68,70,72,75,80,82,85,87,90,95})+(M509-LOOKUP(M509,{12.5,15,20,30,45,60,75,105,115,150,200,225,250,600},{12.5,15,20,30,45,60,75,105,115,150,200,225,250,600}))/(LOOKUP(M509,{12.5,15,20,30,45,60,75,105,115,150,200,225,250,600,1000},{15,20,30,45,60,75,105,115,150,200,225,250,600,1000,1000})-LOOKUP(M509,{12.5,15,20,30,45,60,75,105,115,150,200,225,250,600},{12.5,15,20,30,45,60,75,105,115,150,200,225,250,600}))*(LOOKUP(M509,{12.5,15,20,30,45,60,75,105,115,150,200,225,250,600,1000},{55,60,62,65,68,70,72,75,80,82,85,87,90,95,95})-LOOKUP(M509,{12.5,15,20,30,45,60,75,105,115,150,200,225,250,600,1000},{50,55,60,62,65,68,70,72,75,80,82,85,87,90,95})))))</f>
        <v>65</v>
      </c>
      <c r="P509" s="2">
        <f t="shared" si="38"/>
        <v>6</v>
      </c>
      <c r="Q509" s="2">
        <f t="shared" si="39"/>
        <v>3</v>
      </c>
    </row>
    <row r="510" customHeight="1" spans="1:17">
      <c r="A510" s="2">
        <v>2026</v>
      </c>
      <c r="B510" s="2">
        <v>509</v>
      </c>
      <c r="C510" s="17">
        <f t="shared" si="37"/>
        <v>67.3</v>
      </c>
      <c r="D510" s="2" t="s">
        <v>845</v>
      </c>
      <c r="E510" s="9">
        <v>70</v>
      </c>
      <c r="F510" s="12">
        <v>65</v>
      </c>
      <c r="G510" s="12">
        <v>63</v>
      </c>
      <c r="H510" s="2" t="s">
        <v>54</v>
      </c>
      <c r="I510" s="2" t="s">
        <v>58</v>
      </c>
      <c r="J510" s="4" t="s">
        <v>105</v>
      </c>
      <c r="M510" s="2">
        <f t="shared" si="35"/>
        <v>105</v>
      </c>
      <c r="N510" s="2">
        <f t="shared" si="36"/>
        <v>68.3</v>
      </c>
      <c r="O510" s="2">
        <f>IF(M510="","",IF(M510&gt;=1000,95,IF(M510&lt;=12.5,50,LOOKUP(M510,{12.5,15,20,30,45,60,75,105,115,150,200,225,250,600,1000},{50,55,60,62,65,68,70,72,75,80,82,85,87,90,95})+(M510-LOOKUP(M510,{12.5,15,20,30,45,60,75,105,115,150,200,225,250,600},{12.5,15,20,30,45,60,75,105,115,150,200,225,250,600}))/(LOOKUP(M510,{12.5,15,20,30,45,60,75,105,115,150,200,225,250,600,1000},{15,20,30,45,60,75,105,115,150,200,225,250,600,1000,1000})-LOOKUP(M510,{12.5,15,20,30,45,60,75,105,115,150,200,225,250,600},{12.5,15,20,30,45,60,75,105,115,150,200,225,250,600}))*(LOOKUP(M510,{12.5,15,20,30,45,60,75,105,115,150,200,225,250,600,1000},{55,60,62,65,68,70,72,75,80,82,85,87,90,95,95})-LOOKUP(M510,{12.5,15,20,30,45,60,75,105,115,150,200,225,250,600,1000},{50,55,60,62,65,68,70,72,75,80,82,85,87,90,95})))))</f>
        <v>72</v>
      </c>
      <c r="P510" s="2">
        <f t="shared" si="38"/>
        <v>-2</v>
      </c>
      <c r="Q510" s="2">
        <f t="shared" si="39"/>
        <v>-1</v>
      </c>
    </row>
    <row r="511" customHeight="1" spans="1:17">
      <c r="A511" s="2">
        <v>2026</v>
      </c>
      <c r="B511" s="2">
        <v>510</v>
      </c>
      <c r="C511" s="17">
        <f t="shared" si="37"/>
        <v>67.3</v>
      </c>
      <c r="D511" s="2" t="s">
        <v>846</v>
      </c>
      <c r="E511" s="9">
        <v>73</v>
      </c>
      <c r="F511" s="9">
        <v>70</v>
      </c>
      <c r="G511" s="2">
        <v>57</v>
      </c>
      <c r="H511" s="2" t="s">
        <v>54</v>
      </c>
      <c r="I511" s="2" t="s">
        <v>104</v>
      </c>
      <c r="J511" s="4" t="s">
        <v>59</v>
      </c>
      <c r="M511" s="2">
        <f t="shared" si="35"/>
        <v>150</v>
      </c>
      <c r="N511" s="2">
        <f t="shared" si="36"/>
        <v>70.8</v>
      </c>
      <c r="O511" s="2">
        <f>IF(M511="","",IF(M511&gt;=1000,95,IF(M511&lt;=12.5,50,LOOKUP(M511,{12.5,15,20,30,45,60,75,105,115,150,200,225,250,600,1000},{50,55,60,62,65,68,70,72,75,80,82,85,87,90,95})+(M511-LOOKUP(M511,{12.5,15,20,30,45,60,75,105,115,150,200,225,250,600},{12.5,15,20,30,45,60,75,105,115,150,200,225,250,600}))/(LOOKUP(M511,{12.5,15,20,30,45,60,75,105,115,150,200,225,250,600,1000},{15,20,30,45,60,75,105,115,150,200,225,250,600,1000,1000})-LOOKUP(M511,{12.5,15,20,30,45,60,75,105,115,150,200,225,250,600},{12.5,15,20,30,45,60,75,105,115,150,200,225,250,600}))*(LOOKUP(M511,{12.5,15,20,30,45,60,75,105,115,150,200,225,250,600,1000},{55,60,62,65,68,70,72,75,80,82,85,87,90,95,95})-LOOKUP(M511,{12.5,15,20,30,45,60,75,105,115,150,200,225,250,600,1000},{50,55,60,62,65,68,70,72,75,80,82,85,87,90,95})))))</f>
        <v>80</v>
      </c>
      <c r="P511" s="2">
        <f t="shared" si="38"/>
        <v>-7</v>
      </c>
      <c r="Q511" s="2">
        <f t="shared" si="39"/>
        <v>-3.5</v>
      </c>
    </row>
    <row r="512" customHeight="1" spans="1:17">
      <c r="B512" s="2">
        <v>511</v>
      </c>
      <c r="C512" s="17">
        <f t="shared" si="37"/>
        <v>67.3</v>
      </c>
      <c r="D512" s="2" t="s">
        <v>847</v>
      </c>
      <c r="E512" s="9">
        <v>75</v>
      </c>
      <c r="F512" s="12">
        <v>66</v>
      </c>
      <c r="G512" s="2">
        <v>51</v>
      </c>
      <c r="H512" s="2" t="s">
        <v>848</v>
      </c>
      <c r="I512" s="2" t="s">
        <v>23</v>
      </c>
      <c r="J512" s="4" t="s">
        <v>51</v>
      </c>
      <c r="M512" s="2">
        <f t="shared" si="35"/>
        <v>200</v>
      </c>
      <c r="N512" s="2">
        <f t="shared" si="36"/>
        <v>70.8</v>
      </c>
      <c r="O512" s="2">
        <f>IF(M512="","",IF(M512&gt;=1000,95,IF(M512&lt;=12.5,50,LOOKUP(M512,{12.5,15,20,30,45,60,75,105,115,150,200,225,250,600,1000},{50,55,60,62,65,68,70,72,75,80,82,85,87,90,95})+(M512-LOOKUP(M512,{12.5,15,20,30,45,60,75,105,115,150,200,225,250,600},{12.5,15,20,30,45,60,75,105,115,150,200,225,250,600}))/(LOOKUP(M512,{12.5,15,20,30,45,60,75,105,115,150,200,225,250,600,1000},{15,20,30,45,60,75,105,115,150,200,225,250,600,1000,1000})-LOOKUP(M512,{12.5,15,20,30,45,60,75,105,115,150,200,225,250,600},{12.5,15,20,30,45,60,75,105,115,150,200,225,250,600}))*(LOOKUP(M512,{12.5,15,20,30,45,60,75,105,115,150,200,225,250,600,1000},{55,60,62,65,68,70,72,75,80,82,85,87,90,95,95})-LOOKUP(M512,{12.5,15,20,30,45,60,75,105,115,150,200,225,250,600,1000},{50,55,60,62,65,68,70,72,75,80,82,85,87,90,95})))))</f>
        <v>82</v>
      </c>
      <c r="P512" s="2">
        <f t="shared" si="38"/>
        <v>-7</v>
      </c>
      <c r="Q512" s="2">
        <f t="shared" si="39"/>
        <v>-3.5</v>
      </c>
    </row>
    <row r="513" customHeight="1" spans="1:17">
      <c r="B513" s="2">
        <v>512</v>
      </c>
      <c r="C513" s="17">
        <f t="shared" si="37"/>
        <v>67.3</v>
      </c>
      <c r="D513" s="2" t="s">
        <v>849</v>
      </c>
      <c r="E513" s="9">
        <v>74</v>
      </c>
      <c r="F513" s="2">
        <v>53</v>
      </c>
      <c r="G513" s="2">
        <v>54</v>
      </c>
      <c r="H513" s="2" t="s">
        <v>46</v>
      </c>
      <c r="I513" s="2" t="s">
        <v>63</v>
      </c>
      <c r="J513" s="4" t="s">
        <v>148</v>
      </c>
      <c r="M513" s="2">
        <f t="shared" si="35"/>
        <v>115</v>
      </c>
      <c r="N513" s="2">
        <f t="shared" si="36"/>
        <v>67.8</v>
      </c>
      <c r="O513" s="2">
        <f>IF(M513="","",IF(M513&gt;=1000,95,IF(M513&lt;=12.5,50,LOOKUP(M513,{12.5,15,20,30,45,60,75,105,115,150,200,225,250,600,1000},{50,55,60,62,65,68,70,72,75,80,82,85,87,90,95})+(M513-LOOKUP(M513,{12.5,15,20,30,45,60,75,105,115,150,200,225,250,600},{12.5,15,20,30,45,60,75,105,115,150,200,225,250,600}))/(LOOKUP(M513,{12.5,15,20,30,45,60,75,105,115,150,200,225,250,600,1000},{15,20,30,45,60,75,105,115,150,200,225,250,600,1000,1000})-LOOKUP(M513,{12.5,15,20,30,45,60,75,105,115,150,200,225,250,600},{12.5,15,20,30,45,60,75,105,115,150,200,225,250,600}))*(LOOKUP(M513,{12.5,15,20,30,45,60,75,105,115,150,200,225,250,600,1000},{55,60,62,65,68,70,72,75,80,82,85,87,90,95,95})-LOOKUP(M513,{12.5,15,20,30,45,60,75,105,115,150,200,225,250,600,1000},{50,55,60,62,65,68,70,72,75,80,82,85,87,90,95})))))</f>
        <v>75</v>
      </c>
      <c r="P513" s="2">
        <f t="shared" si="38"/>
        <v>-1</v>
      </c>
      <c r="Q513" s="2">
        <f t="shared" si="39"/>
        <v>-0.5</v>
      </c>
    </row>
    <row r="514" customHeight="1" spans="1:17">
      <c r="A514" s="2">
        <v>2026</v>
      </c>
      <c r="B514" s="2">
        <v>513</v>
      </c>
      <c r="C514" s="17">
        <f t="shared" si="37"/>
        <v>67.3</v>
      </c>
      <c r="D514" s="2" t="s">
        <v>850</v>
      </c>
      <c r="E514" s="12">
        <v>69</v>
      </c>
      <c r="F514" s="2">
        <v>50</v>
      </c>
      <c r="G514" s="2">
        <v>45</v>
      </c>
      <c r="H514" s="2" t="s">
        <v>281</v>
      </c>
      <c r="I514" s="2" t="s">
        <v>63</v>
      </c>
      <c r="J514" s="4" t="s">
        <v>140</v>
      </c>
      <c r="M514" s="2">
        <f t="shared" ref="M514:M577" si="40">IF(J514="1000+",1000,(LEFT(J514,FIND("-",J514)-1)+RIGHT(J514,LEN(J514)-FIND("-",J514)))/2)</f>
        <v>20</v>
      </c>
      <c r="N514" s="2">
        <f t="shared" ref="N514:N577" si="41">ROUND(E514*0.7+F514*0.2+G514*0.1,2)</f>
        <v>62.8</v>
      </c>
      <c r="O514" s="2">
        <f>IF(M514="","",IF(M514&gt;=1000,95,IF(M514&lt;=12.5,50,LOOKUP(M514,{12.5,15,20,30,45,60,75,105,115,150,200,225,250,600,1000},{50,55,60,62,65,68,70,72,75,80,82,85,87,90,95})+(M514-LOOKUP(M514,{12.5,15,20,30,45,60,75,105,115,150,200,225,250,600},{12.5,15,20,30,45,60,75,105,115,150,200,225,250,600}))/(LOOKUP(M514,{12.5,15,20,30,45,60,75,105,115,150,200,225,250,600,1000},{15,20,30,45,60,75,105,115,150,200,225,250,600,1000,1000})-LOOKUP(M514,{12.5,15,20,30,45,60,75,105,115,150,200,225,250,600},{12.5,15,20,30,45,60,75,105,115,150,200,225,250,600}))*(LOOKUP(M514,{12.5,15,20,30,45,60,75,105,115,150,200,225,250,600,1000},{55,60,62,65,68,70,72,75,80,82,85,87,90,95,95})-LOOKUP(M514,{12.5,15,20,30,45,60,75,105,115,150,200,225,250,600,1000},{50,55,60,62,65,68,70,72,75,80,82,85,87,90,95})))))</f>
        <v>60</v>
      </c>
      <c r="P514" s="2">
        <f t="shared" si="38"/>
        <v>9</v>
      </c>
      <c r="Q514" s="2">
        <f t="shared" si="39"/>
        <v>4.5</v>
      </c>
    </row>
    <row r="515" customHeight="1" spans="1:17">
      <c r="A515" s="2">
        <v>2026</v>
      </c>
      <c r="B515" s="2">
        <v>514</v>
      </c>
      <c r="C515" s="17">
        <f t="shared" si="37"/>
        <v>67.3</v>
      </c>
      <c r="D515" s="2" t="s">
        <v>851</v>
      </c>
      <c r="E515" s="9">
        <v>71</v>
      </c>
      <c r="F515" s="12">
        <v>61</v>
      </c>
      <c r="G515" s="2">
        <v>59</v>
      </c>
      <c r="H515" s="2" t="s">
        <v>54</v>
      </c>
      <c r="I515" s="2" t="s">
        <v>852</v>
      </c>
      <c r="J515" s="4" t="s">
        <v>105</v>
      </c>
      <c r="M515" s="2">
        <f t="shared" si="40"/>
        <v>105</v>
      </c>
      <c r="N515" s="2">
        <f t="shared" si="41"/>
        <v>67.8</v>
      </c>
      <c r="O515" s="2">
        <f>IF(M515="","",IF(M515&gt;=1000,95,IF(M515&lt;=12.5,50,LOOKUP(M515,{12.5,15,20,30,45,60,75,105,115,150,200,225,250,600,1000},{50,55,60,62,65,68,70,72,75,80,82,85,87,90,95})+(M515-LOOKUP(M515,{12.5,15,20,30,45,60,75,105,115,150,200,225,250,600},{12.5,15,20,30,45,60,75,105,115,150,200,225,250,600}))/(LOOKUP(M515,{12.5,15,20,30,45,60,75,105,115,150,200,225,250,600,1000},{15,20,30,45,60,75,105,115,150,200,225,250,600,1000,1000})-LOOKUP(M515,{12.5,15,20,30,45,60,75,105,115,150,200,225,250,600},{12.5,15,20,30,45,60,75,105,115,150,200,225,250,600}))*(LOOKUP(M515,{12.5,15,20,30,45,60,75,105,115,150,200,225,250,600,1000},{55,60,62,65,68,70,72,75,80,82,85,87,90,95,95})-LOOKUP(M515,{12.5,15,20,30,45,60,75,105,115,150,200,225,250,600,1000},{50,55,60,62,65,68,70,72,75,80,82,85,87,90,95})))))</f>
        <v>72</v>
      </c>
      <c r="P515" s="2">
        <f t="shared" si="38"/>
        <v>-1</v>
      </c>
      <c r="Q515" s="2">
        <f t="shared" si="39"/>
        <v>-0.5</v>
      </c>
    </row>
    <row r="516" customHeight="1" spans="1:17">
      <c r="B516" s="2">
        <v>515</v>
      </c>
      <c r="C516" s="17">
        <f t="shared" si="37"/>
        <v>67.24</v>
      </c>
      <c r="D516" s="2" t="s">
        <v>853</v>
      </c>
      <c r="E516" s="12">
        <v>67</v>
      </c>
      <c r="F516" s="2">
        <v>48</v>
      </c>
      <c r="G516" s="2">
        <v>34</v>
      </c>
      <c r="H516" s="2" t="s">
        <v>91</v>
      </c>
      <c r="I516" s="2" t="s">
        <v>28</v>
      </c>
      <c r="J516" s="4" t="s">
        <v>77</v>
      </c>
      <c r="M516" s="2">
        <f t="shared" si="40"/>
        <v>12.5</v>
      </c>
      <c r="N516" s="2">
        <f t="shared" si="41"/>
        <v>59.9</v>
      </c>
      <c r="O516" s="2">
        <f>IF(M516="","",IF(M516&gt;=1000,95,IF(M516&lt;=12.5,50,LOOKUP(M516,{12.5,15,20,30,45,60,75,105,115,150,200,225,250,600,1000},{50,55,60,62,65,68,70,72,75,80,82,85,87,90,95})+(M516-LOOKUP(M516,{12.5,15,20,30,45,60,75,105,115,150,200,225,250,600},{12.5,15,20,30,45,60,75,105,115,150,200,225,250,600}))/(LOOKUP(M516,{12.5,15,20,30,45,60,75,105,115,150,200,225,250,600,1000},{15,20,30,45,60,75,105,115,150,200,225,250,600,1000,1000})-LOOKUP(M516,{12.5,15,20,30,45,60,75,105,115,150,200,225,250,600},{12.5,15,20,30,45,60,75,105,115,150,200,225,250,600}))*(LOOKUP(M516,{12.5,15,20,30,45,60,75,105,115,150,200,225,250,600,1000},{55,60,62,65,68,70,72,75,80,82,85,87,90,95,95})-LOOKUP(M516,{12.5,15,20,30,45,60,75,105,115,150,200,225,250,600,1000},{50,55,60,62,65,68,70,72,75,80,82,85,87,90,95})))))</f>
        <v>50</v>
      </c>
      <c r="P516" s="2">
        <f t="shared" si="38"/>
        <v>17</v>
      </c>
      <c r="Q516" s="2">
        <f t="shared" si="39"/>
        <v>7.34</v>
      </c>
    </row>
    <row r="517" customHeight="1" spans="1:17">
      <c r="A517" s="2">
        <v>2026</v>
      </c>
      <c r="B517" s="2">
        <v>516</v>
      </c>
      <c r="C517" s="17">
        <f t="shared" si="37"/>
        <v>67.17</v>
      </c>
      <c r="D517" s="2" t="s">
        <v>854</v>
      </c>
      <c r="E517" s="9">
        <v>71</v>
      </c>
      <c r="F517" s="10">
        <v>81</v>
      </c>
      <c r="G517" s="12">
        <v>66</v>
      </c>
      <c r="H517" s="2" t="s">
        <v>54</v>
      </c>
      <c r="I517" s="2" t="s">
        <v>23</v>
      </c>
      <c r="J517" s="4" t="s">
        <v>51</v>
      </c>
      <c r="K517" s="2" t="s">
        <v>855</v>
      </c>
      <c r="M517" s="2">
        <f t="shared" si="40"/>
        <v>200</v>
      </c>
      <c r="N517" s="2">
        <f t="shared" si="41"/>
        <v>72.5</v>
      </c>
      <c r="O517" s="2">
        <f>IF(M517="","",IF(M517&gt;=1000,95,IF(M517&lt;=12.5,50,LOOKUP(M517,{12.5,15,20,30,45,60,75,105,115,150,200,225,250,600,1000},{50,55,60,62,65,68,70,72,75,80,82,85,87,90,95})+(M517-LOOKUP(M517,{12.5,15,20,30,45,60,75,105,115,150,200,225,250,600},{12.5,15,20,30,45,60,75,105,115,150,200,225,250,600}))/(LOOKUP(M517,{12.5,15,20,30,45,60,75,105,115,150,200,225,250,600,1000},{15,20,30,45,60,75,105,115,150,200,225,250,600,1000,1000})-LOOKUP(M517,{12.5,15,20,30,45,60,75,105,115,150,200,225,250,600},{12.5,15,20,30,45,60,75,105,115,150,200,225,250,600}))*(LOOKUP(M517,{12.5,15,20,30,45,60,75,105,115,150,200,225,250,600,1000},{55,60,62,65,68,70,72,75,80,82,85,87,90,95,95})-LOOKUP(M517,{12.5,15,20,30,45,60,75,105,115,150,200,225,250,600,1000},{50,55,60,62,65,68,70,72,75,80,82,85,87,90,95})))))</f>
        <v>82</v>
      </c>
      <c r="P517" s="2">
        <f t="shared" si="38"/>
        <v>-11</v>
      </c>
      <c r="Q517" s="2">
        <f t="shared" si="39"/>
        <v>-5.33</v>
      </c>
    </row>
    <row r="518" customHeight="1" spans="1:17">
      <c r="A518" s="2">
        <v>2026</v>
      </c>
      <c r="B518" s="2">
        <v>517</v>
      </c>
      <c r="C518" s="17">
        <f t="shared" ref="C518:C581" si="42">ROUND(MAX(MIN(N518+Q518,100),0),2)</f>
        <v>67.1</v>
      </c>
      <c r="D518" s="2" t="s">
        <v>856</v>
      </c>
      <c r="E518" s="12">
        <v>68</v>
      </c>
      <c r="F518" s="9">
        <v>78</v>
      </c>
      <c r="G518" s="2">
        <v>39</v>
      </c>
      <c r="H518" s="2" t="s">
        <v>54</v>
      </c>
      <c r="I518" s="2" t="s">
        <v>50</v>
      </c>
      <c r="J518" s="4" t="s">
        <v>34</v>
      </c>
      <c r="M518" s="2">
        <f t="shared" si="40"/>
        <v>60</v>
      </c>
      <c r="N518" s="2">
        <f t="shared" si="41"/>
        <v>67.1</v>
      </c>
      <c r="O518" s="2">
        <f>IF(M518="","",IF(M518&gt;=1000,95,IF(M518&lt;=12.5,50,LOOKUP(M518,{12.5,15,20,30,45,60,75,105,115,150,200,225,250,600,1000},{50,55,60,62,65,68,70,72,75,80,82,85,87,90,95})+(M518-LOOKUP(M518,{12.5,15,20,30,45,60,75,105,115,150,200,225,250,600},{12.5,15,20,30,45,60,75,105,115,150,200,225,250,600}))/(LOOKUP(M518,{12.5,15,20,30,45,60,75,105,115,150,200,225,250,600,1000},{15,20,30,45,60,75,105,115,150,200,225,250,600,1000,1000})-LOOKUP(M518,{12.5,15,20,30,45,60,75,105,115,150,200,225,250,600},{12.5,15,20,30,45,60,75,105,115,150,200,225,250,600}))*(LOOKUP(M518,{12.5,15,20,30,45,60,75,105,115,150,200,225,250,600,1000},{55,60,62,65,68,70,72,75,80,82,85,87,90,95,95})-LOOKUP(M518,{12.5,15,20,30,45,60,75,105,115,150,200,225,250,600,1000},{50,55,60,62,65,68,70,72,75,80,82,85,87,90,95})))))</f>
        <v>68</v>
      </c>
      <c r="P518" s="2">
        <f t="shared" ref="P518:P581" si="43">E518-O518</f>
        <v>0</v>
      </c>
      <c r="Q518" s="2">
        <f t="shared" ref="Q518:Q581" si="44">ROUND(SIGN(P518)*IF(ABS(P518)&lt;=10,ABS(P518)*0.5,IF(ABS(P518)&lt;=15,5+(ABS(P518)-10)*(1.67/5),6.67+(ABS(P518)-15)*0.333)),2)</f>
        <v>0</v>
      </c>
    </row>
    <row r="519" customHeight="1" spans="1:17">
      <c r="B519" s="2">
        <v>518</v>
      </c>
      <c r="C519" s="17">
        <f t="shared" si="42"/>
        <v>67.1</v>
      </c>
      <c r="D519" s="2" t="s">
        <v>857</v>
      </c>
      <c r="E519" s="12">
        <v>66</v>
      </c>
      <c r="F519" s="10">
        <v>82</v>
      </c>
      <c r="G519" s="12">
        <v>65</v>
      </c>
      <c r="H519" s="2" t="s">
        <v>469</v>
      </c>
      <c r="I519" s="2" t="s">
        <v>128</v>
      </c>
      <c r="J519" s="4" t="s">
        <v>24</v>
      </c>
      <c r="K519" s="2" t="s">
        <v>858</v>
      </c>
      <c r="M519" s="2">
        <f t="shared" si="40"/>
        <v>75</v>
      </c>
      <c r="N519" s="2">
        <f t="shared" si="41"/>
        <v>69.1</v>
      </c>
      <c r="O519" s="2">
        <f>IF(M519="","",IF(M519&gt;=1000,95,IF(M519&lt;=12.5,50,LOOKUP(M519,{12.5,15,20,30,45,60,75,105,115,150,200,225,250,600,1000},{50,55,60,62,65,68,70,72,75,80,82,85,87,90,95})+(M519-LOOKUP(M519,{12.5,15,20,30,45,60,75,105,115,150,200,225,250,600},{12.5,15,20,30,45,60,75,105,115,150,200,225,250,600}))/(LOOKUP(M519,{12.5,15,20,30,45,60,75,105,115,150,200,225,250,600,1000},{15,20,30,45,60,75,105,115,150,200,225,250,600,1000,1000})-LOOKUP(M519,{12.5,15,20,30,45,60,75,105,115,150,200,225,250,600},{12.5,15,20,30,45,60,75,105,115,150,200,225,250,600}))*(LOOKUP(M519,{12.5,15,20,30,45,60,75,105,115,150,200,225,250,600,1000},{55,60,62,65,68,70,72,75,80,82,85,87,90,95,95})-LOOKUP(M519,{12.5,15,20,30,45,60,75,105,115,150,200,225,250,600,1000},{50,55,60,62,65,68,70,72,75,80,82,85,87,90,95})))))</f>
        <v>70</v>
      </c>
      <c r="P519" s="2">
        <f t="shared" si="43"/>
        <v>-4</v>
      </c>
      <c r="Q519" s="2">
        <f t="shared" si="44"/>
        <v>-2</v>
      </c>
    </row>
    <row r="520" customHeight="1" spans="1:17">
      <c r="B520" s="2">
        <v>519</v>
      </c>
      <c r="C520" s="17">
        <f t="shared" si="42"/>
        <v>67.1</v>
      </c>
      <c r="D520" s="2" t="s">
        <v>859</v>
      </c>
      <c r="E520" s="12">
        <v>66</v>
      </c>
      <c r="F520" s="9">
        <v>73</v>
      </c>
      <c r="G520" s="2">
        <v>43</v>
      </c>
      <c r="H520" s="2" t="s">
        <v>37</v>
      </c>
      <c r="I520" s="2" t="s">
        <v>28</v>
      </c>
      <c r="J520" s="4" t="s">
        <v>88</v>
      </c>
      <c r="M520" s="2">
        <f t="shared" si="40"/>
        <v>30</v>
      </c>
      <c r="N520" s="2">
        <f t="shared" si="41"/>
        <v>65.1</v>
      </c>
      <c r="O520" s="2">
        <f>IF(M520="","",IF(M520&gt;=1000,95,IF(M520&lt;=12.5,50,LOOKUP(M520,{12.5,15,20,30,45,60,75,105,115,150,200,225,250,600,1000},{50,55,60,62,65,68,70,72,75,80,82,85,87,90,95})+(M520-LOOKUP(M520,{12.5,15,20,30,45,60,75,105,115,150,200,225,250,600},{12.5,15,20,30,45,60,75,105,115,150,200,225,250,600}))/(LOOKUP(M520,{12.5,15,20,30,45,60,75,105,115,150,200,225,250,600,1000},{15,20,30,45,60,75,105,115,150,200,225,250,600,1000,1000})-LOOKUP(M520,{12.5,15,20,30,45,60,75,105,115,150,200,225,250,600},{12.5,15,20,30,45,60,75,105,115,150,200,225,250,600}))*(LOOKUP(M520,{12.5,15,20,30,45,60,75,105,115,150,200,225,250,600,1000},{55,60,62,65,68,70,72,75,80,82,85,87,90,95,95})-LOOKUP(M520,{12.5,15,20,30,45,60,75,105,115,150,200,225,250,600,1000},{50,55,60,62,65,68,70,72,75,80,82,85,87,90,95})))))</f>
        <v>62</v>
      </c>
      <c r="P520" s="2">
        <f t="shared" si="43"/>
        <v>4</v>
      </c>
      <c r="Q520" s="2">
        <f t="shared" si="44"/>
        <v>2</v>
      </c>
    </row>
    <row r="521" customHeight="1" spans="1:17">
      <c r="A521" s="2">
        <v>2026</v>
      </c>
      <c r="B521" s="2">
        <v>520</v>
      </c>
      <c r="C521" s="17">
        <f t="shared" si="42"/>
        <v>67.07</v>
      </c>
      <c r="D521" s="2" t="s">
        <v>860</v>
      </c>
      <c r="E521" s="9">
        <v>71</v>
      </c>
      <c r="F521" s="9">
        <v>72</v>
      </c>
      <c r="G521" s="10">
        <v>83</v>
      </c>
      <c r="H521" s="2" t="s">
        <v>54</v>
      </c>
      <c r="I521" s="2" t="s">
        <v>229</v>
      </c>
      <c r="J521" s="4" t="s">
        <v>51</v>
      </c>
      <c r="M521" s="2">
        <f t="shared" si="40"/>
        <v>200</v>
      </c>
      <c r="N521" s="2">
        <f t="shared" si="41"/>
        <v>72.4</v>
      </c>
      <c r="O521" s="2">
        <f>IF(M521="","",IF(M521&gt;=1000,95,IF(M521&lt;=12.5,50,LOOKUP(M521,{12.5,15,20,30,45,60,75,105,115,150,200,225,250,600,1000},{50,55,60,62,65,68,70,72,75,80,82,85,87,90,95})+(M521-LOOKUP(M521,{12.5,15,20,30,45,60,75,105,115,150,200,225,250,600},{12.5,15,20,30,45,60,75,105,115,150,200,225,250,600}))/(LOOKUP(M521,{12.5,15,20,30,45,60,75,105,115,150,200,225,250,600,1000},{15,20,30,45,60,75,105,115,150,200,225,250,600,1000,1000})-LOOKUP(M521,{12.5,15,20,30,45,60,75,105,115,150,200,225,250,600},{12.5,15,20,30,45,60,75,105,115,150,200,225,250,600}))*(LOOKUP(M521,{12.5,15,20,30,45,60,75,105,115,150,200,225,250,600,1000},{55,60,62,65,68,70,72,75,80,82,85,87,90,95,95})-LOOKUP(M521,{12.5,15,20,30,45,60,75,105,115,150,200,225,250,600,1000},{50,55,60,62,65,68,70,72,75,80,82,85,87,90,95})))))</f>
        <v>82</v>
      </c>
      <c r="P521" s="2">
        <f t="shared" si="43"/>
        <v>-11</v>
      </c>
      <c r="Q521" s="2">
        <f t="shared" si="44"/>
        <v>-5.33</v>
      </c>
    </row>
    <row r="522" customHeight="1" spans="1:17">
      <c r="A522" s="2">
        <v>2026</v>
      </c>
      <c r="B522" s="2">
        <v>521</v>
      </c>
      <c r="C522" s="17">
        <f t="shared" si="42"/>
        <v>67</v>
      </c>
      <c r="D522" s="2" t="s">
        <v>861</v>
      </c>
      <c r="E522" s="2">
        <v>66</v>
      </c>
      <c r="F522" s="2">
        <v>62</v>
      </c>
      <c r="G522" s="2">
        <v>54</v>
      </c>
      <c r="H522" s="2" t="s">
        <v>37</v>
      </c>
      <c r="I522" s="2" t="s">
        <v>28</v>
      </c>
      <c r="J522" s="4" t="s">
        <v>140</v>
      </c>
      <c r="M522" s="2">
        <f t="shared" si="40"/>
        <v>20</v>
      </c>
      <c r="N522" s="2">
        <f t="shared" si="41"/>
        <v>64</v>
      </c>
      <c r="O522" s="2">
        <f>IF(M522="","",IF(M522&gt;=1000,95,IF(M522&lt;=12.5,50,LOOKUP(M522,{12.5,15,20,30,45,60,75,105,115,150,200,225,250,600,1000},{50,55,60,62,65,68,70,72,75,80,82,85,87,90,95})+(M522-LOOKUP(M522,{12.5,15,20,30,45,60,75,105,115,150,200,225,250,600},{12.5,15,20,30,45,60,75,105,115,150,200,225,250,600}))/(LOOKUP(M522,{12.5,15,20,30,45,60,75,105,115,150,200,225,250,600,1000},{15,20,30,45,60,75,105,115,150,200,225,250,600,1000,1000})-LOOKUP(M522,{12.5,15,20,30,45,60,75,105,115,150,200,225,250,600},{12.5,15,20,30,45,60,75,105,115,150,200,225,250,600}))*(LOOKUP(M522,{12.5,15,20,30,45,60,75,105,115,150,200,225,250,600,1000},{55,60,62,65,68,70,72,75,80,82,85,87,90,95,95})-LOOKUP(M522,{12.5,15,20,30,45,60,75,105,115,150,200,225,250,600,1000},{50,55,60,62,65,68,70,72,75,80,82,85,87,90,95})))))</f>
        <v>60</v>
      </c>
      <c r="P522" s="2">
        <f t="shared" si="43"/>
        <v>6</v>
      </c>
      <c r="Q522" s="2">
        <f t="shared" si="44"/>
        <v>3</v>
      </c>
    </row>
    <row r="523" customHeight="1" spans="1:17">
      <c r="A523" s="2">
        <v>2026</v>
      </c>
      <c r="B523" s="2">
        <v>522</v>
      </c>
      <c r="C523" s="17">
        <f t="shared" si="42"/>
        <v>67</v>
      </c>
      <c r="D523" s="2" t="s">
        <v>862</v>
      </c>
      <c r="E523" s="9">
        <v>74</v>
      </c>
      <c r="F523" s="12">
        <v>65</v>
      </c>
      <c r="G523" s="12">
        <v>62</v>
      </c>
      <c r="H523" s="2" t="s">
        <v>264</v>
      </c>
      <c r="I523" s="2" t="s">
        <v>638</v>
      </c>
      <c r="J523" s="4" t="s">
        <v>51</v>
      </c>
      <c r="M523" s="2">
        <f t="shared" si="40"/>
        <v>200</v>
      </c>
      <c r="N523" s="2">
        <f t="shared" si="41"/>
        <v>71</v>
      </c>
      <c r="O523" s="2">
        <f>IF(M523="","",IF(M523&gt;=1000,95,IF(M523&lt;=12.5,50,LOOKUP(M523,{12.5,15,20,30,45,60,75,105,115,150,200,225,250,600,1000},{50,55,60,62,65,68,70,72,75,80,82,85,87,90,95})+(M523-LOOKUP(M523,{12.5,15,20,30,45,60,75,105,115,150,200,225,250,600},{12.5,15,20,30,45,60,75,105,115,150,200,225,250,600}))/(LOOKUP(M523,{12.5,15,20,30,45,60,75,105,115,150,200,225,250,600,1000},{15,20,30,45,60,75,105,115,150,200,225,250,600,1000,1000})-LOOKUP(M523,{12.5,15,20,30,45,60,75,105,115,150,200,225,250,600},{12.5,15,20,30,45,60,75,105,115,150,200,225,250,600}))*(LOOKUP(M523,{12.5,15,20,30,45,60,75,105,115,150,200,225,250,600,1000},{55,60,62,65,68,70,72,75,80,82,85,87,90,95,95})-LOOKUP(M523,{12.5,15,20,30,45,60,75,105,115,150,200,225,250,600,1000},{50,55,60,62,65,68,70,72,75,80,82,85,87,90,95})))))</f>
        <v>82</v>
      </c>
      <c r="P523" s="2">
        <f t="shared" si="43"/>
        <v>-8</v>
      </c>
      <c r="Q523" s="2">
        <f t="shared" si="44"/>
        <v>-4</v>
      </c>
    </row>
    <row r="524" customHeight="1" spans="1:17">
      <c r="A524" s="2">
        <v>2026</v>
      </c>
      <c r="B524" s="2">
        <v>523</v>
      </c>
      <c r="C524" s="17">
        <f t="shared" si="42"/>
        <v>67</v>
      </c>
      <c r="D524" s="2" t="s">
        <v>863</v>
      </c>
      <c r="E524" s="9">
        <v>71</v>
      </c>
      <c r="F524" s="2">
        <v>59</v>
      </c>
      <c r="G524" s="12">
        <v>60</v>
      </c>
      <c r="H524" s="2" t="s">
        <v>347</v>
      </c>
      <c r="I524" s="2" t="s">
        <v>104</v>
      </c>
      <c r="J524" s="4" t="s">
        <v>105</v>
      </c>
      <c r="M524" s="2">
        <f t="shared" si="40"/>
        <v>105</v>
      </c>
      <c r="N524" s="2">
        <f t="shared" si="41"/>
        <v>67.5</v>
      </c>
      <c r="O524" s="2">
        <f>IF(M524="","",IF(M524&gt;=1000,95,IF(M524&lt;=12.5,50,LOOKUP(M524,{12.5,15,20,30,45,60,75,105,115,150,200,225,250,600,1000},{50,55,60,62,65,68,70,72,75,80,82,85,87,90,95})+(M524-LOOKUP(M524,{12.5,15,20,30,45,60,75,105,115,150,200,225,250,600},{12.5,15,20,30,45,60,75,105,115,150,200,225,250,600}))/(LOOKUP(M524,{12.5,15,20,30,45,60,75,105,115,150,200,225,250,600,1000},{15,20,30,45,60,75,105,115,150,200,225,250,600,1000,1000})-LOOKUP(M524,{12.5,15,20,30,45,60,75,105,115,150,200,225,250,600},{12.5,15,20,30,45,60,75,105,115,150,200,225,250,600}))*(LOOKUP(M524,{12.5,15,20,30,45,60,75,105,115,150,200,225,250,600,1000},{55,60,62,65,68,70,72,75,80,82,85,87,90,95,95})-LOOKUP(M524,{12.5,15,20,30,45,60,75,105,115,150,200,225,250,600,1000},{50,55,60,62,65,68,70,72,75,80,82,85,87,90,95})))))</f>
        <v>72</v>
      </c>
      <c r="P524" s="2">
        <f t="shared" si="43"/>
        <v>-1</v>
      </c>
      <c r="Q524" s="2">
        <f t="shared" si="44"/>
        <v>-0.5</v>
      </c>
    </row>
    <row r="525" customHeight="1" spans="1:17">
      <c r="A525" s="2">
        <v>2026</v>
      </c>
      <c r="B525" s="2">
        <v>524</v>
      </c>
      <c r="C525" s="17">
        <f t="shared" si="42"/>
        <v>67</v>
      </c>
      <c r="D525" s="2" t="s">
        <v>864</v>
      </c>
      <c r="E525" s="9">
        <v>72</v>
      </c>
      <c r="F525" s="9">
        <v>74</v>
      </c>
      <c r="G525" s="9">
        <v>78</v>
      </c>
      <c r="H525" s="2" t="s">
        <v>54</v>
      </c>
      <c r="I525" s="2" t="s">
        <v>104</v>
      </c>
      <c r="J525" s="4" t="s">
        <v>19</v>
      </c>
      <c r="M525" s="2">
        <f t="shared" si="40"/>
        <v>225</v>
      </c>
      <c r="N525" s="2">
        <f t="shared" si="41"/>
        <v>73</v>
      </c>
      <c r="O525" s="2">
        <f>IF(M525="","",IF(M525&gt;=1000,95,IF(M525&lt;=12.5,50,LOOKUP(M525,{12.5,15,20,30,45,60,75,105,115,150,200,225,250,600,1000},{50,55,60,62,65,68,70,72,75,80,82,85,87,90,95})+(M525-LOOKUP(M525,{12.5,15,20,30,45,60,75,105,115,150,200,225,250,600},{12.5,15,20,30,45,60,75,105,115,150,200,225,250,600}))/(LOOKUP(M525,{12.5,15,20,30,45,60,75,105,115,150,200,225,250,600,1000},{15,20,30,45,60,75,105,115,150,200,225,250,600,1000,1000})-LOOKUP(M525,{12.5,15,20,30,45,60,75,105,115,150,200,225,250,600},{12.5,15,20,30,45,60,75,105,115,150,200,225,250,600}))*(LOOKUP(M525,{12.5,15,20,30,45,60,75,105,115,150,200,225,250,600,1000},{55,60,62,65,68,70,72,75,80,82,85,87,90,95,95})-LOOKUP(M525,{12.5,15,20,30,45,60,75,105,115,150,200,225,250,600,1000},{50,55,60,62,65,68,70,72,75,80,82,85,87,90,95})))))</f>
        <v>85</v>
      </c>
      <c r="P525" s="2">
        <f t="shared" si="43"/>
        <v>-13</v>
      </c>
      <c r="Q525" s="2">
        <f t="shared" si="44"/>
        <v>-6</v>
      </c>
    </row>
    <row r="526" customHeight="1" spans="1:17">
      <c r="B526" s="2">
        <v>525</v>
      </c>
      <c r="C526" s="17">
        <f t="shared" si="42"/>
        <v>67</v>
      </c>
      <c r="D526" s="2" t="s">
        <v>865</v>
      </c>
      <c r="E526" s="12">
        <v>69</v>
      </c>
      <c r="F526" s="12">
        <v>65</v>
      </c>
      <c r="G526" s="9">
        <v>72</v>
      </c>
      <c r="H526" s="2" t="s">
        <v>37</v>
      </c>
      <c r="I526" s="2" t="s">
        <v>435</v>
      </c>
      <c r="J526" s="4" t="s">
        <v>105</v>
      </c>
      <c r="M526" s="2">
        <f t="shared" si="40"/>
        <v>105</v>
      </c>
      <c r="N526" s="2">
        <f t="shared" si="41"/>
        <v>68.5</v>
      </c>
      <c r="O526" s="2">
        <f>IF(M526="","",IF(M526&gt;=1000,95,IF(M526&lt;=12.5,50,LOOKUP(M526,{12.5,15,20,30,45,60,75,105,115,150,200,225,250,600,1000},{50,55,60,62,65,68,70,72,75,80,82,85,87,90,95})+(M526-LOOKUP(M526,{12.5,15,20,30,45,60,75,105,115,150,200,225,250,600},{12.5,15,20,30,45,60,75,105,115,150,200,225,250,600}))/(LOOKUP(M526,{12.5,15,20,30,45,60,75,105,115,150,200,225,250,600,1000},{15,20,30,45,60,75,105,115,150,200,225,250,600,1000,1000})-LOOKUP(M526,{12.5,15,20,30,45,60,75,105,115,150,200,225,250,600},{12.5,15,20,30,45,60,75,105,115,150,200,225,250,600}))*(LOOKUP(M526,{12.5,15,20,30,45,60,75,105,115,150,200,225,250,600,1000},{55,60,62,65,68,70,72,75,80,82,85,87,90,95,95})-LOOKUP(M526,{12.5,15,20,30,45,60,75,105,115,150,200,225,250,600,1000},{50,55,60,62,65,68,70,72,75,80,82,85,87,90,95})))))</f>
        <v>72</v>
      </c>
      <c r="P526" s="2">
        <f t="shared" si="43"/>
        <v>-3</v>
      </c>
      <c r="Q526" s="2">
        <f t="shared" si="44"/>
        <v>-1.5</v>
      </c>
    </row>
    <row r="527" customHeight="1" spans="1:17">
      <c r="B527" s="2">
        <v>526</v>
      </c>
      <c r="C527" s="17">
        <f t="shared" si="42"/>
        <v>67</v>
      </c>
      <c r="D527" s="2" t="s">
        <v>866</v>
      </c>
      <c r="E527" s="9">
        <v>71</v>
      </c>
      <c r="F527" s="2">
        <v>55</v>
      </c>
      <c r="G527" s="2">
        <v>48</v>
      </c>
      <c r="H527" s="2" t="s">
        <v>32</v>
      </c>
      <c r="I527" s="2" t="s">
        <v>33</v>
      </c>
      <c r="J527" s="4" t="s">
        <v>34</v>
      </c>
      <c r="M527" s="2">
        <f t="shared" si="40"/>
        <v>60</v>
      </c>
      <c r="N527" s="2">
        <f t="shared" si="41"/>
        <v>65.5</v>
      </c>
      <c r="O527" s="2">
        <f>IF(M527="","",IF(M527&gt;=1000,95,IF(M527&lt;=12.5,50,LOOKUP(M527,{12.5,15,20,30,45,60,75,105,115,150,200,225,250,600,1000},{50,55,60,62,65,68,70,72,75,80,82,85,87,90,95})+(M527-LOOKUP(M527,{12.5,15,20,30,45,60,75,105,115,150,200,225,250,600},{12.5,15,20,30,45,60,75,105,115,150,200,225,250,600}))/(LOOKUP(M527,{12.5,15,20,30,45,60,75,105,115,150,200,225,250,600,1000},{15,20,30,45,60,75,105,115,150,200,225,250,600,1000,1000})-LOOKUP(M527,{12.5,15,20,30,45,60,75,105,115,150,200,225,250,600},{12.5,15,20,30,45,60,75,105,115,150,200,225,250,600}))*(LOOKUP(M527,{12.5,15,20,30,45,60,75,105,115,150,200,225,250,600,1000},{55,60,62,65,68,70,72,75,80,82,85,87,90,95,95})-LOOKUP(M527,{12.5,15,20,30,45,60,75,105,115,150,200,225,250,600,1000},{50,55,60,62,65,68,70,72,75,80,82,85,87,90,95})))))</f>
        <v>68</v>
      </c>
      <c r="P527" s="2">
        <f t="shared" si="43"/>
        <v>3</v>
      </c>
      <c r="Q527" s="2">
        <f t="shared" si="44"/>
        <v>1.5</v>
      </c>
    </row>
    <row r="528" customHeight="1" spans="1:17">
      <c r="B528" s="2">
        <v>527</v>
      </c>
      <c r="C528" s="17">
        <f t="shared" si="42"/>
        <v>67</v>
      </c>
      <c r="D528" s="2" t="s">
        <v>867</v>
      </c>
      <c r="E528" s="12">
        <v>69</v>
      </c>
      <c r="F528" s="2">
        <v>51</v>
      </c>
      <c r="G528" s="2">
        <v>40</v>
      </c>
      <c r="H528" s="2" t="s">
        <v>367</v>
      </c>
      <c r="I528" s="2" t="s">
        <v>63</v>
      </c>
      <c r="J528" s="4" t="s">
        <v>140</v>
      </c>
      <c r="M528" s="2">
        <f t="shared" si="40"/>
        <v>20</v>
      </c>
      <c r="N528" s="2">
        <f t="shared" si="41"/>
        <v>62.5</v>
      </c>
      <c r="O528" s="2">
        <f>IF(M528="","",IF(M528&gt;=1000,95,IF(M528&lt;=12.5,50,LOOKUP(M528,{12.5,15,20,30,45,60,75,105,115,150,200,225,250,600,1000},{50,55,60,62,65,68,70,72,75,80,82,85,87,90,95})+(M528-LOOKUP(M528,{12.5,15,20,30,45,60,75,105,115,150,200,225,250,600},{12.5,15,20,30,45,60,75,105,115,150,200,225,250,600}))/(LOOKUP(M528,{12.5,15,20,30,45,60,75,105,115,150,200,225,250,600,1000},{15,20,30,45,60,75,105,115,150,200,225,250,600,1000,1000})-LOOKUP(M528,{12.5,15,20,30,45,60,75,105,115,150,200,225,250,600},{12.5,15,20,30,45,60,75,105,115,150,200,225,250,600}))*(LOOKUP(M528,{12.5,15,20,30,45,60,75,105,115,150,200,225,250,600,1000},{55,60,62,65,68,70,72,75,80,82,85,87,90,95,95})-LOOKUP(M528,{12.5,15,20,30,45,60,75,105,115,150,200,225,250,600,1000},{50,55,60,62,65,68,70,72,75,80,82,85,87,90,95})))))</f>
        <v>60</v>
      </c>
      <c r="P528" s="2">
        <f t="shared" si="43"/>
        <v>9</v>
      </c>
      <c r="Q528" s="2">
        <f t="shared" si="44"/>
        <v>4.5</v>
      </c>
    </row>
    <row r="529" customHeight="1" spans="1:17">
      <c r="B529" s="2">
        <v>528</v>
      </c>
      <c r="C529" s="17">
        <f t="shared" si="42"/>
        <v>67</v>
      </c>
      <c r="D529" s="2" t="s">
        <v>868</v>
      </c>
      <c r="E529" s="10">
        <v>81</v>
      </c>
      <c r="F529" s="2">
        <v>53</v>
      </c>
      <c r="G529" s="2">
        <v>42</v>
      </c>
      <c r="H529" s="2" t="s">
        <v>339</v>
      </c>
      <c r="I529" s="2" t="s">
        <v>183</v>
      </c>
      <c r="J529" s="4" t="s">
        <v>73</v>
      </c>
      <c r="K529" s="2" t="s">
        <v>869</v>
      </c>
      <c r="M529" s="2">
        <f t="shared" si="40"/>
        <v>600</v>
      </c>
      <c r="N529" s="2">
        <f t="shared" si="41"/>
        <v>71.5</v>
      </c>
      <c r="O529" s="2">
        <f>IF(M529="","",IF(M529&gt;=1000,95,IF(M529&lt;=12.5,50,LOOKUP(M529,{12.5,15,20,30,45,60,75,105,115,150,200,225,250,600,1000},{50,55,60,62,65,68,70,72,75,80,82,85,87,90,95})+(M529-LOOKUP(M529,{12.5,15,20,30,45,60,75,105,115,150,200,225,250,600},{12.5,15,20,30,45,60,75,105,115,150,200,225,250,600}))/(LOOKUP(M529,{12.5,15,20,30,45,60,75,105,115,150,200,225,250,600,1000},{15,20,30,45,60,75,105,115,150,200,225,250,600,1000,1000})-LOOKUP(M529,{12.5,15,20,30,45,60,75,105,115,150,200,225,250,600},{12.5,15,20,30,45,60,75,105,115,150,200,225,250,600}))*(LOOKUP(M529,{12.5,15,20,30,45,60,75,105,115,150,200,225,250,600,1000},{55,60,62,65,68,70,72,75,80,82,85,87,90,95,95})-LOOKUP(M529,{12.5,15,20,30,45,60,75,105,115,150,200,225,250,600,1000},{50,55,60,62,65,68,70,72,75,80,82,85,87,90,95})))))</f>
        <v>90</v>
      </c>
      <c r="P529" s="2">
        <f t="shared" si="43"/>
        <v>-9</v>
      </c>
      <c r="Q529" s="2">
        <f t="shared" si="44"/>
        <v>-4.5</v>
      </c>
    </row>
    <row r="530" customHeight="1" spans="1:17">
      <c r="A530" s="2">
        <v>2026</v>
      </c>
      <c r="B530" s="2">
        <v>529</v>
      </c>
      <c r="C530" s="17">
        <f t="shared" si="42"/>
        <v>66.9</v>
      </c>
      <c r="D530" s="2" t="s">
        <v>870</v>
      </c>
      <c r="E530" s="12">
        <v>69</v>
      </c>
      <c r="F530" s="2">
        <v>52</v>
      </c>
      <c r="G530" s="2">
        <v>47</v>
      </c>
      <c r="H530" s="2" t="s">
        <v>41</v>
      </c>
      <c r="I530" s="2" t="s">
        <v>28</v>
      </c>
      <c r="J530" s="4" t="s">
        <v>88</v>
      </c>
      <c r="M530" s="2">
        <f t="shared" si="40"/>
        <v>30</v>
      </c>
      <c r="N530" s="2">
        <f t="shared" si="41"/>
        <v>63.4</v>
      </c>
      <c r="O530" s="2">
        <f>IF(M530="","",IF(M530&gt;=1000,95,IF(M530&lt;=12.5,50,LOOKUP(M530,{12.5,15,20,30,45,60,75,105,115,150,200,225,250,600,1000},{50,55,60,62,65,68,70,72,75,80,82,85,87,90,95})+(M530-LOOKUP(M530,{12.5,15,20,30,45,60,75,105,115,150,200,225,250,600},{12.5,15,20,30,45,60,75,105,115,150,200,225,250,600}))/(LOOKUP(M530,{12.5,15,20,30,45,60,75,105,115,150,200,225,250,600,1000},{15,20,30,45,60,75,105,115,150,200,225,250,600,1000,1000})-LOOKUP(M530,{12.5,15,20,30,45,60,75,105,115,150,200,225,250,600},{12.5,15,20,30,45,60,75,105,115,150,200,225,250,600}))*(LOOKUP(M530,{12.5,15,20,30,45,60,75,105,115,150,200,225,250,600,1000},{55,60,62,65,68,70,72,75,80,82,85,87,90,95,95})-LOOKUP(M530,{12.5,15,20,30,45,60,75,105,115,150,200,225,250,600,1000},{50,55,60,62,65,68,70,72,75,80,82,85,87,90,95})))))</f>
        <v>62</v>
      </c>
      <c r="P530" s="2">
        <f t="shared" si="43"/>
        <v>7</v>
      </c>
      <c r="Q530" s="2">
        <f t="shared" si="44"/>
        <v>3.5</v>
      </c>
    </row>
    <row r="531" customHeight="1" spans="1:17">
      <c r="B531" s="2">
        <v>530</v>
      </c>
      <c r="C531" s="17">
        <f t="shared" si="42"/>
        <v>66.9</v>
      </c>
      <c r="D531" s="2" t="s">
        <v>871</v>
      </c>
      <c r="E531" s="12">
        <v>69</v>
      </c>
      <c r="F531" s="10">
        <v>86</v>
      </c>
      <c r="G531" s="10">
        <v>84</v>
      </c>
      <c r="H531" s="2" t="s">
        <v>37</v>
      </c>
      <c r="I531" s="2" t="s">
        <v>229</v>
      </c>
      <c r="J531" s="4" t="s">
        <v>19</v>
      </c>
      <c r="K531" s="2" t="s">
        <v>872</v>
      </c>
      <c r="M531" s="2">
        <f t="shared" si="40"/>
        <v>225</v>
      </c>
      <c r="N531" s="2">
        <f t="shared" si="41"/>
        <v>73.9</v>
      </c>
      <c r="O531" s="2">
        <f>IF(M531="","",IF(M531&gt;=1000,95,IF(M531&lt;=12.5,50,LOOKUP(M531,{12.5,15,20,30,45,60,75,105,115,150,200,225,250,600,1000},{50,55,60,62,65,68,70,72,75,80,82,85,87,90,95})+(M531-LOOKUP(M531,{12.5,15,20,30,45,60,75,105,115,150,200,225,250,600},{12.5,15,20,30,45,60,75,105,115,150,200,225,250,600}))/(LOOKUP(M531,{12.5,15,20,30,45,60,75,105,115,150,200,225,250,600,1000},{15,20,30,45,60,75,105,115,150,200,225,250,600,1000,1000})-LOOKUP(M531,{12.5,15,20,30,45,60,75,105,115,150,200,225,250,600},{12.5,15,20,30,45,60,75,105,115,150,200,225,250,600}))*(LOOKUP(M531,{12.5,15,20,30,45,60,75,105,115,150,200,225,250,600,1000},{55,60,62,65,68,70,72,75,80,82,85,87,90,95,95})-LOOKUP(M531,{12.5,15,20,30,45,60,75,105,115,150,200,225,250,600,1000},{50,55,60,62,65,68,70,72,75,80,82,85,87,90,95})))))</f>
        <v>85</v>
      </c>
      <c r="P531" s="2">
        <f t="shared" si="43"/>
        <v>-16</v>
      </c>
      <c r="Q531" s="2">
        <f t="shared" si="44"/>
        <v>-7</v>
      </c>
    </row>
    <row r="532" customHeight="1" spans="1:17">
      <c r="B532" s="2">
        <v>531</v>
      </c>
      <c r="C532" s="17">
        <f t="shared" si="42"/>
        <v>66.9</v>
      </c>
      <c r="D532" s="2" t="s">
        <v>873</v>
      </c>
      <c r="E532" s="9">
        <v>72</v>
      </c>
      <c r="F532" s="9">
        <v>75</v>
      </c>
      <c r="G532" s="12">
        <v>65</v>
      </c>
      <c r="H532" s="2" t="s">
        <v>874</v>
      </c>
      <c r="I532" s="2" t="s">
        <v>612</v>
      </c>
      <c r="J532" s="4" t="s">
        <v>51</v>
      </c>
      <c r="K532" s="2" t="s">
        <v>875</v>
      </c>
      <c r="M532" s="2">
        <f t="shared" si="40"/>
        <v>200</v>
      </c>
      <c r="N532" s="2">
        <f t="shared" si="41"/>
        <v>71.9</v>
      </c>
      <c r="O532" s="2">
        <f>IF(M532="","",IF(M532&gt;=1000,95,IF(M532&lt;=12.5,50,LOOKUP(M532,{12.5,15,20,30,45,60,75,105,115,150,200,225,250,600,1000},{50,55,60,62,65,68,70,72,75,80,82,85,87,90,95})+(M532-LOOKUP(M532,{12.5,15,20,30,45,60,75,105,115,150,200,225,250,600},{12.5,15,20,30,45,60,75,105,115,150,200,225,250,600}))/(LOOKUP(M532,{12.5,15,20,30,45,60,75,105,115,150,200,225,250,600,1000},{15,20,30,45,60,75,105,115,150,200,225,250,600,1000,1000})-LOOKUP(M532,{12.5,15,20,30,45,60,75,105,115,150,200,225,250,600},{12.5,15,20,30,45,60,75,105,115,150,200,225,250,600}))*(LOOKUP(M532,{12.5,15,20,30,45,60,75,105,115,150,200,225,250,600,1000},{55,60,62,65,68,70,72,75,80,82,85,87,90,95,95})-LOOKUP(M532,{12.5,15,20,30,45,60,75,105,115,150,200,225,250,600,1000},{50,55,60,62,65,68,70,72,75,80,82,85,87,90,95})))))</f>
        <v>82</v>
      </c>
      <c r="P532" s="2">
        <f t="shared" si="43"/>
        <v>-10</v>
      </c>
      <c r="Q532" s="2">
        <f t="shared" si="44"/>
        <v>-5</v>
      </c>
    </row>
    <row r="533" customHeight="1" spans="1:17">
      <c r="B533" s="2">
        <v>532</v>
      </c>
      <c r="C533" s="17">
        <f t="shared" si="42"/>
        <v>66.9</v>
      </c>
      <c r="D533" s="2" t="s">
        <v>876</v>
      </c>
      <c r="E533" s="9">
        <v>70</v>
      </c>
      <c r="F533" s="12">
        <v>67</v>
      </c>
      <c r="G533" s="9">
        <v>70</v>
      </c>
      <c r="H533" s="2" t="s">
        <v>37</v>
      </c>
      <c r="I533" s="2" t="s">
        <v>435</v>
      </c>
      <c r="J533" s="4" t="s">
        <v>148</v>
      </c>
      <c r="M533" s="2">
        <f t="shared" si="40"/>
        <v>115</v>
      </c>
      <c r="N533" s="2">
        <f t="shared" si="41"/>
        <v>69.4</v>
      </c>
      <c r="O533" s="2">
        <f>IF(M533="","",IF(M533&gt;=1000,95,IF(M533&lt;=12.5,50,LOOKUP(M533,{12.5,15,20,30,45,60,75,105,115,150,200,225,250,600,1000},{50,55,60,62,65,68,70,72,75,80,82,85,87,90,95})+(M533-LOOKUP(M533,{12.5,15,20,30,45,60,75,105,115,150,200,225,250,600},{12.5,15,20,30,45,60,75,105,115,150,200,225,250,600}))/(LOOKUP(M533,{12.5,15,20,30,45,60,75,105,115,150,200,225,250,600,1000},{15,20,30,45,60,75,105,115,150,200,225,250,600,1000,1000})-LOOKUP(M533,{12.5,15,20,30,45,60,75,105,115,150,200,225,250,600},{12.5,15,20,30,45,60,75,105,115,150,200,225,250,600}))*(LOOKUP(M533,{12.5,15,20,30,45,60,75,105,115,150,200,225,250,600,1000},{55,60,62,65,68,70,72,75,80,82,85,87,90,95,95})-LOOKUP(M533,{12.5,15,20,30,45,60,75,105,115,150,200,225,250,600,1000},{50,55,60,62,65,68,70,72,75,80,82,85,87,90,95})))))</f>
        <v>75</v>
      </c>
      <c r="P533" s="2">
        <f t="shared" si="43"/>
        <v>-5</v>
      </c>
      <c r="Q533" s="2">
        <f t="shared" si="44"/>
        <v>-2.5</v>
      </c>
    </row>
    <row r="534" customHeight="1" spans="1:17">
      <c r="B534" s="2">
        <v>533</v>
      </c>
      <c r="C534" s="17">
        <f t="shared" si="42"/>
        <v>66.9</v>
      </c>
      <c r="D534" s="2" t="s">
        <v>877</v>
      </c>
      <c r="E534" s="9">
        <v>72</v>
      </c>
      <c r="F534" s="9">
        <v>70</v>
      </c>
      <c r="G534" s="12">
        <v>65</v>
      </c>
      <c r="H534" s="2" t="s">
        <v>37</v>
      </c>
      <c r="I534" s="2" t="s">
        <v>63</v>
      </c>
      <c r="J534" s="4" t="s">
        <v>59</v>
      </c>
      <c r="M534" s="2">
        <f t="shared" si="40"/>
        <v>150</v>
      </c>
      <c r="N534" s="2">
        <f t="shared" si="41"/>
        <v>70.9</v>
      </c>
      <c r="O534" s="2">
        <f>IF(M534="","",IF(M534&gt;=1000,95,IF(M534&lt;=12.5,50,LOOKUP(M534,{12.5,15,20,30,45,60,75,105,115,150,200,225,250,600,1000},{50,55,60,62,65,68,70,72,75,80,82,85,87,90,95})+(M534-LOOKUP(M534,{12.5,15,20,30,45,60,75,105,115,150,200,225,250,600},{12.5,15,20,30,45,60,75,105,115,150,200,225,250,600}))/(LOOKUP(M534,{12.5,15,20,30,45,60,75,105,115,150,200,225,250,600,1000},{15,20,30,45,60,75,105,115,150,200,225,250,600,1000,1000})-LOOKUP(M534,{12.5,15,20,30,45,60,75,105,115,150,200,225,250,600},{12.5,15,20,30,45,60,75,105,115,150,200,225,250,600}))*(LOOKUP(M534,{12.5,15,20,30,45,60,75,105,115,150,200,225,250,600,1000},{55,60,62,65,68,70,72,75,80,82,85,87,90,95,95})-LOOKUP(M534,{12.5,15,20,30,45,60,75,105,115,150,200,225,250,600,1000},{50,55,60,62,65,68,70,72,75,80,82,85,87,90,95})))))</f>
        <v>80</v>
      </c>
      <c r="P534" s="2">
        <f t="shared" si="43"/>
        <v>-8</v>
      </c>
      <c r="Q534" s="2">
        <f t="shared" si="44"/>
        <v>-4</v>
      </c>
    </row>
    <row r="535" customHeight="1" spans="1:17">
      <c r="B535" s="2">
        <v>534</v>
      </c>
      <c r="C535" s="17">
        <f t="shared" si="42"/>
        <v>66.9</v>
      </c>
      <c r="D535" s="2" t="s">
        <v>878</v>
      </c>
      <c r="E535" s="12">
        <v>69</v>
      </c>
      <c r="F535" s="12">
        <v>65</v>
      </c>
      <c r="G535" s="12">
        <v>61</v>
      </c>
      <c r="H535" s="2" t="s">
        <v>41</v>
      </c>
      <c r="I535" s="2" t="s">
        <v>33</v>
      </c>
      <c r="J535" s="4" t="s">
        <v>24</v>
      </c>
      <c r="M535" s="2">
        <f t="shared" si="40"/>
        <v>75</v>
      </c>
      <c r="N535" s="2">
        <f t="shared" si="41"/>
        <v>67.4</v>
      </c>
      <c r="O535" s="2">
        <f>IF(M535="","",IF(M535&gt;=1000,95,IF(M535&lt;=12.5,50,LOOKUP(M535,{12.5,15,20,30,45,60,75,105,115,150,200,225,250,600,1000},{50,55,60,62,65,68,70,72,75,80,82,85,87,90,95})+(M535-LOOKUP(M535,{12.5,15,20,30,45,60,75,105,115,150,200,225,250,600},{12.5,15,20,30,45,60,75,105,115,150,200,225,250,600}))/(LOOKUP(M535,{12.5,15,20,30,45,60,75,105,115,150,200,225,250,600,1000},{15,20,30,45,60,75,105,115,150,200,225,250,600,1000,1000})-LOOKUP(M535,{12.5,15,20,30,45,60,75,105,115,150,200,225,250,600},{12.5,15,20,30,45,60,75,105,115,150,200,225,250,600}))*(LOOKUP(M535,{12.5,15,20,30,45,60,75,105,115,150,200,225,250,600,1000},{55,60,62,65,68,70,72,75,80,82,85,87,90,95,95})-LOOKUP(M535,{12.5,15,20,30,45,60,75,105,115,150,200,225,250,600,1000},{50,55,60,62,65,68,70,72,75,80,82,85,87,90,95})))))</f>
        <v>70</v>
      </c>
      <c r="P535" s="2">
        <f t="shared" si="43"/>
        <v>-1</v>
      </c>
      <c r="Q535" s="2">
        <f t="shared" si="44"/>
        <v>-0.5</v>
      </c>
    </row>
    <row r="536" customHeight="1" spans="1:17">
      <c r="B536" s="2">
        <v>535</v>
      </c>
      <c r="C536" s="17">
        <f t="shared" si="42"/>
        <v>66.9</v>
      </c>
      <c r="D536" s="2" t="s">
        <v>879</v>
      </c>
      <c r="E536" s="12">
        <v>69</v>
      </c>
      <c r="F536" s="9">
        <v>70</v>
      </c>
      <c r="G536" s="2">
        <v>51</v>
      </c>
      <c r="H536" s="2" t="s">
        <v>37</v>
      </c>
      <c r="I536" s="2" t="s">
        <v>183</v>
      </c>
      <c r="J536" s="4" t="s">
        <v>24</v>
      </c>
      <c r="M536" s="2">
        <f t="shared" si="40"/>
        <v>75</v>
      </c>
      <c r="N536" s="2">
        <f t="shared" si="41"/>
        <v>67.4</v>
      </c>
      <c r="O536" s="2">
        <f>IF(M536="","",IF(M536&gt;=1000,95,IF(M536&lt;=12.5,50,LOOKUP(M536,{12.5,15,20,30,45,60,75,105,115,150,200,225,250,600,1000},{50,55,60,62,65,68,70,72,75,80,82,85,87,90,95})+(M536-LOOKUP(M536,{12.5,15,20,30,45,60,75,105,115,150,200,225,250,600},{12.5,15,20,30,45,60,75,105,115,150,200,225,250,600}))/(LOOKUP(M536,{12.5,15,20,30,45,60,75,105,115,150,200,225,250,600,1000},{15,20,30,45,60,75,105,115,150,200,225,250,600,1000,1000})-LOOKUP(M536,{12.5,15,20,30,45,60,75,105,115,150,200,225,250,600},{12.5,15,20,30,45,60,75,105,115,150,200,225,250,600}))*(LOOKUP(M536,{12.5,15,20,30,45,60,75,105,115,150,200,225,250,600,1000},{55,60,62,65,68,70,72,75,80,82,85,87,90,95,95})-LOOKUP(M536,{12.5,15,20,30,45,60,75,105,115,150,200,225,250,600,1000},{50,55,60,62,65,68,70,72,75,80,82,85,87,90,95})))))</f>
        <v>70</v>
      </c>
      <c r="P536" s="2">
        <f t="shared" si="43"/>
        <v>-1</v>
      </c>
      <c r="Q536" s="2">
        <f t="shared" si="44"/>
        <v>-0.5</v>
      </c>
    </row>
    <row r="537" customHeight="1" spans="1:17">
      <c r="A537" s="2">
        <v>2026</v>
      </c>
      <c r="B537" s="2">
        <v>536</v>
      </c>
      <c r="C537" s="17">
        <f t="shared" si="42"/>
        <v>66.9</v>
      </c>
      <c r="D537" s="2" t="s">
        <v>880</v>
      </c>
      <c r="E537" s="9">
        <v>71</v>
      </c>
      <c r="F537" s="12">
        <v>67</v>
      </c>
      <c r="G537" s="2">
        <v>58</v>
      </c>
      <c r="H537" s="2" t="s">
        <v>119</v>
      </c>
      <c r="I537" s="2" t="s">
        <v>104</v>
      </c>
      <c r="J537" s="4" t="s">
        <v>148</v>
      </c>
      <c r="M537" s="2">
        <f t="shared" si="40"/>
        <v>115</v>
      </c>
      <c r="N537" s="2">
        <f t="shared" si="41"/>
        <v>68.9</v>
      </c>
      <c r="O537" s="2">
        <f>IF(M537="","",IF(M537&gt;=1000,95,IF(M537&lt;=12.5,50,LOOKUP(M537,{12.5,15,20,30,45,60,75,105,115,150,200,225,250,600,1000},{50,55,60,62,65,68,70,72,75,80,82,85,87,90,95})+(M537-LOOKUP(M537,{12.5,15,20,30,45,60,75,105,115,150,200,225,250,600},{12.5,15,20,30,45,60,75,105,115,150,200,225,250,600}))/(LOOKUP(M537,{12.5,15,20,30,45,60,75,105,115,150,200,225,250,600,1000},{15,20,30,45,60,75,105,115,150,200,225,250,600,1000,1000})-LOOKUP(M537,{12.5,15,20,30,45,60,75,105,115,150,200,225,250,600},{12.5,15,20,30,45,60,75,105,115,150,200,225,250,600}))*(LOOKUP(M537,{12.5,15,20,30,45,60,75,105,115,150,200,225,250,600,1000},{55,60,62,65,68,70,72,75,80,82,85,87,90,95,95})-LOOKUP(M537,{12.5,15,20,30,45,60,75,105,115,150,200,225,250,600,1000},{50,55,60,62,65,68,70,72,75,80,82,85,87,90,95})))))</f>
        <v>75</v>
      </c>
      <c r="P537" s="2">
        <f t="shared" si="43"/>
        <v>-4</v>
      </c>
      <c r="Q537" s="2">
        <f t="shared" si="44"/>
        <v>-2</v>
      </c>
    </row>
    <row r="538" customHeight="1" spans="1:17">
      <c r="B538" s="2">
        <v>537</v>
      </c>
      <c r="C538" s="17">
        <f t="shared" si="42"/>
        <v>66.9</v>
      </c>
      <c r="D538" s="2" t="s">
        <v>881</v>
      </c>
      <c r="E538" s="9">
        <v>70</v>
      </c>
      <c r="F538" s="12">
        <v>63</v>
      </c>
      <c r="G538" s="2">
        <v>53</v>
      </c>
      <c r="H538" s="2" t="s">
        <v>41</v>
      </c>
      <c r="I538" s="2" t="s">
        <v>183</v>
      </c>
      <c r="J538" s="4" t="s">
        <v>24</v>
      </c>
      <c r="M538" s="2">
        <f t="shared" si="40"/>
        <v>75</v>
      </c>
      <c r="N538" s="2">
        <f t="shared" si="41"/>
        <v>66.9</v>
      </c>
      <c r="O538" s="2">
        <f>IF(M538="","",IF(M538&gt;=1000,95,IF(M538&lt;=12.5,50,LOOKUP(M538,{12.5,15,20,30,45,60,75,105,115,150,200,225,250,600,1000},{50,55,60,62,65,68,70,72,75,80,82,85,87,90,95})+(M538-LOOKUP(M538,{12.5,15,20,30,45,60,75,105,115,150,200,225,250,600},{12.5,15,20,30,45,60,75,105,115,150,200,225,250,600}))/(LOOKUP(M538,{12.5,15,20,30,45,60,75,105,115,150,200,225,250,600,1000},{15,20,30,45,60,75,105,115,150,200,225,250,600,1000,1000})-LOOKUP(M538,{12.5,15,20,30,45,60,75,105,115,150,200,225,250,600},{12.5,15,20,30,45,60,75,105,115,150,200,225,250,600}))*(LOOKUP(M538,{12.5,15,20,30,45,60,75,105,115,150,200,225,250,600,1000},{55,60,62,65,68,70,72,75,80,82,85,87,90,95,95})-LOOKUP(M538,{12.5,15,20,30,45,60,75,105,115,150,200,225,250,600,1000},{50,55,60,62,65,68,70,72,75,80,82,85,87,90,95})))))</f>
        <v>70</v>
      </c>
      <c r="P538" s="2">
        <f t="shared" si="43"/>
        <v>0</v>
      </c>
      <c r="Q538" s="2">
        <f t="shared" si="44"/>
        <v>0</v>
      </c>
    </row>
    <row r="539" customHeight="1" spans="1:17">
      <c r="B539" s="2">
        <v>538</v>
      </c>
      <c r="C539" s="17">
        <f t="shared" si="42"/>
        <v>66.9</v>
      </c>
      <c r="D539" s="2" t="s">
        <v>882</v>
      </c>
      <c r="E539" s="12">
        <v>68</v>
      </c>
      <c r="F539" s="2">
        <v>55</v>
      </c>
      <c r="G539" s="2">
        <v>53</v>
      </c>
      <c r="H539" s="2" t="s">
        <v>37</v>
      </c>
      <c r="I539" s="2" t="s">
        <v>104</v>
      </c>
      <c r="J539" s="4" t="s">
        <v>88</v>
      </c>
      <c r="M539" s="2">
        <f t="shared" si="40"/>
        <v>30</v>
      </c>
      <c r="N539" s="2">
        <f t="shared" si="41"/>
        <v>63.9</v>
      </c>
      <c r="O539" s="2">
        <f>IF(M539="","",IF(M539&gt;=1000,95,IF(M539&lt;=12.5,50,LOOKUP(M539,{12.5,15,20,30,45,60,75,105,115,150,200,225,250,600,1000},{50,55,60,62,65,68,70,72,75,80,82,85,87,90,95})+(M539-LOOKUP(M539,{12.5,15,20,30,45,60,75,105,115,150,200,225,250,600},{12.5,15,20,30,45,60,75,105,115,150,200,225,250,600}))/(LOOKUP(M539,{12.5,15,20,30,45,60,75,105,115,150,200,225,250,600,1000},{15,20,30,45,60,75,105,115,150,200,225,250,600,1000,1000})-LOOKUP(M539,{12.5,15,20,30,45,60,75,105,115,150,200,225,250,600},{12.5,15,20,30,45,60,75,105,115,150,200,225,250,600}))*(LOOKUP(M539,{12.5,15,20,30,45,60,75,105,115,150,200,225,250,600,1000},{55,60,62,65,68,70,72,75,80,82,85,87,90,95,95})-LOOKUP(M539,{12.5,15,20,30,45,60,75,105,115,150,200,225,250,600,1000},{50,55,60,62,65,68,70,72,75,80,82,85,87,90,95})))))</f>
        <v>62</v>
      </c>
      <c r="P539" s="2">
        <f t="shared" si="43"/>
        <v>6</v>
      </c>
      <c r="Q539" s="2">
        <f t="shared" si="44"/>
        <v>3</v>
      </c>
    </row>
    <row r="540" customHeight="1" spans="1:17">
      <c r="A540" s="2">
        <v>2026</v>
      </c>
      <c r="B540" s="2">
        <v>539</v>
      </c>
      <c r="C540" s="17">
        <f t="shared" si="42"/>
        <v>66.8</v>
      </c>
      <c r="D540" s="2" t="s">
        <v>883</v>
      </c>
      <c r="E540" s="9">
        <v>72</v>
      </c>
      <c r="F540" s="2">
        <v>58</v>
      </c>
      <c r="G540" s="2">
        <v>38</v>
      </c>
      <c r="H540" s="2" t="s">
        <v>54</v>
      </c>
      <c r="I540" s="2" t="s">
        <v>104</v>
      </c>
      <c r="J540" s="4" t="s">
        <v>24</v>
      </c>
      <c r="M540" s="2">
        <f t="shared" si="40"/>
        <v>75</v>
      </c>
      <c r="N540" s="2">
        <f t="shared" si="41"/>
        <v>65.8</v>
      </c>
      <c r="O540" s="2">
        <f>IF(M540="","",IF(M540&gt;=1000,95,IF(M540&lt;=12.5,50,LOOKUP(M540,{12.5,15,20,30,45,60,75,105,115,150,200,225,250,600,1000},{50,55,60,62,65,68,70,72,75,80,82,85,87,90,95})+(M540-LOOKUP(M540,{12.5,15,20,30,45,60,75,105,115,150,200,225,250,600},{12.5,15,20,30,45,60,75,105,115,150,200,225,250,600}))/(LOOKUP(M540,{12.5,15,20,30,45,60,75,105,115,150,200,225,250,600,1000},{15,20,30,45,60,75,105,115,150,200,225,250,600,1000,1000})-LOOKUP(M540,{12.5,15,20,30,45,60,75,105,115,150,200,225,250,600},{12.5,15,20,30,45,60,75,105,115,150,200,225,250,600}))*(LOOKUP(M540,{12.5,15,20,30,45,60,75,105,115,150,200,225,250,600,1000},{55,60,62,65,68,70,72,75,80,82,85,87,90,95,95})-LOOKUP(M540,{12.5,15,20,30,45,60,75,105,115,150,200,225,250,600,1000},{50,55,60,62,65,68,70,72,75,80,82,85,87,90,95})))))</f>
        <v>70</v>
      </c>
      <c r="P540" s="2">
        <f t="shared" si="43"/>
        <v>2</v>
      </c>
      <c r="Q540" s="2">
        <f t="shared" si="44"/>
        <v>1</v>
      </c>
    </row>
    <row r="541" customHeight="1" spans="1:17">
      <c r="A541" s="2">
        <v>2026</v>
      </c>
      <c r="B541" s="2">
        <v>540</v>
      </c>
      <c r="C541" s="17">
        <f t="shared" si="42"/>
        <v>66.8</v>
      </c>
      <c r="D541" s="2" t="s">
        <v>884</v>
      </c>
      <c r="E541" s="12">
        <v>69</v>
      </c>
      <c r="F541" s="2">
        <v>55</v>
      </c>
      <c r="G541" s="2">
        <v>55</v>
      </c>
      <c r="H541" s="2" t="s">
        <v>41</v>
      </c>
      <c r="I541" s="2" t="s">
        <v>128</v>
      </c>
      <c r="J541" s="4" t="s">
        <v>38</v>
      </c>
      <c r="M541" s="2">
        <f t="shared" si="40"/>
        <v>45</v>
      </c>
      <c r="N541" s="2">
        <f t="shared" si="41"/>
        <v>64.8</v>
      </c>
      <c r="O541" s="2">
        <f>IF(M541="","",IF(M541&gt;=1000,95,IF(M541&lt;=12.5,50,LOOKUP(M541,{12.5,15,20,30,45,60,75,105,115,150,200,225,250,600,1000},{50,55,60,62,65,68,70,72,75,80,82,85,87,90,95})+(M541-LOOKUP(M541,{12.5,15,20,30,45,60,75,105,115,150,200,225,250,600},{12.5,15,20,30,45,60,75,105,115,150,200,225,250,600}))/(LOOKUP(M541,{12.5,15,20,30,45,60,75,105,115,150,200,225,250,600,1000},{15,20,30,45,60,75,105,115,150,200,225,250,600,1000,1000})-LOOKUP(M541,{12.5,15,20,30,45,60,75,105,115,150,200,225,250,600},{12.5,15,20,30,45,60,75,105,115,150,200,225,250,600}))*(LOOKUP(M541,{12.5,15,20,30,45,60,75,105,115,150,200,225,250,600,1000},{55,60,62,65,68,70,72,75,80,82,85,87,90,95,95})-LOOKUP(M541,{12.5,15,20,30,45,60,75,105,115,150,200,225,250,600,1000},{50,55,60,62,65,68,70,72,75,80,82,85,87,90,95})))))</f>
        <v>65</v>
      </c>
      <c r="P541" s="2">
        <f t="shared" si="43"/>
        <v>4</v>
      </c>
      <c r="Q541" s="2">
        <f t="shared" si="44"/>
        <v>2</v>
      </c>
    </row>
    <row r="542" customHeight="1" spans="1:17">
      <c r="A542" s="2">
        <v>2026</v>
      </c>
      <c r="B542" s="2">
        <v>541</v>
      </c>
      <c r="C542" s="17">
        <f t="shared" si="42"/>
        <v>66.8</v>
      </c>
      <c r="D542" s="2" t="s">
        <v>885</v>
      </c>
      <c r="E542" s="9">
        <v>71</v>
      </c>
      <c r="F542" s="2">
        <v>59</v>
      </c>
      <c r="G542" s="2">
        <v>48</v>
      </c>
      <c r="H542" s="2" t="s">
        <v>87</v>
      </c>
      <c r="I542" s="2" t="s">
        <v>183</v>
      </c>
      <c r="J542" s="4" t="s">
        <v>24</v>
      </c>
      <c r="M542" s="2">
        <f t="shared" si="40"/>
        <v>75</v>
      </c>
      <c r="N542" s="2">
        <f t="shared" si="41"/>
        <v>66.3</v>
      </c>
      <c r="O542" s="2">
        <f>IF(M542="","",IF(M542&gt;=1000,95,IF(M542&lt;=12.5,50,LOOKUP(M542,{12.5,15,20,30,45,60,75,105,115,150,200,225,250,600,1000},{50,55,60,62,65,68,70,72,75,80,82,85,87,90,95})+(M542-LOOKUP(M542,{12.5,15,20,30,45,60,75,105,115,150,200,225,250,600},{12.5,15,20,30,45,60,75,105,115,150,200,225,250,600}))/(LOOKUP(M542,{12.5,15,20,30,45,60,75,105,115,150,200,225,250,600,1000},{15,20,30,45,60,75,105,115,150,200,225,250,600,1000,1000})-LOOKUP(M542,{12.5,15,20,30,45,60,75,105,115,150,200,225,250,600},{12.5,15,20,30,45,60,75,105,115,150,200,225,250,600}))*(LOOKUP(M542,{12.5,15,20,30,45,60,75,105,115,150,200,225,250,600,1000},{55,60,62,65,68,70,72,75,80,82,85,87,90,95,95})-LOOKUP(M542,{12.5,15,20,30,45,60,75,105,115,150,200,225,250,600,1000},{50,55,60,62,65,68,70,72,75,80,82,85,87,90,95})))))</f>
        <v>70</v>
      </c>
      <c r="P542" s="2">
        <f t="shared" si="43"/>
        <v>1</v>
      </c>
      <c r="Q542" s="2">
        <f t="shared" si="44"/>
        <v>0.5</v>
      </c>
    </row>
    <row r="543" customHeight="1" spans="1:17">
      <c r="A543" s="2">
        <v>2026</v>
      </c>
      <c r="B543" s="2">
        <v>542</v>
      </c>
      <c r="C543" s="17">
        <f t="shared" si="42"/>
        <v>66.8</v>
      </c>
      <c r="D543" s="2" t="s">
        <v>886</v>
      </c>
      <c r="E543" s="9">
        <v>71</v>
      </c>
      <c r="F543" s="2">
        <v>56</v>
      </c>
      <c r="G543" s="2">
        <v>54</v>
      </c>
      <c r="H543" s="2" t="s">
        <v>339</v>
      </c>
      <c r="I543" s="2" t="s">
        <v>447</v>
      </c>
      <c r="J543" s="4" t="s">
        <v>24</v>
      </c>
      <c r="M543" s="2">
        <f t="shared" si="40"/>
        <v>75</v>
      </c>
      <c r="N543" s="2">
        <f t="shared" si="41"/>
        <v>66.3</v>
      </c>
      <c r="O543" s="2">
        <f>IF(M543="","",IF(M543&gt;=1000,95,IF(M543&lt;=12.5,50,LOOKUP(M543,{12.5,15,20,30,45,60,75,105,115,150,200,225,250,600,1000},{50,55,60,62,65,68,70,72,75,80,82,85,87,90,95})+(M543-LOOKUP(M543,{12.5,15,20,30,45,60,75,105,115,150,200,225,250,600},{12.5,15,20,30,45,60,75,105,115,150,200,225,250,600}))/(LOOKUP(M543,{12.5,15,20,30,45,60,75,105,115,150,200,225,250,600,1000},{15,20,30,45,60,75,105,115,150,200,225,250,600,1000,1000})-LOOKUP(M543,{12.5,15,20,30,45,60,75,105,115,150,200,225,250,600},{12.5,15,20,30,45,60,75,105,115,150,200,225,250,600}))*(LOOKUP(M543,{12.5,15,20,30,45,60,75,105,115,150,200,225,250,600,1000},{55,60,62,65,68,70,72,75,80,82,85,87,90,95,95})-LOOKUP(M543,{12.5,15,20,30,45,60,75,105,115,150,200,225,250,600,1000},{50,55,60,62,65,68,70,72,75,80,82,85,87,90,95})))))</f>
        <v>70</v>
      </c>
      <c r="P543" s="2">
        <f t="shared" si="43"/>
        <v>1</v>
      </c>
      <c r="Q543" s="2">
        <f t="shared" si="44"/>
        <v>0.5</v>
      </c>
    </row>
    <row r="544" customHeight="1" spans="1:17">
      <c r="A544" s="2">
        <v>2026</v>
      </c>
      <c r="B544" s="2">
        <v>543</v>
      </c>
      <c r="C544" s="17">
        <f t="shared" si="42"/>
        <v>66.8</v>
      </c>
      <c r="D544" s="2" t="s">
        <v>887</v>
      </c>
      <c r="E544" s="9">
        <v>71</v>
      </c>
      <c r="F544" s="2">
        <v>53</v>
      </c>
      <c r="G544" s="2">
        <v>35</v>
      </c>
      <c r="H544" s="2" t="s">
        <v>113</v>
      </c>
      <c r="I544" s="2" t="s">
        <v>63</v>
      </c>
      <c r="J544" s="4" t="s">
        <v>38</v>
      </c>
      <c r="M544" s="2">
        <f t="shared" si="40"/>
        <v>45</v>
      </c>
      <c r="N544" s="2">
        <f t="shared" si="41"/>
        <v>63.8</v>
      </c>
      <c r="O544" s="2">
        <f>IF(M544="","",IF(M544&gt;=1000,95,IF(M544&lt;=12.5,50,LOOKUP(M544,{12.5,15,20,30,45,60,75,105,115,150,200,225,250,600,1000},{50,55,60,62,65,68,70,72,75,80,82,85,87,90,95})+(M544-LOOKUP(M544,{12.5,15,20,30,45,60,75,105,115,150,200,225,250,600},{12.5,15,20,30,45,60,75,105,115,150,200,225,250,600}))/(LOOKUP(M544,{12.5,15,20,30,45,60,75,105,115,150,200,225,250,600,1000},{15,20,30,45,60,75,105,115,150,200,225,250,600,1000,1000})-LOOKUP(M544,{12.5,15,20,30,45,60,75,105,115,150,200,225,250,600},{12.5,15,20,30,45,60,75,105,115,150,200,225,250,600}))*(LOOKUP(M544,{12.5,15,20,30,45,60,75,105,115,150,200,225,250,600,1000},{55,60,62,65,68,70,72,75,80,82,85,87,90,95,95})-LOOKUP(M544,{12.5,15,20,30,45,60,75,105,115,150,200,225,250,600,1000},{50,55,60,62,65,68,70,72,75,80,82,85,87,90,95})))))</f>
        <v>65</v>
      </c>
      <c r="P544" s="2">
        <f t="shared" si="43"/>
        <v>6</v>
      </c>
      <c r="Q544" s="2">
        <f t="shared" si="44"/>
        <v>3</v>
      </c>
    </row>
    <row r="545" customHeight="1" spans="1:17">
      <c r="A545" s="2">
        <v>2026</v>
      </c>
      <c r="B545" s="2">
        <v>544</v>
      </c>
      <c r="C545" s="17">
        <f t="shared" si="42"/>
        <v>66.8</v>
      </c>
      <c r="D545" s="2" t="s">
        <v>888</v>
      </c>
      <c r="E545" s="9">
        <v>72</v>
      </c>
      <c r="F545" s="9">
        <v>78</v>
      </c>
      <c r="G545" s="2">
        <v>58</v>
      </c>
      <c r="H545" s="2" t="s">
        <v>41</v>
      </c>
      <c r="I545" s="2" t="s">
        <v>350</v>
      </c>
      <c r="J545" s="4" t="s">
        <v>51</v>
      </c>
      <c r="M545" s="2">
        <f t="shared" si="40"/>
        <v>200</v>
      </c>
      <c r="N545" s="2">
        <f t="shared" si="41"/>
        <v>71.8</v>
      </c>
      <c r="O545" s="2">
        <f>IF(M545="","",IF(M545&gt;=1000,95,IF(M545&lt;=12.5,50,LOOKUP(M545,{12.5,15,20,30,45,60,75,105,115,150,200,225,250,600,1000},{50,55,60,62,65,68,70,72,75,80,82,85,87,90,95})+(M545-LOOKUP(M545,{12.5,15,20,30,45,60,75,105,115,150,200,225,250,600},{12.5,15,20,30,45,60,75,105,115,150,200,225,250,600}))/(LOOKUP(M545,{12.5,15,20,30,45,60,75,105,115,150,200,225,250,600,1000},{15,20,30,45,60,75,105,115,150,200,225,250,600,1000,1000})-LOOKUP(M545,{12.5,15,20,30,45,60,75,105,115,150,200,225,250,600},{12.5,15,20,30,45,60,75,105,115,150,200,225,250,600}))*(LOOKUP(M545,{12.5,15,20,30,45,60,75,105,115,150,200,225,250,600,1000},{55,60,62,65,68,70,72,75,80,82,85,87,90,95,95})-LOOKUP(M545,{12.5,15,20,30,45,60,75,105,115,150,200,225,250,600,1000},{50,55,60,62,65,68,70,72,75,80,82,85,87,90,95})))))</f>
        <v>82</v>
      </c>
      <c r="P545" s="2">
        <f t="shared" si="43"/>
        <v>-10</v>
      </c>
      <c r="Q545" s="2">
        <f t="shared" si="44"/>
        <v>-5</v>
      </c>
    </row>
    <row r="546" customHeight="1" spans="1:17">
      <c r="A546" s="2">
        <v>2026</v>
      </c>
      <c r="B546" s="2">
        <v>545</v>
      </c>
      <c r="C546" s="17">
        <f t="shared" si="42"/>
        <v>66.7</v>
      </c>
      <c r="D546" s="2" t="s">
        <v>889</v>
      </c>
      <c r="E546" s="12">
        <v>67</v>
      </c>
      <c r="F546" s="12">
        <v>63</v>
      </c>
      <c r="G546" s="2">
        <v>47</v>
      </c>
      <c r="H546" s="2" t="s">
        <v>54</v>
      </c>
      <c r="I546" s="2" t="s">
        <v>28</v>
      </c>
      <c r="J546" s="4" t="s">
        <v>88</v>
      </c>
      <c r="M546" s="2">
        <f t="shared" si="40"/>
        <v>30</v>
      </c>
      <c r="N546" s="2">
        <f t="shared" si="41"/>
        <v>64.2</v>
      </c>
      <c r="O546" s="2">
        <f>IF(M546="","",IF(M546&gt;=1000,95,IF(M546&lt;=12.5,50,LOOKUP(M546,{12.5,15,20,30,45,60,75,105,115,150,200,225,250,600,1000},{50,55,60,62,65,68,70,72,75,80,82,85,87,90,95})+(M546-LOOKUP(M546,{12.5,15,20,30,45,60,75,105,115,150,200,225,250,600},{12.5,15,20,30,45,60,75,105,115,150,200,225,250,600}))/(LOOKUP(M546,{12.5,15,20,30,45,60,75,105,115,150,200,225,250,600,1000},{15,20,30,45,60,75,105,115,150,200,225,250,600,1000,1000})-LOOKUP(M546,{12.5,15,20,30,45,60,75,105,115,150,200,225,250,600},{12.5,15,20,30,45,60,75,105,115,150,200,225,250,600}))*(LOOKUP(M546,{12.5,15,20,30,45,60,75,105,115,150,200,225,250,600,1000},{55,60,62,65,68,70,72,75,80,82,85,87,90,95,95})-LOOKUP(M546,{12.5,15,20,30,45,60,75,105,115,150,200,225,250,600,1000},{50,55,60,62,65,68,70,72,75,80,82,85,87,90,95})))))</f>
        <v>62</v>
      </c>
      <c r="P546" s="2">
        <f t="shared" si="43"/>
        <v>5</v>
      </c>
      <c r="Q546" s="2">
        <f t="shared" si="44"/>
        <v>2.5</v>
      </c>
    </row>
    <row r="547" customHeight="1" spans="1:17">
      <c r="A547" s="2">
        <v>2026</v>
      </c>
      <c r="B547" s="2">
        <v>546</v>
      </c>
      <c r="C547" s="17">
        <f t="shared" si="42"/>
        <v>66.7</v>
      </c>
      <c r="D547" s="2" t="s">
        <v>890</v>
      </c>
      <c r="E547" s="12">
        <v>67</v>
      </c>
      <c r="F547" s="2">
        <v>56</v>
      </c>
      <c r="G547" s="2">
        <v>51</v>
      </c>
      <c r="H547" s="2" t="s">
        <v>54</v>
      </c>
      <c r="I547" s="2" t="s">
        <v>28</v>
      </c>
      <c r="J547" s="4" t="s">
        <v>140</v>
      </c>
      <c r="M547" s="2">
        <f t="shared" si="40"/>
        <v>20</v>
      </c>
      <c r="N547" s="2">
        <f t="shared" si="41"/>
        <v>63.2</v>
      </c>
      <c r="O547" s="2">
        <f>IF(M547="","",IF(M547&gt;=1000,95,IF(M547&lt;=12.5,50,LOOKUP(M547,{12.5,15,20,30,45,60,75,105,115,150,200,225,250,600,1000},{50,55,60,62,65,68,70,72,75,80,82,85,87,90,95})+(M547-LOOKUP(M547,{12.5,15,20,30,45,60,75,105,115,150,200,225,250,600},{12.5,15,20,30,45,60,75,105,115,150,200,225,250,600}))/(LOOKUP(M547,{12.5,15,20,30,45,60,75,105,115,150,200,225,250,600,1000},{15,20,30,45,60,75,105,115,150,200,225,250,600,1000,1000})-LOOKUP(M547,{12.5,15,20,30,45,60,75,105,115,150,200,225,250,600},{12.5,15,20,30,45,60,75,105,115,150,200,225,250,600}))*(LOOKUP(M547,{12.5,15,20,30,45,60,75,105,115,150,200,225,250,600,1000},{55,60,62,65,68,70,72,75,80,82,85,87,90,95,95})-LOOKUP(M547,{12.5,15,20,30,45,60,75,105,115,150,200,225,250,600,1000},{50,55,60,62,65,68,70,72,75,80,82,85,87,90,95})))))</f>
        <v>60</v>
      </c>
      <c r="P547" s="2">
        <f t="shared" si="43"/>
        <v>7</v>
      </c>
      <c r="Q547" s="2">
        <f t="shared" si="44"/>
        <v>3.5</v>
      </c>
    </row>
    <row r="548" customHeight="1" spans="1:17">
      <c r="B548" s="2">
        <v>547</v>
      </c>
      <c r="C548" s="17">
        <f t="shared" si="42"/>
        <v>66.7</v>
      </c>
      <c r="D548" s="2" t="s">
        <v>891</v>
      </c>
      <c r="E548" s="9">
        <v>71</v>
      </c>
      <c r="F548" s="2">
        <v>55</v>
      </c>
      <c r="G548" s="2">
        <v>55</v>
      </c>
      <c r="H548" s="2" t="s">
        <v>41</v>
      </c>
      <c r="I548" s="2" t="s">
        <v>128</v>
      </c>
      <c r="J548" s="4" t="s">
        <v>24</v>
      </c>
      <c r="M548" s="2">
        <f t="shared" si="40"/>
        <v>75</v>
      </c>
      <c r="N548" s="2">
        <f t="shared" si="41"/>
        <v>66.2</v>
      </c>
      <c r="O548" s="2">
        <f>IF(M548="","",IF(M548&gt;=1000,95,IF(M548&lt;=12.5,50,LOOKUP(M548,{12.5,15,20,30,45,60,75,105,115,150,200,225,250,600,1000},{50,55,60,62,65,68,70,72,75,80,82,85,87,90,95})+(M548-LOOKUP(M548,{12.5,15,20,30,45,60,75,105,115,150,200,225,250,600},{12.5,15,20,30,45,60,75,105,115,150,200,225,250,600}))/(LOOKUP(M548,{12.5,15,20,30,45,60,75,105,115,150,200,225,250,600,1000},{15,20,30,45,60,75,105,115,150,200,225,250,600,1000,1000})-LOOKUP(M548,{12.5,15,20,30,45,60,75,105,115,150,200,225,250,600},{12.5,15,20,30,45,60,75,105,115,150,200,225,250,600}))*(LOOKUP(M548,{12.5,15,20,30,45,60,75,105,115,150,200,225,250,600,1000},{55,60,62,65,68,70,72,75,80,82,85,87,90,95,95})-LOOKUP(M548,{12.5,15,20,30,45,60,75,105,115,150,200,225,250,600,1000},{50,55,60,62,65,68,70,72,75,80,82,85,87,90,95})))))</f>
        <v>70</v>
      </c>
      <c r="P548" s="2">
        <f t="shared" si="43"/>
        <v>1</v>
      </c>
      <c r="Q548" s="2">
        <f t="shared" si="44"/>
        <v>0.5</v>
      </c>
    </row>
    <row r="549" customHeight="1" spans="1:17">
      <c r="A549" s="2">
        <v>2026</v>
      </c>
      <c r="B549" s="2">
        <v>548</v>
      </c>
      <c r="C549" s="17">
        <f t="shared" si="42"/>
        <v>66.7</v>
      </c>
      <c r="D549" s="2" t="s">
        <v>892</v>
      </c>
      <c r="E549" s="12">
        <v>69</v>
      </c>
      <c r="F549" s="2">
        <v>54</v>
      </c>
      <c r="G549" s="2">
        <v>31</v>
      </c>
      <c r="H549" s="2" t="s">
        <v>54</v>
      </c>
      <c r="I549" s="2" t="s">
        <v>28</v>
      </c>
      <c r="J549" s="4" t="s">
        <v>140</v>
      </c>
      <c r="M549" s="2">
        <f t="shared" si="40"/>
        <v>20</v>
      </c>
      <c r="N549" s="2">
        <f t="shared" si="41"/>
        <v>62.2</v>
      </c>
      <c r="O549" s="2">
        <f>IF(M549="","",IF(M549&gt;=1000,95,IF(M549&lt;=12.5,50,LOOKUP(M549,{12.5,15,20,30,45,60,75,105,115,150,200,225,250,600,1000},{50,55,60,62,65,68,70,72,75,80,82,85,87,90,95})+(M549-LOOKUP(M549,{12.5,15,20,30,45,60,75,105,115,150,200,225,250,600},{12.5,15,20,30,45,60,75,105,115,150,200,225,250,600}))/(LOOKUP(M549,{12.5,15,20,30,45,60,75,105,115,150,200,225,250,600,1000},{15,20,30,45,60,75,105,115,150,200,225,250,600,1000,1000})-LOOKUP(M549,{12.5,15,20,30,45,60,75,105,115,150,200,225,250,600},{12.5,15,20,30,45,60,75,105,115,150,200,225,250,600}))*(LOOKUP(M549,{12.5,15,20,30,45,60,75,105,115,150,200,225,250,600,1000},{55,60,62,65,68,70,72,75,80,82,85,87,90,95,95})-LOOKUP(M549,{12.5,15,20,30,45,60,75,105,115,150,200,225,250,600,1000},{50,55,60,62,65,68,70,72,75,80,82,85,87,90,95})))))</f>
        <v>60</v>
      </c>
      <c r="P549" s="2">
        <f t="shared" si="43"/>
        <v>9</v>
      </c>
      <c r="Q549" s="2">
        <f t="shared" si="44"/>
        <v>4.5</v>
      </c>
    </row>
    <row r="550" customHeight="1" spans="1:17">
      <c r="A550" s="2">
        <v>2026</v>
      </c>
      <c r="B550" s="2">
        <v>549</v>
      </c>
      <c r="C550" s="17">
        <f t="shared" si="42"/>
        <v>66.67</v>
      </c>
      <c r="D550" s="2" t="s">
        <v>893</v>
      </c>
      <c r="E550" s="12">
        <v>67</v>
      </c>
      <c r="F550" s="2">
        <v>53</v>
      </c>
      <c r="G550" s="2">
        <v>35</v>
      </c>
      <c r="H550" s="2" t="s">
        <v>41</v>
      </c>
      <c r="I550" s="2" t="s">
        <v>28</v>
      </c>
      <c r="J550" s="4" t="s">
        <v>29</v>
      </c>
      <c r="M550" s="2">
        <f t="shared" si="40"/>
        <v>15</v>
      </c>
      <c r="N550" s="2">
        <f t="shared" si="41"/>
        <v>61</v>
      </c>
      <c r="O550" s="2">
        <f>IF(M550="","",IF(M550&gt;=1000,95,IF(M550&lt;=12.5,50,LOOKUP(M550,{12.5,15,20,30,45,60,75,105,115,150,200,225,250,600,1000},{50,55,60,62,65,68,70,72,75,80,82,85,87,90,95})+(M550-LOOKUP(M550,{12.5,15,20,30,45,60,75,105,115,150,200,225,250,600},{12.5,15,20,30,45,60,75,105,115,150,200,225,250,600}))/(LOOKUP(M550,{12.5,15,20,30,45,60,75,105,115,150,200,225,250,600,1000},{15,20,30,45,60,75,105,115,150,200,225,250,600,1000,1000})-LOOKUP(M550,{12.5,15,20,30,45,60,75,105,115,150,200,225,250,600},{12.5,15,20,30,45,60,75,105,115,150,200,225,250,600}))*(LOOKUP(M550,{12.5,15,20,30,45,60,75,105,115,150,200,225,250,600,1000},{55,60,62,65,68,70,72,75,80,82,85,87,90,95,95})-LOOKUP(M550,{12.5,15,20,30,45,60,75,105,115,150,200,225,250,600,1000},{50,55,60,62,65,68,70,72,75,80,82,85,87,90,95})))))</f>
        <v>55</v>
      </c>
      <c r="P550" s="2">
        <f t="shared" si="43"/>
        <v>12</v>
      </c>
      <c r="Q550" s="2">
        <f t="shared" si="44"/>
        <v>5.67</v>
      </c>
    </row>
    <row r="551" customHeight="1" spans="1:17">
      <c r="B551" s="2">
        <v>550</v>
      </c>
      <c r="C551" s="17">
        <f t="shared" si="42"/>
        <v>66.63</v>
      </c>
      <c r="D551" s="2" t="s">
        <v>894</v>
      </c>
      <c r="E551" s="9">
        <v>78</v>
      </c>
      <c r="F551" s="2">
        <v>59</v>
      </c>
      <c r="G551" s="2">
        <v>59</v>
      </c>
      <c r="H551" s="2" t="s">
        <v>339</v>
      </c>
      <c r="I551" s="2" t="s">
        <v>104</v>
      </c>
      <c r="J551" s="4" t="s">
        <v>73</v>
      </c>
      <c r="K551" s="2" t="s">
        <v>895</v>
      </c>
      <c r="M551" s="2">
        <f t="shared" si="40"/>
        <v>600</v>
      </c>
      <c r="N551" s="2">
        <f t="shared" si="41"/>
        <v>72.3</v>
      </c>
      <c r="O551" s="2">
        <f>IF(M551="","",IF(M551&gt;=1000,95,IF(M551&lt;=12.5,50,LOOKUP(M551,{12.5,15,20,30,45,60,75,105,115,150,200,225,250,600,1000},{50,55,60,62,65,68,70,72,75,80,82,85,87,90,95})+(M551-LOOKUP(M551,{12.5,15,20,30,45,60,75,105,115,150,200,225,250,600},{12.5,15,20,30,45,60,75,105,115,150,200,225,250,600}))/(LOOKUP(M551,{12.5,15,20,30,45,60,75,105,115,150,200,225,250,600,1000},{15,20,30,45,60,75,105,115,150,200,225,250,600,1000,1000})-LOOKUP(M551,{12.5,15,20,30,45,60,75,105,115,150,200,225,250,600},{12.5,15,20,30,45,60,75,105,115,150,200,225,250,600}))*(LOOKUP(M551,{12.5,15,20,30,45,60,75,105,115,150,200,225,250,600,1000},{55,60,62,65,68,70,72,75,80,82,85,87,90,95,95})-LOOKUP(M551,{12.5,15,20,30,45,60,75,105,115,150,200,225,250,600,1000},{50,55,60,62,65,68,70,72,75,80,82,85,87,90,95})))))</f>
        <v>90</v>
      </c>
      <c r="P551" s="2">
        <f t="shared" si="43"/>
        <v>-12</v>
      </c>
      <c r="Q551" s="2">
        <f t="shared" si="44"/>
        <v>-5.67</v>
      </c>
    </row>
    <row r="552" customHeight="1" spans="1:17">
      <c r="A552" s="2">
        <v>2026</v>
      </c>
      <c r="B552" s="2">
        <v>551</v>
      </c>
      <c r="C552" s="17">
        <f t="shared" si="42"/>
        <v>66.6</v>
      </c>
      <c r="D552" s="2" t="s">
        <v>896</v>
      </c>
      <c r="E552" s="12">
        <v>68</v>
      </c>
      <c r="F552" s="9">
        <v>73</v>
      </c>
      <c r="G552" s="12">
        <v>64</v>
      </c>
      <c r="H552" s="2" t="s">
        <v>116</v>
      </c>
      <c r="I552" s="2" t="s">
        <v>897</v>
      </c>
      <c r="J552" s="4" t="s">
        <v>105</v>
      </c>
      <c r="M552" s="2">
        <f t="shared" si="40"/>
        <v>105</v>
      </c>
      <c r="N552" s="2">
        <f t="shared" si="41"/>
        <v>68.6</v>
      </c>
      <c r="O552" s="2">
        <f>IF(M552="","",IF(M552&gt;=1000,95,IF(M552&lt;=12.5,50,LOOKUP(M552,{12.5,15,20,30,45,60,75,105,115,150,200,225,250,600,1000},{50,55,60,62,65,68,70,72,75,80,82,85,87,90,95})+(M552-LOOKUP(M552,{12.5,15,20,30,45,60,75,105,115,150,200,225,250,600},{12.5,15,20,30,45,60,75,105,115,150,200,225,250,600}))/(LOOKUP(M552,{12.5,15,20,30,45,60,75,105,115,150,200,225,250,600,1000},{15,20,30,45,60,75,105,115,150,200,225,250,600,1000,1000})-LOOKUP(M552,{12.5,15,20,30,45,60,75,105,115,150,200,225,250,600},{12.5,15,20,30,45,60,75,105,115,150,200,225,250,600}))*(LOOKUP(M552,{12.5,15,20,30,45,60,75,105,115,150,200,225,250,600,1000},{55,60,62,65,68,70,72,75,80,82,85,87,90,95,95})-LOOKUP(M552,{12.5,15,20,30,45,60,75,105,115,150,200,225,250,600,1000},{50,55,60,62,65,68,70,72,75,80,82,85,87,90,95})))))</f>
        <v>72</v>
      </c>
      <c r="P552" s="2">
        <f t="shared" si="43"/>
        <v>-4</v>
      </c>
      <c r="Q552" s="2">
        <f t="shared" si="44"/>
        <v>-2</v>
      </c>
    </row>
    <row r="553" customHeight="1" spans="1:17">
      <c r="B553" s="2">
        <v>552</v>
      </c>
      <c r="C553" s="17">
        <f t="shared" si="42"/>
        <v>66.6</v>
      </c>
      <c r="D553" s="2" t="s">
        <v>898</v>
      </c>
      <c r="E553" s="9">
        <v>71</v>
      </c>
      <c r="F553" s="9">
        <v>70</v>
      </c>
      <c r="G553" s="9">
        <v>74</v>
      </c>
      <c r="H553" s="2" t="s">
        <v>264</v>
      </c>
      <c r="I553" s="2" t="s">
        <v>638</v>
      </c>
      <c r="J553" s="4" t="s">
        <v>59</v>
      </c>
      <c r="M553" s="2">
        <f t="shared" si="40"/>
        <v>150</v>
      </c>
      <c r="N553" s="2">
        <f t="shared" si="41"/>
        <v>71.1</v>
      </c>
      <c r="O553" s="2">
        <f>IF(M553="","",IF(M553&gt;=1000,95,IF(M553&lt;=12.5,50,LOOKUP(M553,{12.5,15,20,30,45,60,75,105,115,150,200,225,250,600,1000},{50,55,60,62,65,68,70,72,75,80,82,85,87,90,95})+(M553-LOOKUP(M553,{12.5,15,20,30,45,60,75,105,115,150,200,225,250,600},{12.5,15,20,30,45,60,75,105,115,150,200,225,250,600}))/(LOOKUP(M553,{12.5,15,20,30,45,60,75,105,115,150,200,225,250,600,1000},{15,20,30,45,60,75,105,115,150,200,225,250,600,1000,1000})-LOOKUP(M553,{12.5,15,20,30,45,60,75,105,115,150,200,225,250,600},{12.5,15,20,30,45,60,75,105,115,150,200,225,250,600}))*(LOOKUP(M553,{12.5,15,20,30,45,60,75,105,115,150,200,225,250,600,1000},{55,60,62,65,68,70,72,75,80,82,85,87,90,95,95})-LOOKUP(M553,{12.5,15,20,30,45,60,75,105,115,150,200,225,250,600,1000},{50,55,60,62,65,68,70,72,75,80,82,85,87,90,95})))))</f>
        <v>80</v>
      </c>
      <c r="P553" s="2">
        <f t="shared" si="43"/>
        <v>-9</v>
      </c>
      <c r="Q553" s="2">
        <f t="shared" si="44"/>
        <v>-4.5</v>
      </c>
    </row>
    <row r="554" customHeight="1" spans="1:17">
      <c r="A554" s="2">
        <v>2026</v>
      </c>
      <c r="B554" s="2">
        <v>553</v>
      </c>
      <c r="C554" s="17">
        <f t="shared" si="42"/>
        <v>66.6</v>
      </c>
      <c r="D554" s="2" t="s">
        <v>899</v>
      </c>
      <c r="E554" s="12">
        <v>68</v>
      </c>
      <c r="F554" s="2">
        <v>52</v>
      </c>
      <c r="G554" s="2">
        <v>56</v>
      </c>
      <c r="H554" s="2" t="s">
        <v>41</v>
      </c>
      <c r="I554" s="2" t="s">
        <v>63</v>
      </c>
      <c r="J554" s="4" t="s">
        <v>88</v>
      </c>
      <c r="M554" s="2">
        <f t="shared" si="40"/>
        <v>30</v>
      </c>
      <c r="N554" s="2">
        <f t="shared" si="41"/>
        <v>63.6</v>
      </c>
      <c r="O554" s="2">
        <f>IF(M554="","",IF(M554&gt;=1000,95,IF(M554&lt;=12.5,50,LOOKUP(M554,{12.5,15,20,30,45,60,75,105,115,150,200,225,250,600,1000},{50,55,60,62,65,68,70,72,75,80,82,85,87,90,95})+(M554-LOOKUP(M554,{12.5,15,20,30,45,60,75,105,115,150,200,225,250,600},{12.5,15,20,30,45,60,75,105,115,150,200,225,250,600}))/(LOOKUP(M554,{12.5,15,20,30,45,60,75,105,115,150,200,225,250,600,1000},{15,20,30,45,60,75,105,115,150,200,225,250,600,1000,1000})-LOOKUP(M554,{12.5,15,20,30,45,60,75,105,115,150,200,225,250,600},{12.5,15,20,30,45,60,75,105,115,150,200,225,250,600}))*(LOOKUP(M554,{12.5,15,20,30,45,60,75,105,115,150,200,225,250,600,1000},{55,60,62,65,68,70,72,75,80,82,85,87,90,95,95})-LOOKUP(M554,{12.5,15,20,30,45,60,75,105,115,150,200,225,250,600,1000},{50,55,60,62,65,68,70,72,75,80,82,85,87,90,95})))))</f>
        <v>62</v>
      </c>
      <c r="P554" s="2">
        <f t="shared" si="43"/>
        <v>6</v>
      </c>
      <c r="Q554" s="2">
        <f t="shared" si="44"/>
        <v>3</v>
      </c>
    </row>
    <row r="555" customHeight="1" spans="1:17">
      <c r="B555" s="2">
        <v>554</v>
      </c>
      <c r="C555" s="17">
        <f t="shared" si="42"/>
        <v>66.6</v>
      </c>
      <c r="D555" s="2" t="s">
        <v>900</v>
      </c>
      <c r="E555" s="9">
        <v>75</v>
      </c>
      <c r="F555" s="2">
        <v>53</v>
      </c>
      <c r="G555" s="2">
        <v>35</v>
      </c>
      <c r="H555" s="2" t="s">
        <v>66</v>
      </c>
      <c r="I555" s="2" t="s">
        <v>33</v>
      </c>
      <c r="J555" s="4" t="s">
        <v>901</v>
      </c>
      <c r="M555" s="2">
        <f t="shared" si="40"/>
        <v>115</v>
      </c>
      <c r="N555" s="2">
        <f t="shared" si="41"/>
        <v>66.6</v>
      </c>
      <c r="O555" s="2">
        <f>IF(M555="","",IF(M555&gt;=1000,95,IF(M555&lt;=12.5,50,LOOKUP(M555,{12.5,15,20,30,45,60,75,105,115,150,200,225,250,600,1000},{50,55,60,62,65,68,70,72,75,80,82,85,87,90,95})+(M555-LOOKUP(M555,{12.5,15,20,30,45,60,75,105,115,150,200,225,250,600},{12.5,15,20,30,45,60,75,105,115,150,200,225,250,600}))/(LOOKUP(M555,{12.5,15,20,30,45,60,75,105,115,150,200,225,250,600,1000},{15,20,30,45,60,75,105,115,150,200,225,250,600,1000,1000})-LOOKUP(M555,{12.5,15,20,30,45,60,75,105,115,150,200,225,250,600},{12.5,15,20,30,45,60,75,105,115,150,200,225,250,600}))*(LOOKUP(M555,{12.5,15,20,30,45,60,75,105,115,150,200,225,250,600,1000},{55,60,62,65,68,70,72,75,80,82,85,87,90,95,95})-LOOKUP(M555,{12.5,15,20,30,45,60,75,105,115,150,200,225,250,600,1000},{50,55,60,62,65,68,70,72,75,80,82,85,87,90,95})))))</f>
        <v>75</v>
      </c>
      <c r="P555" s="2">
        <f t="shared" si="43"/>
        <v>0</v>
      </c>
      <c r="Q555" s="2">
        <f t="shared" si="44"/>
        <v>0</v>
      </c>
    </row>
    <row r="556" customHeight="1" spans="1:17">
      <c r="A556" s="2">
        <v>2026</v>
      </c>
      <c r="B556" s="2">
        <v>555</v>
      </c>
      <c r="C556" s="17">
        <f t="shared" si="42"/>
        <v>66.6</v>
      </c>
      <c r="D556" s="2" t="s">
        <v>902</v>
      </c>
      <c r="E556" s="12">
        <v>68</v>
      </c>
      <c r="F556" s="12">
        <v>62</v>
      </c>
      <c r="G556" s="12">
        <v>66</v>
      </c>
      <c r="H556" s="2" t="s">
        <v>37</v>
      </c>
      <c r="I556" s="2" t="s">
        <v>63</v>
      </c>
      <c r="J556" s="4" t="s">
        <v>34</v>
      </c>
      <c r="M556" s="2">
        <f t="shared" si="40"/>
        <v>60</v>
      </c>
      <c r="N556" s="2">
        <f t="shared" si="41"/>
        <v>66.6</v>
      </c>
      <c r="O556" s="2">
        <f>IF(M556="","",IF(M556&gt;=1000,95,IF(M556&lt;=12.5,50,LOOKUP(M556,{12.5,15,20,30,45,60,75,105,115,150,200,225,250,600,1000},{50,55,60,62,65,68,70,72,75,80,82,85,87,90,95})+(M556-LOOKUP(M556,{12.5,15,20,30,45,60,75,105,115,150,200,225,250,600},{12.5,15,20,30,45,60,75,105,115,150,200,225,250,600}))/(LOOKUP(M556,{12.5,15,20,30,45,60,75,105,115,150,200,225,250,600,1000},{15,20,30,45,60,75,105,115,150,200,225,250,600,1000,1000})-LOOKUP(M556,{12.5,15,20,30,45,60,75,105,115,150,200,225,250,600},{12.5,15,20,30,45,60,75,105,115,150,200,225,250,600}))*(LOOKUP(M556,{12.5,15,20,30,45,60,75,105,115,150,200,225,250,600,1000},{55,60,62,65,68,70,72,75,80,82,85,87,90,95,95})-LOOKUP(M556,{12.5,15,20,30,45,60,75,105,115,150,200,225,250,600,1000},{50,55,60,62,65,68,70,72,75,80,82,85,87,90,95})))))</f>
        <v>68</v>
      </c>
      <c r="P556" s="2">
        <f t="shared" si="43"/>
        <v>0</v>
      </c>
      <c r="Q556" s="2">
        <f t="shared" si="44"/>
        <v>0</v>
      </c>
    </row>
    <row r="557" customHeight="1" spans="1:17">
      <c r="B557" s="2">
        <v>556</v>
      </c>
      <c r="C557" s="17">
        <f t="shared" si="42"/>
        <v>66.53</v>
      </c>
      <c r="D557" s="2" t="s">
        <v>903</v>
      </c>
      <c r="E557" s="9">
        <v>70</v>
      </c>
      <c r="F557" s="9">
        <v>78</v>
      </c>
      <c r="G557" s="10">
        <v>86</v>
      </c>
      <c r="H557" s="2" t="s">
        <v>37</v>
      </c>
      <c r="I557" s="2" t="s">
        <v>197</v>
      </c>
      <c r="J557" s="4" t="s">
        <v>19</v>
      </c>
      <c r="M557" s="2">
        <f t="shared" si="40"/>
        <v>225</v>
      </c>
      <c r="N557" s="2">
        <f t="shared" si="41"/>
        <v>73.2</v>
      </c>
      <c r="O557" s="2">
        <f>IF(M557="","",IF(M557&gt;=1000,95,IF(M557&lt;=12.5,50,LOOKUP(M557,{12.5,15,20,30,45,60,75,105,115,150,200,225,250,600,1000},{50,55,60,62,65,68,70,72,75,80,82,85,87,90,95})+(M557-LOOKUP(M557,{12.5,15,20,30,45,60,75,105,115,150,200,225,250,600},{12.5,15,20,30,45,60,75,105,115,150,200,225,250,600}))/(LOOKUP(M557,{12.5,15,20,30,45,60,75,105,115,150,200,225,250,600,1000},{15,20,30,45,60,75,105,115,150,200,225,250,600,1000,1000})-LOOKUP(M557,{12.5,15,20,30,45,60,75,105,115,150,200,225,250,600},{12.5,15,20,30,45,60,75,105,115,150,200,225,250,600}))*(LOOKUP(M557,{12.5,15,20,30,45,60,75,105,115,150,200,225,250,600,1000},{55,60,62,65,68,70,72,75,80,82,85,87,90,95,95})-LOOKUP(M557,{12.5,15,20,30,45,60,75,105,115,150,200,225,250,600,1000},{50,55,60,62,65,68,70,72,75,80,82,85,87,90,95})))))</f>
        <v>85</v>
      </c>
      <c r="P557" s="2">
        <f t="shared" si="43"/>
        <v>-15</v>
      </c>
      <c r="Q557" s="2">
        <f t="shared" si="44"/>
        <v>-6.67</v>
      </c>
    </row>
    <row r="558" customHeight="1" spans="1:17">
      <c r="A558" s="2">
        <v>2026</v>
      </c>
      <c r="B558" s="2">
        <v>557</v>
      </c>
      <c r="C558" s="17">
        <f t="shared" si="42"/>
        <v>66.5</v>
      </c>
      <c r="D558" s="2" t="s">
        <v>904</v>
      </c>
      <c r="E558" s="9">
        <v>72</v>
      </c>
      <c r="F558" s="2">
        <v>48</v>
      </c>
      <c r="G558" s="2">
        <v>45</v>
      </c>
      <c r="H558" s="2" t="s">
        <v>41</v>
      </c>
      <c r="I558" s="2" t="s">
        <v>63</v>
      </c>
      <c r="J558" s="4" t="s">
        <v>34</v>
      </c>
      <c r="M558" s="2">
        <f t="shared" si="40"/>
        <v>60</v>
      </c>
      <c r="N558" s="2">
        <f t="shared" si="41"/>
        <v>64.5</v>
      </c>
      <c r="O558" s="2">
        <f>IF(M558="","",IF(M558&gt;=1000,95,IF(M558&lt;=12.5,50,LOOKUP(M558,{12.5,15,20,30,45,60,75,105,115,150,200,225,250,600,1000},{50,55,60,62,65,68,70,72,75,80,82,85,87,90,95})+(M558-LOOKUP(M558,{12.5,15,20,30,45,60,75,105,115,150,200,225,250,600},{12.5,15,20,30,45,60,75,105,115,150,200,225,250,600}))/(LOOKUP(M558,{12.5,15,20,30,45,60,75,105,115,150,200,225,250,600,1000},{15,20,30,45,60,75,105,115,150,200,225,250,600,1000,1000})-LOOKUP(M558,{12.5,15,20,30,45,60,75,105,115,150,200,225,250,600},{12.5,15,20,30,45,60,75,105,115,150,200,225,250,600}))*(LOOKUP(M558,{12.5,15,20,30,45,60,75,105,115,150,200,225,250,600,1000},{55,60,62,65,68,70,72,75,80,82,85,87,90,95,95})-LOOKUP(M558,{12.5,15,20,30,45,60,75,105,115,150,200,225,250,600,1000},{50,55,60,62,65,68,70,72,75,80,82,85,87,90,95})))))</f>
        <v>68</v>
      </c>
      <c r="P558" s="2">
        <f t="shared" si="43"/>
        <v>4</v>
      </c>
      <c r="Q558" s="2">
        <f t="shared" si="44"/>
        <v>2</v>
      </c>
    </row>
    <row r="559" customHeight="1" spans="1:17">
      <c r="B559" s="2">
        <v>558</v>
      </c>
      <c r="C559" s="17">
        <f t="shared" si="42"/>
        <v>66.5</v>
      </c>
      <c r="D559" s="2" t="s">
        <v>905</v>
      </c>
      <c r="E559" s="12">
        <v>67</v>
      </c>
      <c r="F559" s="2">
        <v>55</v>
      </c>
      <c r="G559" s="9">
        <v>76</v>
      </c>
      <c r="H559" s="2" t="s">
        <v>122</v>
      </c>
      <c r="I559" s="2" t="s">
        <v>63</v>
      </c>
      <c r="J559" s="4" t="s">
        <v>38</v>
      </c>
      <c r="M559" s="2">
        <f t="shared" si="40"/>
        <v>45</v>
      </c>
      <c r="N559" s="2">
        <f t="shared" si="41"/>
        <v>65.5</v>
      </c>
      <c r="O559" s="2">
        <f>IF(M559="","",IF(M559&gt;=1000,95,IF(M559&lt;=12.5,50,LOOKUP(M559,{12.5,15,20,30,45,60,75,105,115,150,200,225,250,600,1000},{50,55,60,62,65,68,70,72,75,80,82,85,87,90,95})+(M559-LOOKUP(M559,{12.5,15,20,30,45,60,75,105,115,150,200,225,250,600},{12.5,15,20,30,45,60,75,105,115,150,200,225,250,600}))/(LOOKUP(M559,{12.5,15,20,30,45,60,75,105,115,150,200,225,250,600,1000},{15,20,30,45,60,75,105,115,150,200,225,250,600,1000,1000})-LOOKUP(M559,{12.5,15,20,30,45,60,75,105,115,150,200,225,250,600},{12.5,15,20,30,45,60,75,105,115,150,200,225,250,600}))*(LOOKUP(M559,{12.5,15,20,30,45,60,75,105,115,150,200,225,250,600,1000},{55,60,62,65,68,70,72,75,80,82,85,87,90,95,95})-LOOKUP(M559,{12.5,15,20,30,45,60,75,105,115,150,200,225,250,600,1000},{50,55,60,62,65,68,70,72,75,80,82,85,87,90,95})))))</f>
        <v>65</v>
      </c>
      <c r="P559" s="2">
        <f t="shared" si="43"/>
        <v>2</v>
      </c>
      <c r="Q559" s="2">
        <f t="shared" si="44"/>
        <v>1</v>
      </c>
    </row>
    <row r="560" customHeight="1" spans="1:17">
      <c r="A560" s="2">
        <v>2026</v>
      </c>
      <c r="B560" s="2">
        <v>559</v>
      </c>
      <c r="C560" s="17">
        <f t="shared" si="42"/>
        <v>66.5</v>
      </c>
      <c r="D560" s="2" t="s">
        <v>906</v>
      </c>
      <c r="E560" s="9">
        <v>70</v>
      </c>
      <c r="F560" s="12">
        <v>60</v>
      </c>
      <c r="G560" s="2">
        <v>55</v>
      </c>
      <c r="H560" s="2" t="s">
        <v>54</v>
      </c>
      <c r="I560" s="2" t="s">
        <v>104</v>
      </c>
      <c r="J560" s="4" t="s">
        <v>24</v>
      </c>
      <c r="M560" s="2">
        <f t="shared" si="40"/>
        <v>75</v>
      </c>
      <c r="N560" s="2">
        <f t="shared" si="41"/>
        <v>66.5</v>
      </c>
      <c r="O560" s="2">
        <f>IF(M560="","",IF(M560&gt;=1000,95,IF(M560&lt;=12.5,50,LOOKUP(M560,{12.5,15,20,30,45,60,75,105,115,150,200,225,250,600,1000},{50,55,60,62,65,68,70,72,75,80,82,85,87,90,95})+(M560-LOOKUP(M560,{12.5,15,20,30,45,60,75,105,115,150,200,225,250,600},{12.5,15,20,30,45,60,75,105,115,150,200,225,250,600}))/(LOOKUP(M560,{12.5,15,20,30,45,60,75,105,115,150,200,225,250,600,1000},{15,20,30,45,60,75,105,115,150,200,225,250,600,1000,1000})-LOOKUP(M560,{12.5,15,20,30,45,60,75,105,115,150,200,225,250,600},{12.5,15,20,30,45,60,75,105,115,150,200,225,250,600}))*(LOOKUP(M560,{12.5,15,20,30,45,60,75,105,115,150,200,225,250,600,1000},{55,60,62,65,68,70,72,75,80,82,85,87,90,95,95})-LOOKUP(M560,{12.5,15,20,30,45,60,75,105,115,150,200,225,250,600,1000},{50,55,60,62,65,68,70,72,75,80,82,85,87,90,95})))))</f>
        <v>70</v>
      </c>
      <c r="P560" s="2">
        <f t="shared" si="43"/>
        <v>0</v>
      </c>
      <c r="Q560" s="2">
        <f t="shared" si="44"/>
        <v>0</v>
      </c>
    </row>
    <row r="561" customHeight="1" spans="1:17">
      <c r="A561" s="2">
        <v>2026</v>
      </c>
      <c r="B561" s="2">
        <v>560</v>
      </c>
      <c r="C561" s="17">
        <f t="shared" si="42"/>
        <v>66.5</v>
      </c>
      <c r="D561" s="2" t="s">
        <v>907</v>
      </c>
      <c r="E561" s="12">
        <v>69</v>
      </c>
      <c r="F561" s="12">
        <v>63</v>
      </c>
      <c r="G561" s="2">
        <v>36</v>
      </c>
      <c r="H561" s="2" t="s">
        <v>54</v>
      </c>
      <c r="I561" s="2" t="s">
        <v>803</v>
      </c>
      <c r="J561" s="4" t="s">
        <v>38</v>
      </c>
      <c r="K561" s="2" t="s">
        <v>908</v>
      </c>
      <c r="M561" s="2">
        <f t="shared" si="40"/>
        <v>45</v>
      </c>
      <c r="N561" s="2">
        <f t="shared" si="41"/>
        <v>64.5</v>
      </c>
      <c r="O561" s="2">
        <f>IF(M561="","",IF(M561&gt;=1000,95,IF(M561&lt;=12.5,50,LOOKUP(M561,{12.5,15,20,30,45,60,75,105,115,150,200,225,250,600,1000},{50,55,60,62,65,68,70,72,75,80,82,85,87,90,95})+(M561-LOOKUP(M561,{12.5,15,20,30,45,60,75,105,115,150,200,225,250,600},{12.5,15,20,30,45,60,75,105,115,150,200,225,250,600}))/(LOOKUP(M561,{12.5,15,20,30,45,60,75,105,115,150,200,225,250,600,1000},{15,20,30,45,60,75,105,115,150,200,225,250,600,1000,1000})-LOOKUP(M561,{12.5,15,20,30,45,60,75,105,115,150,200,225,250,600},{12.5,15,20,30,45,60,75,105,115,150,200,225,250,600}))*(LOOKUP(M561,{12.5,15,20,30,45,60,75,105,115,150,200,225,250,600,1000},{55,60,62,65,68,70,72,75,80,82,85,87,90,95,95})-LOOKUP(M561,{12.5,15,20,30,45,60,75,105,115,150,200,225,250,600,1000},{50,55,60,62,65,68,70,72,75,80,82,85,87,90,95})))))</f>
        <v>65</v>
      </c>
      <c r="P561" s="2">
        <f t="shared" si="43"/>
        <v>4</v>
      </c>
      <c r="Q561" s="2">
        <f t="shared" si="44"/>
        <v>2</v>
      </c>
    </row>
    <row r="562" customHeight="1" spans="1:17">
      <c r="B562" s="2">
        <v>561</v>
      </c>
      <c r="C562" s="17">
        <f t="shared" si="42"/>
        <v>66.5</v>
      </c>
      <c r="D562" s="2" t="s">
        <v>909</v>
      </c>
      <c r="E562" s="9">
        <v>70</v>
      </c>
      <c r="F562" s="2">
        <v>50</v>
      </c>
      <c r="G562" s="2">
        <v>50</v>
      </c>
      <c r="H562" s="2" t="s">
        <v>41</v>
      </c>
      <c r="I562" s="2" t="s">
        <v>128</v>
      </c>
      <c r="J562" s="4" t="s">
        <v>38</v>
      </c>
      <c r="K562" s="2" t="s">
        <v>910</v>
      </c>
      <c r="M562" s="2">
        <f t="shared" si="40"/>
        <v>45</v>
      </c>
      <c r="N562" s="2">
        <f t="shared" si="41"/>
        <v>64</v>
      </c>
      <c r="O562" s="2">
        <f>IF(M562="","",IF(M562&gt;=1000,95,IF(M562&lt;=12.5,50,LOOKUP(M562,{12.5,15,20,30,45,60,75,105,115,150,200,225,250,600,1000},{50,55,60,62,65,68,70,72,75,80,82,85,87,90,95})+(M562-LOOKUP(M562,{12.5,15,20,30,45,60,75,105,115,150,200,225,250,600},{12.5,15,20,30,45,60,75,105,115,150,200,225,250,600}))/(LOOKUP(M562,{12.5,15,20,30,45,60,75,105,115,150,200,225,250,600,1000},{15,20,30,45,60,75,105,115,150,200,225,250,600,1000,1000})-LOOKUP(M562,{12.5,15,20,30,45,60,75,105,115,150,200,225,250,600},{12.5,15,20,30,45,60,75,105,115,150,200,225,250,600}))*(LOOKUP(M562,{12.5,15,20,30,45,60,75,105,115,150,200,225,250,600,1000},{55,60,62,65,68,70,72,75,80,82,85,87,90,95,95})-LOOKUP(M562,{12.5,15,20,30,45,60,75,105,115,150,200,225,250,600,1000},{50,55,60,62,65,68,70,72,75,80,82,85,87,90,95})))))</f>
        <v>65</v>
      </c>
      <c r="P562" s="2">
        <f t="shared" si="43"/>
        <v>5</v>
      </c>
      <c r="Q562" s="2">
        <f t="shared" si="44"/>
        <v>2.5</v>
      </c>
    </row>
    <row r="563" customHeight="1" spans="1:17">
      <c r="B563" s="2">
        <v>562</v>
      </c>
      <c r="C563" s="17">
        <f t="shared" si="42"/>
        <v>66.4</v>
      </c>
      <c r="D563" s="2" t="s">
        <v>911</v>
      </c>
      <c r="E563" s="12">
        <v>67</v>
      </c>
      <c r="F563" s="9">
        <v>70</v>
      </c>
      <c r="G563" s="12">
        <v>60</v>
      </c>
      <c r="H563" s="2" t="s">
        <v>342</v>
      </c>
      <c r="I563" s="2" t="s">
        <v>33</v>
      </c>
      <c r="J563" s="4" t="s">
        <v>34</v>
      </c>
      <c r="M563" s="2">
        <f t="shared" si="40"/>
        <v>60</v>
      </c>
      <c r="N563" s="2">
        <f t="shared" si="41"/>
        <v>66.9</v>
      </c>
      <c r="O563" s="2">
        <f>IF(M563="","",IF(M563&gt;=1000,95,IF(M563&lt;=12.5,50,LOOKUP(M563,{12.5,15,20,30,45,60,75,105,115,150,200,225,250,600,1000},{50,55,60,62,65,68,70,72,75,80,82,85,87,90,95})+(M563-LOOKUP(M563,{12.5,15,20,30,45,60,75,105,115,150,200,225,250,600},{12.5,15,20,30,45,60,75,105,115,150,200,225,250,600}))/(LOOKUP(M563,{12.5,15,20,30,45,60,75,105,115,150,200,225,250,600,1000},{15,20,30,45,60,75,105,115,150,200,225,250,600,1000,1000})-LOOKUP(M563,{12.5,15,20,30,45,60,75,105,115,150,200,225,250,600},{12.5,15,20,30,45,60,75,105,115,150,200,225,250,600}))*(LOOKUP(M563,{12.5,15,20,30,45,60,75,105,115,150,200,225,250,600,1000},{55,60,62,65,68,70,72,75,80,82,85,87,90,95,95})-LOOKUP(M563,{12.5,15,20,30,45,60,75,105,115,150,200,225,250,600,1000},{50,55,60,62,65,68,70,72,75,80,82,85,87,90,95})))))</f>
        <v>68</v>
      </c>
      <c r="P563" s="2">
        <f t="shared" si="43"/>
        <v>-1</v>
      </c>
      <c r="Q563" s="2">
        <f t="shared" si="44"/>
        <v>-0.5</v>
      </c>
    </row>
    <row r="564" customHeight="1" spans="1:17">
      <c r="A564" s="2">
        <v>2026</v>
      </c>
      <c r="B564" s="2">
        <v>563</v>
      </c>
      <c r="C564" s="17">
        <f t="shared" si="42"/>
        <v>66.4</v>
      </c>
      <c r="D564" s="2" t="s">
        <v>912</v>
      </c>
      <c r="E564" s="12">
        <v>69</v>
      </c>
      <c r="F564" s="12">
        <v>65</v>
      </c>
      <c r="G564" s="2">
        <v>56</v>
      </c>
      <c r="H564" s="2" t="s">
        <v>54</v>
      </c>
      <c r="I564" s="2" t="s">
        <v>128</v>
      </c>
      <c r="J564" s="4" t="s">
        <v>24</v>
      </c>
      <c r="M564" s="2">
        <f t="shared" si="40"/>
        <v>75</v>
      </c>
      <c r="N564" s="2">
        <f t="shared" si="41"/>
        <v>66.9</v>
      </c>
      <c r="O564" s="2">
        <f>IF(M564="","",IF(M564&gt;=1000,95,IF(M564&lt;=12.5,50,LOOKUP(M564,{12.5,15,20,30,45,60,75,105,115,150,200,225,250,600,1000},{50,55,60,62,65,68,70,72,75,80,82,85,87,90,95})+(M564-LOOKUP(M564,{12.5,15,20,30,45,60,75,105,115,150,200,225,250,600},{12.5,15,20,30,45,60,75,105,115,150,200,225,250,600}))/(LOOKUP(M564,{12.5,15,20,30,45,60,75,105,115,150,200,225,250,600,1000},{15,20,30,45,60,75,105,115,150,200,225,250,600,1000,1000})-LOOKUP(M564,{12.5,15,20,30,45,60,75,105,115,150,200,225,250,600},{12.5,15,20,30,45,60,75,105,115,150,200,225,250,600}))*(LOOKUP(M564,{12.5,15,20,30,45,60,75,105,115,150,200,225,250,600,1000},{55,60,62,65,68,70,72,75,80,82,85,87,90,95,95})-LOOKUP(M564,{12.5,15,20,30,45,60,75,105,115,150,200,225,250,600,1000},{50,55,60,62,65,68,70,72,75,80,82,85,87,90,95})))))</f>
        <v>70</v>
      </c>
      <c r="P564" s="2">
        <f t="shared" si="43"/>
        <v>-1</v>
      </c>
      <c r="Q564" s="2">
        <f t="shared" si="44"/>
        <v>-0.5</v>
      </c>
    </row>
    <row r="565" customHeight="1" spans="1:17">
      <c r="B565" s="2">
        <v>564</v>
      </c>
      <c r="C565" s="17">
        <f t="shared" si="42"/>
        <v>66.4</v>
      </c>
      <c r="D565" s="2" t="s">
        <v>913</v>
      </c>
      <c r="E565" s="9">
        <v>74</v>
      </c>
      <c r="F565" s="2">
        <v>57</v>
      </c>
      <c r="G565" s="12">
        <v>62</v>
      </c>
      <c r="H565" s="2" t="s">
        <v>914</v>
      </c>
      <c r="I565" s="2" t="s">
        <v>239</v>
      </c>
      <c r="J565" s="4" t="s">
        <v>59</v>
      </c>
      <c r="K565" s="2" t="s">
        <v>915</v>
      </c>
      <c r="M565" s="2">
        <f t="shared" si="40"/>
        <v>150</v>
      </c>
      <c r="N565" s="2">
        <f t="shared" si="41"/>
        <v>69.4</v>
      </c>
      <c r="O565" s="2">
        <f>IF(M565="","",IF(M565&gt;=1000,95,IF(M565&lt;=12.5,50,LOOKUP(M565,{12.5,15,20,30,45,60,75,105,115,150,200,225,250,600,1000},{50,55,60,62,65,68,70,72,75,80,82,85,87,90,95})+(M565-LOOKUP(M565,{12.5,15,20,30,45,60,75,105,115,150,200,225,250,600},{12.5,15,20,30,45,60,75,105,115,150,200,225,250,600}))/(LOOKUP(M565,{12.5,15,20,30,45,60,75,105,115,150,200,225,250,600,1000},{15,20,30,45,60,75,105,115,150,200,225,250,600,1000,1000})-LOOKUP(M565,{12.5,15,20,30,45,60,75,105,115,150,200,225,250,600},{12.5,15,20,30,45,60,75,105,115,150,200,225,250,600}))*(LOOKUP(M565,{12.5,15,20,30,45,60,75,105,115,150,200,225,250,600,1000},{55,60,62,65,68,70,72,75,80,82,85,87,90,95,95})-LOOKUP(M565,{12.5,15,20,30,45,60,75,105,115,150,200,225,250,600,1000},{50,55,60,62,65,68,70,72,75,80,82,85,87,90,95})))))</f>
        <v>80</v>
      </c>
      <c r="P565" s="2">
        <f t="shared" si="43"/>
        <v>-6</v>
      </c>
      <c r="Q565" s="2">
        <f t="shared" si="44"/>
        <v>-3</v>
      </c>
    </row>
    <row r="566" customHeight="1" spans="1:17">
      <c r="A566" s="2">
        <v>2026</v>
      </c>
      <c r="B566" s="2">
        <v>565</v>
      </c>
      <c r="C566" s="17">
        <f t="shared" si="42"/>
        <v>66.4</v>
      </c>
      <c r="D566" s="2" t="s">
        <v>916</v>
      </c>
      <c r="E566" s="9">
        <v>71</v>
      </c>
      <c r="F566" s="2">
        <v>51</v>
      </c>
      <c r="G566" s="2">
        <v>35</v>
      </c>
      <c r="H566" s="2" t="s">
        <v>917</v>
      </c>
      <c r="I566" s="2" t="s">
        <v>128</v>
      </c>
      <c r="J566" s="4" t="s">
        <v>38</v>
      </c>
      <c r="K566" s="2" t="s">
        <v>918</v>
      </c>
      <c r="M566" s="2">
        <f t="shared" si="40"/>
        <v>45</v>
      </c>
      <c r="N566" s="2">
        <f t="shared" si="41"/>
        <v>63.4</v>
      </c>
      <c r="O566" s="2">
        <f>IF(M566="","",IF(M566&gt;=1000,95,IF(M566&lt;=12.5,50,LOOKUP(M566,{12.5,15,20,30,45,60,75,105,115,150,200,225,250,600,1000},{50,55,60,62,65,68,70,72,75,80,82,85,87,90,95})+(M566-LOOKUP(M566,{12.5,15,20,30,45,60,75,105,115,150,200,225,250,600},{12.5,15,20,30,45,60,75,105,115,150,200,225,250,600}))/(LOOKUP(M566,{12.5,15,20,30,45,60,75,105,115,150,200,225,250,600,1000},{15,20,30,45,60,75,105,115,150,200,225,250,600,1000,1000})-LOOKUP(M566,{12.5,15,20,30,45,60,75,105,115,150,200,225,250,600},{12.5,15,20,30,45,60,75,105,115,150,200,225,250,600}))*(LOOKUP(M566,{12.5,15,20,30,45,60,75,105,115,150,200,225,250,600,1000},{55,60,62,65,68,70,72,75,80,82,85,87,90,95,95})-LOOKUP(M566,{12.5,15,20,30,45,60,75,105,115,150,200,225,250,600,1000},{50,55,60,62,65,68,70,72,75,80,82,85,87,90,95})))))</f>
        <v>65</v>
      </c>
      <c r="P566" s="2">
        <f t="shared" si="43"/>
        <v>6</v>
      </c>
      <c r="Q566" s="2">
        <f t="shared" si="44"/>
        <v>3</v>
      </c>
    </row>
    <row r="567" customHeight="1" spans="1:17">
      <c r="B567" s="2">
        <v>566</v>
      </c>
      <c r="C567" s="17">
        <f t="shared" si="42"/>
        <v>66.3</v>
      </c>
      <c r="D567" s="2" t="s">
        <v>919</v>
      </c>
      <c r="E567" s="12">
        <v>65</v>
      </c>
      <c r="F567" s="10">
        <v>87</v>
      </c>
      <c r="G567" s="12">
        <v>69</v>
      </c>
      <c r="H567" s="2" t="s">
        <v>41</v>
      </c>
      <c r="I567" s="2" t="s">
        <v>592</v>
      </c>
      <c r="J567" s="4" t="s">
        <v>105</v>
      </c>
      <c r="M567" s="2">
        <f t="shared" si="40"/>
        <v>105</v>
      </c>
      <c r="N567" s="2">
        <f t="shared" si="41"/>
        <v>69.8</v>
      </c>
      <c r="O567" s="2">
        <f>IF(M567="","",IF(M567&gt;=1000,95,IF(M567&lt;=12.5,50,LOOKUP(M567,{12.5,15,20,30,45,60,75,105,115,150,200,225,250,600,1000},{50,55,60,62,65,68,70,72,75,80,82,85,87,90,95})+(M567-LOOKUP(M567,{12.5,15,20,30,45,60,75,105,115,150,200,225,250,600},{12.5,15,20,30,45,60,75,105,115,150,200,225,250,600}))/(LOOKUP(M567,{12.5,15,20,30,45,60,75,105,115,150,200,225,250,600,1000},{15,20,30,45,60,75,105,115,150,200,225,250,600,1000,1000})-LOOKUP(M567,{12.5,15,20,30,45,60,75,105,115,150,200,225,250,600},{12.5,15,20,30,45,60,75,105,115,150,200,225,250,600}))*(LOOKUP(M567,{12.5,15,20,30,45,60,75,105,115,150,200,225,250,600,1000},{55,60,62,65,68,70,72,75,80,82,85,87,90,95,95})-LOOKUP(M567,{12.5,15,20,30,45,60,75,105,115,150,200,225,250,600,1000},{50,55,60,62,65,68,70,72,75,80,82,85,87,90,95})))))</f>
        <v>72</v>
      </c>
      <c r="P567" s="2">
        <f t="shared" si="43"/>
        <v>-7</v>
      </c>
      <c r="Q567" s="2">
        <f t="shared" si="44"/>
        <v>-3.5</v>
      </c>
    </row>
    <row r="568" customHeight="1" spans="1:17">
      <c r="A568" s="2">
        <v>2026</v>
      </c>
      <c r="B568" s="2">
        <v>567</v>
      </c>
      <c r="C568" s="17">
        <f t="shared" si="42"/>
        <v>66.3</v>
      </c>
      <c r="D568" s="2" t="s">
        <v>920</v>
      </c>
      <c r="E568" s="12">
        <v>66</v>
      </c>
      <c r="F568" s="12">
        <v>60</v>
      </c>
      <c r="G568" s="12">
        <v>61</v>
      </c>
      <c r="H568" s="2" t="s">
        <v>54</v>
      </c>
      <c r="I568" s="2" t="s">
        <v>28</v>
      </c>
      <c r="J568" s="4" t="s">
        <v>88</v>
      </c>
      <c r="M568" s="2">
        <f t="shared" si="40"/>
        <v>30</v>
      </c>
      <c r="N568" s="2">
        <f t="shared" si="41"/>
        <v>64.3</v>
      </c>
      <c r="O568" s="2">
        <f>IF(M568="","",IF(M568&gt;=1000,95,IF(M568&lt;=12.5,50,LOOKUP(M568,{12.5,15,20,30,45,60,75,105,115,150,200,225,250,600,1000},{50,55,60,62,65,68,70,72,75,80,82,85,87,90,95})+(M568-LOOKUP(M568,{12.5,15,20,30,45,60,75,105,115,150,200,225,250,600},{12.5,15,20,30,45,60,75,105,115,150,200,225,250,600}))/(LOOKUP(M568,{12.5,15,20,30,45,60,75,105,115,150,200,225,250,600,1000},{15,20,30,45,60,75,105,115,150,200,225,250,600,1000,1000})-LOOKUP(M568,{12.5,15,20,30,45,60,75,105,115,150,200,225,250,600},{12.5,15,20,30,45,60,75,105,115,150,200,225,250,600}))*(LOOKUP(M568,{12.5,15,20,30,45,60,75,105,115,150,200,225,250,600,1000},{55,60,62,65,68,70,72,75,80,82,85,87,90,95,95})-LOOKUP(M568,{12.5,15,20,30,45,60,75,105,115,150,200,225,250,600,1000},{50,55,60,62,65,68,70,72,75,80,82,85,87,90,95})))))</f>
        <v>62</v>
      </c>
      <c r="P568" s="2">
        <f t="shared" si="43"/>
        <v>4</v>
      </c>
      <c r="Q568" s="2">
        <f t="shared" si="44"/>
        <v>2</v>
      </c>
    </row>
    <row r="569" customHeight="1" spans="1:17">
      <c r="B569" s="2">
        <v>568</v>
      </c>
      <c r="C569" s="17">
        <f t="shared" si="42"/>
        <v>66.3</v>
      </c>
      <c r="D569" s="2" t="s">
        <v>921</v>
      </c>
      <c r="E569" s="9">
        <v>71</v>
      </c>
      <c r="F569" s="12">
        <v>65</v>
      </c>
      <c r="G569" s="2">
        <v>56</v>
      </c>
      <c r="H569" s="2" t="s">
        <v>37</v>
      </c>
      <c r="I569" s="2" t="s">
        <v>239</v>
      </c>
      <c r="J569" s="4" t="s">
        <v>148</v>
      </c>
      <c r="K569" s="2" t="s">
        <v>922</v>
      </c>
      <c r="M569" s="2">
        <f t="shared" si="40"/>
        <v>115</v>
      </c>
      <c r="N569" s="2">
        <f t="shared" si="41"/>
        <v>68.3</v>
      </c>
      <c r="O569" s="2">
        <f>IF(M569="","",IF(M569&gt;=1000,95,IF(M569&lt;=12.5,50,LOOKUP(M569,{12.5,15,20,30,45,60,75,105,115,150,200,225,250,600,1000},{50,55,60,62,65,68,70,72,75,80,82,85,87,90,95})+(M569-LOOKUP(M569,{12.5,15,20,30,45,60,75,105,115,150,200,225,250,600},{12.5,15,20,30,45,60,75,105,115,150,200,225,250,600}))/(LOOKUP(M569,{12.5,15,20,30,45,60,75,105,115,150,200,225,250,600,1000},{15,20,30,45,60,75,105,115,150,200,225,250,600,1000,1000})-LOOKUP(M569,{12.5,15,20,30,45,60,75,105,115,150,200,225,250,600},{12.5,15,20,30,45,60,75,105,115,150,200,225,250,600}))*(LOOKUP(M569,{12.5,15,20,30,45,60,75,105,115,150,200,225,250,600,1000},{55,60,62,65,68,70,72,75,80,82,85,87,90,95,95})-LOOKUP(M569,{12.5,15,20,30,45,60,75,105,115,150,200,225,250,600,1000},{50,55,60,62,65,68,70,72,75,80,82,85,87,90,95})))))</f>
        <v>75</v>
      </c>
      <c r="P569" s="2">
        <f t="shared" si="43"/>
        <v>-4</v>
      </c>
      <c r="Q569" s="2">
        <f t="shared" si="44"/>
        <v>-2</v>
      </c>
    </row>
    <row r="570" customHeight="1" spans="1:17">
      <c r="B570" s="2">
        <v>569</v>
      </c>
      <c r="C570" s="17">
        <f t="shared" si="42"/>
        <v>66.3</v>
      </c>
      <c r="D570" s="2" t="s">
        <v>923</v>
      </c>
      <c r="E570" s="9">
        <v>71</v>
      </c>
      <c r="F570" s="12">
        <v>62</v>
      </c>
      <c r="G570" s="12">
        <v>62</v>
      </c>
      <c r="H570" s="2" t="s">
        <v>32</v>
      </c>
      <c r="I570" s="2" t="s">
        <v>33</v>
      </c>
      <c r="J570" s="4" t="s">
        <v>148</v>
      </c>
      <c r="M570" s="2">
        <f t="shared" si="40"/>
        <v>115</v>
      </c>
      <c r="N570" s="2">
        <f t="shared" si="41"/>
        <v>68.3</v>
      </c>
      <c r="O570" s="2">
        <f>IF(M570="","",IF(M570&gt;=1000,95,IF(M570&lt;=12.5,50,LOOKUP(M570,{12.5,15,20,30,45,60,75,105,115,150,200,225,250,600,1000},{50,55,60,62,65,68,70,72,75,80,82,85,87,90,95})+(M570-LOOKUP(M570,{12.5,15,20,30,45,60,75,105,115,150,200,225,250,600},{12.5,15,20,30,45,60,75,105,115,150,200,225,250,600}))/(LOOKUP(M570,{12.5,15,20,30,45,60,75,105,115,150,200,225,250,600,1000},{15,20,30,45,60,75,105,115,150,200,225,250,600,1000,1000})-LOOKUP(M570,{12.5,15,20,30,45,60,75,105,115,150,200,225,250,600},{12.5,15,20,30,45,60,75,105,115,150,200,225,250,600}))*(LOOKUP(M570,{12.5,15,20,30,45,60,75,105,115,150,200,225,250,600,1000},{55,60,62,65,68,70,72,75,80,82,85,87,90,95,95})-LOOKUP(M570,{12.5,15,20,30,45,60,75,105,115,150,200,225,250,600,1000},{50,55,60,62,65,68,70,72,75,80,82,85,87,90,95})))))</f>
        <v>75</v>
      </c>
      <c r="P570" s="2">
        <f t="shared" si="43"/>
        <v>-4</v>
      </c>
      <c r="Q570" s="2">
        <f t="shared" si="44"/>
        <v>-2</v>
      </c>
    </row>
    <row r="571" customHeight="1" spans="1:17">
      <c r="A571" s="2">
        <v>2026</v>
      </c>
      <c r="B571" s="2">
        <v>570</v>
      </c>
      <c r="C571" s="17">
        <f t="shared" si="42"/>
        <v>66.3</v>
      </c>
      <c r="D571" s="2" t="s">
        <v>924</v>
      </c>
      <c r="E571" s="12">
        <v>66</v>
      </c>
      <c r="F571" s="12">
        <v>62</v>
      </c>
      <c r="G571" s="2">
        <v>47</v>
      </c>
      <c r="H571" s="2" t="s">
        <v>54</v>
      </c>
      <c r="I571" s="2" t="s">
        <v>28</v>
      </c>
      <c r="J571" s="4" t="s">
        <v>140</v>
      </c>
      <c r="M571" s="2">
        <f t="shared" si="40"/>
        <v>20</v>
      </c>
      <c r="N571" s="2">
        <f t="shared" si="41"/>
        <v>63.3</v>
      </c>
      <c r="O571" s="2">
        <f>IF(M571="","",IF(M571&gt;=1000,95,IF(M571&lt;=12.5,50,LOOKUP(M571,{12.5,15,20,30,45,60,75,105,115,150,200,225,250,600,1000},{50,55,60,62,65,68,70,72,75,80,82,85,87,90,95})+(M571-LOOKUP(M571,{12.5,15,20,30,45,60,75,105,115,150,200,225,250,600},{12.5,15,20,30,45,60,75,105,115,150,200,225,250,600}))/(LOOKUP(M571,{12.5,15,20,30,45,60,75,105,115,150,200,225,250,600,1000},{15,20,30,45,60,75,105,115,150,200,225,250,600,1000,1000})-LOOKUP(M571,{12.5,15,20,30,45,60,75,105,115,150,200,225,250,600},{12.5,15,20,30,45,60,75,105,115,150,200,225,250,600}))*(LOOKUP(M571,{12.5,15,20,30,45,60,75,105,115,150,200,225,250,600,1000},{55,60,62,65,68,70,72,75,80,82,85,87,90,95,95})-LOOKUP(M571,{12.5,15,20,30,45,60,75,105,115,150,200,225,250,600,1000},{50,55,60,62,65,68,70,72,75,80,82,85,87,90,95})))))</f>
        <v>60</v>
      </c>
      <c r="P571" s="2">
        <f t="shared" si="43"/>
        <v>6</v>
      </c>
      <c r="Q571" s="2">
        <f t="shared" si="44"/>
        <v>3</v>
      </c>
    </row>
    <row r="572" customHeight="1" spans="1:17">
      <c r="A572" s="2">
        <v>2026</v>
      </c>
      <c r="B572" s="2">
        <v>571</v>
      </c>
      <c r="C572" s="17">
        <f t="shared" si="42"/>
        <v>66.3</v>
      </c>
      <c r="D572" s="2" t="s">
        <v>925</v>
      </c>
      <c r="E572" s="12">
        <v>67</v>
      </c>
      <c r="F572" s="2">
        <v>53</v>
      </c>
      <c r="G572" s="2">
        <v>53</v>
      </c>
      <c r="H572" s="2" t="s">
        <v>41</v>
      </c>
      <c r="I572" s="2" t="s">
        <v>63</v>
      </c>
      <c r="J572" s="4" t="s">
        <v>140</v>
      </c>
      <c r="M572" s="2">
        <f t="shared" si="40"/>
        <v>20</v>
      </c>
      <c r="N572" s="2">
        <f t="shared" si="41"/>
        <v>62.8</v>
      </c>
      <c r="O572" s="2">
        <f>IF(M572="","",IF(M572&gt;=1000,95,IF(M572&lt;=12.5,50,LOOKUP(M572,{12.5,15,20,30,45,60,75,105,115,150,200,225,250,600,1000},{50,55,60,62,65,68,70,72,75,80,82,85,87,90,95})+(M572-LOOKUP(M572,{12.5,15,20,30,45,60,75,105,115,150,200,225,250,600},{12.5,15,20,30,45,60,75,105,115,150,200,225,250,600}))/(LOOKUP(M572,{12.5,15,20,30,45,60,75,105,115,150,200,225,250,600,1000},{15,20,30,45,60,75,105,115,150,200,225,250,600,1000,1000})-LOOKUP(M572,{12.5,15,20,30,45,60,75,105,115,150,200,225,250,600},{12.5,15,20,30,45,60,75,105,115,150,200,225,250,600}))*(LOOKUP(M572,{12.5,15,20,30,45,60,75,105,115,150,200,225,250,600,1000},{55,60,62,65,68,70,72,75,80,82,85,87,90,95,95})-LOOKUP(M572,{12.5,15,20,30,45,60,75,105,115,150,200,225,250,600,1000},{50,55,60,62,65,68,70,72,75,80,82,85,87,90,95})))))</f>
        <v>60</v>
      </c>
      <c r="P572" s="2">
        <f t="shared" si="43"/>
        <v>7</v>
      </c>
      <c r="Q572" s="2">
        <f t="shared" si="44"/>
        <v>3.5</v>
      </c>
    </row>
    <row r="573" customHeight="1" spans="1:17">
      <c r="A573" s="2">
        <v>2026</v>
      </c>
      <c r="B573" s="2">
        <v>572</v>
      </c>
      <c r="C573" s="17">
        <f t="shared" si="42"/>
        <v>66.3</v>
      </c>
      <c r="D573" s="2" t="s">
        <v>926</v>
      </c>
      <c r="E573" s="12">
        <v>69</v>
      </c>
      <c r="F573" s="2">
        <v>50</v>
      </c>
      <c r="G573" s="2">
        <v>35</v>
      </c>
      <c r="H573" s="2" t="s">
        <v>54</v>
      </c>
      <c r="I573" s="2" t="s">
        <v>28</v>
      </c>
      <c r="J573" s="4" t="s">
        <v>140</v>
      </c>
      <c r="M573" s="2">
        <f t="shared" si="40"/>
        <v>20</v>
      </c>
      <c r="N573" s="2">
        <f t="shared" si="41"/>
        <v>61.8</v>
      </c>
      <c r="O573" s="2">
        <f>IF(M573="","",IF(M573&gt;=1000,95,IF(M573&lt;=12.5,50,LOOKUP(M573,{12.5,15,20,30,45,60,75,105,115,150,200,225,250,600,1000},{50,55,60,62,65,68,70,72,75,80,82,85,87,90,95})+(M573-LOOKUP(M573,{12.5,15,20,30,45,60,75,105,115,150,200,225,250,600},{12.5,15,20,30,45,60,75,105,115,150,200,225,250,600}))/(LOOKUP(M573,{12.5,15,20,30,45,60,75,105,115,150,200,225,250,600,1000},{15,20,30,45,60,75,105,115,150,200,225,250,600,1000,1000})-LOOKUP(M573,{12.5,15,20,30,45,60,75,105,115,150,200,225,250,600},{12.5,15,20,30,45,60,75,105,115,150,200,225,250,600}))*(LOOKUP(M573,{12.5,15,20,30,45,60,75,105,115,150,200,225,250,600,1000},{55,60,62,65,68,70,72,75,80,82,85,87,90,95,95})-LOOKUP(M573,{12.5,15,20,30,45,60,75,105,115,150,200,225,250,600,1000},{50,55,60,62,65,68,70,72,75,80,82,85,87,90,95})))))</f>
        <v>60</v>
      </c>
      <c r="P573" s="2">
        <f t="shared" si="43"/>
        <v>9</v>
      </c>
      <c r="Q573" s="2">
        <f t="shared" si="44"/>
        <v>4.5</v>
      </c>
    </row>
    <row r="574" customHeight="1" spans="1:17">
      <c r="A574" s="2">
        <v>2026</v>
      </c>
      <c r="B574" s="2">
        <v>573</v>
      </c>
      <c r="C574" s="17">
        <f t="shared" si="42"/>
        <v>66.27</v>
      </c>
      <c r="D574" s="2" t="s">
        <v>927</v>
      </c>
      <c r="E574" s="12">
        <v>62</v>
      </c>
      <c r="F574" s="12">
        <v>63</v>
      </c>
      <c r="G574" s="2">
        <v>46</v>
      </c>
      <c r="H574" s="2" t="s">
        <v>54</v>
      </c>
      <c r="I574" s="2" t="s">
        <v>28</v>
      </c>
      <c r="J574" s="4" t="s">
        <v>77</v>
      </c>
      <c r="M574" s="2">
        <f t="shared" si="40"/>
        <v>12.5</v>
      </c>
      <c r="N574" s="2">
        <f t="shared" si="41"/>
        <v>60.6</v>
      </c>
      <c r="O574" s="2">
        <f>IF(M574="","",IF(M574&gt;=1000,95,IF(M574&lt;=12.5,50,LOOKUP(M574,{12.5,15,20,30,45,60,75,105,115,150,200,225,250,600,1000},{50,55,60,62,65,68,70,72,75,80,82,85,87,90,95})+(M574-LOOKUP(M574,{12.5,15,20,30,45,60,75,105,115,150,200,225,250,600},{12.5,15,20,30,45,60,75,105,115,150,200,225,250,600}))/(LOOKUP(M574,{12.5,15,20,30,45,60,75,105,115,150,200,225,250,600,1000},{15,20,30,45,60,75,105,115,150,200,225,250,600,1000,1000})-LOOKUP(M574,{12.5,15,20,30,45,60,75,105,115,150,200,225,250,600},{12.5,15,20,30,45,60,75,105,115,150,200,225,250,600}))*(LOOKUP(M574,{12.5,15,20,30,45,60,75,105,115,150,200,225,250,600,1000},{55,60,62,65,68,70,72,75,80,82,85,87,90,95,95})-LOOKUP(M574,{12.5,15,20,30,45,60,75,105,115,150,200,225,250,600,1000},{50,55,60,62,65,68,70,72,75,80,82,85,87,90,95})))))</f>
        <v>50</v>
      </c>
      <c r="P574" s="2">
        <f t="shared" si="43"/>
        <v>12</v>
      </c>
      <c r="Q574" s="2">
        <f t="shared" si="44"/>
        <v>5.67</v>
      </c>
    </row>
    <row r="575" customHeight="1" spans="1:17">
      <c r="B575" s="2">
        <v>574</v>
      </c>
      <c r="C575" s="17">
        <f t="shared" si="42"/>
        <v>66.23</v>
      </c>
      <c r="D575" s="2" t="s">
        <v>928</v>
      </c>
      <c r="E575" s="9">
        <v>72</v>
      </c>
      <c r="F575" s="10">
        <v>81</v>
      </c>
      <c r="G575" s="9">
        <v>73</v>
      </c>
      <c r="H575" s="2" t="s">
        <v>929</v>
      </c>
      <c r="I575" s="2" t="s">
        <v>930</v>
      </c>
      <c r="J575" s="4" t="s">
        <v>73</v>
      </c>
      <c r="M575" s="2">
        <f t="shared" si="40"/>
        <v>600</v>
      </c>
      <c r="N575" s="2">
        <f t="shared" si="41"/>
        <v>73.9</v>
      </c>
      <c r="O575" s="2">
        <f>IF(M575="","",IF(M575&gt;=1000,95,IF(M575&lt;=12.5,50,LOOKUP(M575,{12.5,15,20,30,45,60,75,105,115,150,200,225,250,600,1000},{50,55,60,62,65,68,70,72,75,80,82,85,87,90,95})+(M575-LOOKUP(M575,{12.5,15,20,30,45,60,75,105,115,150,200,225,250,600},{12.5,15,20,30,45,60,75,105,115,150,200,225,250,600}))/(LOOKUP(M575,{12.5,15,20,30,45,60,75,105,115,150,200,225,250,600,1000},{15,20,30,45,60,75,105,115,150,200,225,250,600,1000,1000})-LOOKUP(M575,{12.5,15,20,30,45,60,75,105,115,150,200,225,250,600},{12.5,15,20,30,45,60,75,105,115,150,200,225,250,600}))*(LOOKUP(M575,{12.5,15,20,30,45,60,75,105,115,150,200,225,250,600,1000},{55,60,62,65,68,70,72,75,80,82,85,87,90,95,95})-LOOKUP(M575,{12.5,15,20,30,45,60,75,105,115,150,200,225,250,600,1000},{50,55,60,62,65,68,70,72,75,80,82,85,87,90,95})))))</f>
        <v>90</v>
      </c>
      <c r="P575" s="2">
        <f t="shared" si="43"/>
        <v>-18</v>
      </c>
      <c r="Q575" s="2">
        <f t="shared" si="44"/>
        <v>-7.67</v>
      </c>
    </row>
    <row r="576" customHeight="1" spans="1:17">
      <c r="A576" s="2">
        <v>2026</v>
      </c>
      <c r="B576" s="2">
        <v>575</v>
      </c>
      <c r="C576" s="17">
        <f t="shared" si="42"/>
        <v>66.2</v>
      </c>
      <c r="D576" s="2" t="s">
        <v>931</v>
      </c>
      <c r="E576" s="12">
        <v>68</v>
      </c>
      <c r="F576" s="9">
        <v>72</v>
      </c>
      <c r="G576" s="12">
        <v>62</v>
      </c>
      <c r="H576" s="2" t="s">
        <v>54</v>
      </c>
      <c r="I576" s="2" t="s">
        <v>932</v>
      </c>
      <c r="J576" s="4" t="s">
        <v>105</v>
      </c>
      <c r="M576" s="2">
        <f t="shared" si="40"/>
        <v>105</v>
      </c>
      <c r="N576" s="2">
        <f t="shared" si="41"/>
        <v>68.2</v>
      </c>
      <c r="O576" s="2">
        <f>IF(M576="","",IF(M576&gt;=1000,95,IF(M576&lt;=12.5,50,LOOKUP(M576,{12.5,15,20,30,45,60,75,105,115,150,200,225,250,600,1000},{50,55,60,62,65,68,70,72,75,80,82,85,87,90,95})+(M576-LOOKUP(M576,{12.5,15,20,30,45,60,75,105,115,150,200,225,250,600},{12.5,15,20,30,45,60,75,105,115,150,200,225,250,600}))/(LOOKUP(M576,{12.5,15,20,30,45,60,75,105,115,150,200,225,250,600,1000},{15,20,30,45,60,75,105,115,150,200,225,250,600,1000,1000})-LOOKUP(M576,{12.5,15,20,30,45,60,75,105,115,150,200,225,250,600},{12.5,15,20,30,45,60,75,105,115,150,200,225,250,600}))*(LOOKUP(M576,{12.5,15,20,30,45,60,75,105,115,150,200,225,250,600,1000},{55,60,62,65,68,70,72,75,80,82,85,87,90,95,95})-LOOKUP(M576,{12.5,15,20,30,45,60,75,105,115,150,200,225,250,600,1000},{50,55,60,62,65,68,70,72,75,80,82,85,87,90,95})))))</f>
        <v>72</v>
      </c>
      <c r="P576" s="2">
        <f t="shared" si="43"/>
        <v>-4</v>
      </c>
      <c r="Q576" s="2">
        <f t="shared" si="44"/>
        <v>-2</v>
      </c>
    </row>
    <row r="577" customHeight="1" spans="1:17">
      <c r="B577" s="2">
        <v>576</v>
      </c>
      <c r="C577" s="17">
        <f t="shared" si="42"/>
        <v>66.2</v>
      </c>
      <c r="D577" s="2" t="s">
        <v>933</v>
      </c>
      <c r="E577" s="12">
        <v>68</v>
      </c>
      <c r="F577" s="9">
        <v>72</v>
      </c>
      <c r="G577" s="9">
        <v>77</v>
      </c>
      <c r="H577" s="2" t="s">
        <v>41</v>
      </c>
      <c r="I577" s="2" t="s">
        <v>435</v>
      </c>
      <c r="J577" s="4" t="s">
        <v>148</v>
      </c>
      <c r="M577" s="2">
        <f t="shared" si="40"/>
        <v>115</v>
      </c>
      <c r="N577" s="2">
        <f t="shared" si="41"/>
        <v>69.7</v>
      </c>
      <c r="O577" s="2">
        <f>IF(M577="","",IF(M577&gt;=1000,95,IF(M577&lt;=12.5,50,LOOKUP(M577,{12.5,15,20,30,45,60,75,105,115,150,200,225,250,600,1000},{50,55,60,62,65,68,70,72,75,80,82,85,87,90,95})+(M577-LOOKUP(M577,{12.5,15,20,30,45,60,75,105,115,150,200,225,250,600},{12.5,15,20,30,45,60,75,105,115,150,200,225,250,600}))/(LOOKUP(M577,{12.5,15,20,30,45,60,75,105,115,150,200,225,250,600,1000},{15,20,30,45,60,75,105,115,150,200,225,250,600,1000,1000})-LOOKUP(M577,{12.5,15,20,30,45,60,75,105,115,150,200,225,250,600},{12.5,15,20,30,45,60,75,105,115,150,200,225,250,600}))*(LOOKUP(M577,{12.5,15,20,30,45,60,75,105,115,150,200,225,250,600,1000},{55,60,62,65,68,70,72,75,80,82,85,87,90,95,95})-LOOKUP(M577,{12.5,15,20,30,45,60,75,105,115,150,200,225,250,600,1000},{50,55,60,62,65,68,70,72,75,80,82,85,87,90,95})))))</f>
        <v>75</v>
      </c>
      <c r="P577" s="2">
        <f t="shared" si="43"/>
        <v>-7</v>
      </c>
      <c r="Q577" s="2">
        <f t="shared" si="44"/>
        <v>-3.5</v>
      </c>
    </row>
    <row r="578" customHeight="1" spans="1:17">
      <c r="B578" s="2">
        <v>577</v>
      </c>
      <c r="C578" s="17">
        <f t="shared" si="42"/>
        <v>66.2</v>
      </c>
      <c r="D578" s="2" t="s">
        <v>934</v>
      </c>
      <c r="E578" s="12">
        <v>68</v>
      </c>
      <c r="F578" s="9">
        <v>75</v>
      </c>
      <c r="G578" s="2">
        <v>46</v>
      </c>
      <c r="H578" s="2" t="s">
        <v>166</v>
      </c>
      <c r="I578" s="2" t="s">
        <v>23</v>
      </c>
      <c r="J578" s="4" t="s">
        <v>24</v>
      </c>
      <c r="M578" s="2">
        <f t="shared" ref="M578:M641" si="45">IF(J578="1000+",1000,(LEFT(J578,FIND("-",J578)-1)+RIGHT(J578,LEN(J578)-FIND("-",J578)))/2)</f>
        <v>75</v>
      </c>
      <c r="N578" s="2">
        <f t="shared" ref="N578:N641" si="46">ROUND(E578*0.7+F578*0.2+G578*0.1,2)</f>
        <v>67.2</v>
      </c>
      <c r="O578" s="2">
        <f>IF(M578="","",IF(M578&gt;=1000,95,IF(M578&lt;=12.5,50,LOOKUP(M578,{12.5,15,20,30,45,60,75,105,115,150,200,225,250,600,1000},{50,55,60,62,65,68,70,72,75,80,82,85,87,90,95})+(M578-LOOKUP(M578,{12.5,15,20,30,45,60,75,105,115,150,200,225,250,600},{12.5,15,20,30,45,60,75,105,115,150,200,225,250,600}))/(LOOKUP(M578,{12.5,15,20,30,45,60,75,105,115,150,200,225,250,600,1000},{15,20,30,45,60,75,105,115,150,200,225,250,600,1000,1000})-LOOKUP(M578,{12.5,15,20,30,45,60,75,105,115,150,200,225,250,600},{12.5,15,20,30,45,60,75,105,115,150,200,225,250,600}))*(LOOKUP(M578,{12.5,15,20,30,45,60,75,105,115,150,200,225,250,600,1000},{55,60,62,65,68,70,72,75,80,82,85,87,90,95,95})-LOOKUP(M578,{12.5,15,20,30,45,60,75,105,115,150,200,225,250,600,1000},{50,55,60,62,65,68,70,72,75,80,82,85,87,90,95})))))</f>
        <v>70</v>
      </c>
      <c r="P578" s="2">
        <f t="shared" si="43"/>
        <v>-2</v>
      </c>
      <c r="Q578" s="2">
        <f t="shared" si="44"/>
        <v>-1</v>
      </c>
    </row>
    <row r="579" customHeight="1" spans="1:17">
      <c r="B579" s="2">
        <v>578</v>
      </c>
      <c r="C579" s="17">
        <f t="shared" si="42"/>
        <v>66.2</v>
      </c>
      <c r="D579" s="2" t="s">
        <v>935</v>
      </c>
      <c r="E579" s="12">
        <v>69</v>
      </c>
      <c r="F579" s="2">
        <v>55</v>
      </c>
      <c r="G579" s="2">
        <v>49</v>
      </c>
      <c r="H579" s="2" t="s">
        <v>367</v>
      </c>
      <c r="I579" s="2" t="s">
        <v>33</v>
      </c>
      <c r="J579" s="4" t="s">
        <v>38</v>
      </c>
      <c r="M579" s="2">
        <f t="shared" si="45"/>
        <v>45</v>
      </c>
      <c r="N579" s="2">
        <f t="shared" si="46"/>
        <v>64.2</v>
      </c>
      <c r="O579" s="2">
        <f>IF(M579="","",IF(M579&gt;=1000,95,IF(M579&lt;=12.5,50,LOOKUP(M579,{12.5,15,20,30,45,60,75,105,115,150,200,225,250,600,1000},{50,55,60,62,65,68,70,72,75,80,82,85,87,90,95})+(M579-LOOKUP(M579,{12.5,15,20,30,45,60,75,105,115,150,200,225,250,600},{12.5,15,20,30,45,60,75,105,115,150,200,225,250,600}))/(LOOKUP(M579,{12.5,15,20,30,45,60,75,105,115,150,200,225,250,600,1000},{15,20,30,45,60,75,105,115,150,200,225,250,600,1000,1000})-LOOKUP(M579,{12.5,15,20,30,45,60,75,105,115,150,200,225,250,600},{12.5,15,20,30,45,60,75,105,115,150,200,225,250,600}))*(LOOKUP(M579,{12.5,15,20,30,45,60,75,105,115,150,200,225,250,600,1000},{55,60,62,65,68,70,72,75,80,82,85,87,90,95,95})-LOOKUP(M579,{12.5,15,20,30,45,60,75,105,115,150,200,225,250,600,1000},{50,55,60,62,65,68,70,72,75,80,82,85,87,90,95})))))</f>
        <v>65</v>
      </c>
      <c r="P579" s="2">
        <f t="shared" si="43"/>
        <v>4</v>
      </c>
      <c r="Q579" s="2">
        <f t="shared" si="44"/>
        <v>2</v>
      </c>
    </row>
    <row r="580" customHeight="1" spans="1:17">
      <c r="B580" s="2">
        <v>579</v>
      </c>
      <c r="C580" s="17">
        <f t="shared" si="42"/>
        <v>66.1</v>
      </c>
      <c r="D580" s="2" t="s">
        <v>936</v>
      </c>
      <c r="E580" s="12">
        <v>68</v>
      </c>
      <c r="F580" s="12">
        <v>68</v>
      </c>
      <c r="G580" s="2">
        <v>59</v>
      </c>
      <c r="H580" s="2" t="s">
        <v>41</v>
      </c>
      <c r="I580" s="2" t="s">
        <v>937</v>
      </c>
      <c r="J580" s="4" t="s">
        <v>24</v>
      </c>
      <c r="M580" s="2">
        <f t="shared" si="45"/>
        <v>75</v>
      </c>
      <c r="N580" s="2">
        <f t="shared" si="46"/>
        <v>67.1</v>
      </c>
      <c r="O580" s="2">
        <f>IF(M580="","",IF(M580&gt;=1000,95,IF(M580&lt;=12.5,50,LOOKUP(M580,{12.5,15,20,30,45,60,75,105,115,150,200,225,250,600,1000},{50,55,60,62,65,68,70,72,75,80,82,85,87,90,95})+(M580-LOOKUP(M580,{12.5,15,20,30,45,60,75,105,115,150,200,225,250,600},{12.5,15,20,30,45,60,75,105,115,150,200,225,250,600}))/(LOOKUP(M580,{12.5,15,20,30,45,60,75,105,115,150,200,225,250,600,1000},{15,20,30,45,60,75,105,115,150,200,225,250,600,1000,1000})-LOOKUP(M580,{12.5,15,20,30,45,60,75,105,115,150,200,225,250,600},{12.5,15,20,30,45,60,75,105,115,150,200,225,250,600}))*(LOOKUP(M580,{12.5,15,20,30,45,60,75,105,115,150,200,225,250,600,1000},{55,60,62,65,68,70,72,75,80,82,85,87,90,95,95})-LOOKUP(M580,{12.5,15,20,30,45,60,75,105,115,150,200,225,250,600,1000},{50,55,60,62,65,68,70,72,75,80,82,85,87,90,95})))))</f>
        <v>70</v>
      </c>
      <c r="P580" s="2">
        <f t="shared" si="43"/>
        <v>-2</v>
      </c>
      <c r="Q580" s="2">
        <f t="shared" si="44"/>
        <v>-1</v>
      </c>
    </row>
    <row r="581" customHeight="1" spans="1:17">
      <c r="B581" s="2">
        <v>580</v>
      </c>
      <c r="C581" s="17">
        <f t="shared" si="42"/>
        <v>66.1</v>
      </c>
      <c r="D581" s="2" t="s">
        <v>938</v>
      </c>
      <c r="E581" s="12">
        <v>68</v>
      </c>
      <c r="F581" s="2">
        <v>55</v>
      </c>
      <c r="G581" s="12">
        <v>60</v>
      </c>
      <c r="H581" s="2" t="s">
        <v>37</v>
      </c>
      <c r="I581" s="2" t="s">
        <v>63</v>
      </c>
      <c r="J581" s="4" t="s">
        <v>38</v>
      </c>
      <c r="M581" s="2">
        <f t="shared" si="45"/>
        <v>45</v>
      </c>
      <c r="N581" s="2">
        <f t="shared" si="46"/>
        <v>64.6</v>
      </c>
      <c r="O581" s="2">
        <f>IF(M581="","",IF(M581&gt;=1000,95,IF(M581&lt;=12.5,50,LOOKUP(M581,{12.5,15,20,30,45,60,75,105,115,150,200,225,250,600,1000},{50,55,60,62,65,68,70,72,75,80,82,85,87,90,95})+(M581-LOOKUP(M581,{12.5,15,20,30,45,60,75,105,115,150,200,225,250,600},{12.5,15,20,30,45,60,75,105,115,150,200,225,250,600}))/(LOOKUP(M581,{12.5,15,20,30,45,60,75,105,115,150,200,225,250,600,1000},{15,20,30,45,60,75,105,115,150,200,225,250,600,1000,1000})-LOOKUP(M581,{12.5,15,20,30,45,60,75,105,115,150,200,225,250,600},{12.5,15,20,30,45,60,75,105,115,150,200,225,250,600}))*(LOOKUP(M581,{12.5,15,20,30,45,60,75,105,115,150,200,225,250,600,1000},{55,60,62,65,68,70,72,75,80,82,85,87,90,95,95})-LOOKUP(M581,{12.5,15,20,30,45,60,75,105,115,150,200,225,250,600,1000},{50,55,60,62,65,68,70,72,75,80,82,85,87,90,95})))))</f>
        <v>65</v>
      </c>
      <c r="P581" s="2">
        <f t="shared" si="43"/>
        <v>3</v>
      </c>
      <c r="Q581" s="2">
        <f t="shared" si="44"/>
        <v>1.5</v>
      </c>
    </row>
    <row r="582" customHeight="1" spans="1:17">
      <c r="B582" s="2">
        <v>581</v>
      </c>
      <c r="C582" s="17">
        <f t="shared" ref="C582:C645" si="47">ROUND(MAX(MIN(N582+Q582,100),0),2)</f>
        <v>66.1</v>
      </c>
      <c r="D582" s="2" t="s">
        <v>939</v>
      </c>
      <c r="E582" s="12">
        <v>65</v>
      </c>
      <c r="F582" s="2">
        <v>52</v>
      </c>
      <c r="G582" s="2">
        <v>52</v>
      </c>
      <c r="H582" s="2" t="s">
        <v>91</v>
      </c>
      <c r="I582" s="2" t="s">
        <v>503</v>
      </c>
      <c r="J582" s="4" t="s">
        <v>29</v>
      </c>
      <c r="M582" s="2">
        <f t="shared" si="45"/>
        <v>15</v>
      </c>
      <c r="N582" s="2">
        <f t="shared" si="46"/>
        <v>61.1</v>
      </c>
      <c r="O582" s="2">
        <f>IF(M582="","",IF(M582&gt;=1000,95,IF(M582&lt;=12.5,50,LOOKUP(M582,{12.5,15,20,30,45,60,75,105,115,150,200,225,250,600,1000},{50,55,60,62,65,68,70,72,75,80,82,85,87,90,95})+(M582-LOOKUP(M582,{12.5,15,20,30,45,60,75,105,115,150,200,225,250,600},{12.5,15,20,30,45,60,75,105,115,150,200,225,250,600}))/(LOOKUP(M582,{12.5,15,20,30,45,60,75,105,115,150,200,225,250,600,1000},{15,20,30,45,60,75,105,115,150,200,225,250,600,1000,1000})-LOOKUP(M582,{12.5,15,20,30,45,60,75,105,115,150,200,225,250,600},{12.5,15,20,30,45,60,75,105,115,150,200,225,250,600}))*(LOOKUP(M582,{12.5,15,20,30,45,60,75,105,115,150,200,225,250,600,1000},{55,60,62,65,68,70,72,75,80,82,85,87,90,95,95})-LOOKUP(M582,{12.5,15,20,30,45,60,75,105,115,150,200,225,250,600,1000},{50,55,60,62,65,68,70,72,75,80,82,85,87,90,95})))))</f>
        <v>55</v>
      </c>
      <c r="P582" s="2">
        <f t="shared" ref="P582:P645" si="48">E582-O582</f>
        <v>10</v>
      </c>
      <c r="Q582" s="2">
        <f t="shared" ref="Q582:Q645" si="49">ROUND(SIGN(P582)*IF(ABS(P582)&lt;=10,ABS(P582)*0.5,IF(ABS(P582)&lt;=15,5+(ABS(P582)-10)*(1.67/5),6.67+(ABS(P582)-15)*0.333)),2)</f>
        <v>5</v>
      </c>
    </row>
    <row r="583" customHeight="1" spans="1:17">
      <c r="A583" s="2">
        <v>2026</v>
      </c>
      <c r="B583" s="2">
        <v>582</v>
      </c>
      <c r="C583" s="17">
        <f t="shared" si="47"/>
        <v>66.1</v>
      </c>
      <c r="D583" s="2" t="s">
        <v>940</v>
      </c>
      <c r="E583" s="12">
        <v>68</v>
      </c>
      <c r="F583" s="2">
        <v>50</v>
      </c>
      <c r="G583" s="2">
        <v>45</v>
      </c>
      <c r="H583" s="2" t="s">
        <v>91</v>
      </c>
      <c r="I583" s="2" t="s">
        <v>63</v>
      </c>
      <c r="J583" s="4" t="s">
        <v>140</v>
      </c>
      <c r="M583" s="2">
        <f t="shared" si="45"/>
        <v>20</v>
      </c>
      <c r="N583" s="2">
        <f t="shared" si="46"/>
        <v>62.1</v>
      </c>
      <c r="O583" s="2">
        <f>IF(M583="","",IF(M583&gt;=1000,95,IF(M583&lt;=12.5,50,LOOKUP(M583,{12.5,15,20,30,45,60,75,105,115,150,200,225,250,600,1000},{50,55,60,62,65,68,70,72,75,80,82,85,87,90,95})+(M583-LOOKUP(M583,{12.5,15,20,30,45,60,75,105,115,150,200,225,250,600},{12.5,15,20,30,45,60,75,105,115,150,200,225,250,600}))/(LOOKUP(M583,{12.5,15,20,30,45,60,75,105,115,150,200,225,250,600,1000},{15,20,30,45,60,75,105,115,150,200,225,250,600,1000,1000})-LOOKUP(M583,{12.5,15,20,30,45,60,75,105,115,150,200,225,250,600},{12.5,15,20,30,45,60,75,105,115,150,200,225,250,600}))*(LOOKUP(M583,{12.5,15,20,30,45,60,75,105,115,150,200,225,250,600,1000},{55,60,62,65,68,70,72,75,80,82,85,87,90,95,95})-LOOKUP(M583,{12.5,15,20,30,45,60,75,105,115,150,200,225,250,600,1000},{50,55,60,62,65,68,70,72,75,80,82,85,87,90,95})))))</f>
        <v>60</v>
      </c>
      <c r="P583" s="2">
        <f t="shared" si="48"/>
        <v>8</v>
      </c>
      <c r="Q583" s="2">
        <f t="shared" si="49"/>
        <v>4</v>
      </c>
    </row>
    <row r="584" customHeight="1" spans="1:17">
      <c r="A584" s="2">
        <v>2026</v>
      </c>
      <c r="B584" s="2">
        <v>583</v>
      </c>
      <c r="C584" s="17">
        <f t="shared" si="47"/>
        <v>66</v>
      </c>
      <c r="D584" s="2" t="s">
        <v>941</v>
      </c>
      <c r="E584" s="2">
        <v>66</v>
      </c>
      <c r="F584" s="2">
        <v>63</v>
      </c>
      <c r="G584" s="2">
        <v>52</v>
      </c>
      <c r="H584" s="2" t="s">
        <v>54</v>
      </c>
      <c r="I584" s="2" t="s">
        <v>28</v>
      </c>
      <c r="J584" s="4" t="s">
        <v>88</v>
      </c>
      <c r="M584" s="2">
        <f t="shared" si="45"/>
        <v>30</v>
      </c>
      <c r="N584" s="2">
        <f t="shared" si="46"/>
        <v>64</v>
      </c>
      <c r="O584" s="2">
        <f>IF(M584="","",IF(M584&gt;=1000,95,IF(M584&lt;=12.5,50,LOOKUP(M584,{12.5,15,20,30,45,60,75,105,115,150,200,225,250,600,1000},{50,55,60,62,65,68,70,72,75,80,82,85,87,90,95})+(M584-LOOKUP(M584,{12.5,15,20,30,45,60,75,105,115,150,200,225,250,600},{12.5,15,20,30,45,60,75,105,115,150,200,225,250,600}))/(LOOKUP(M584,{12.5,15,20,30,45,60,75,105,115,150,200,225,250,600,1000},{15,20,30,45,60,75,105,115,150,200,225,250,600,1000,1000})-LOOKUP(M584,{12.5,15,20,30,45,60,75,105,115,150,200,225,250,600},{12.5,15,20,30,45,60,75,105,115,150,200,225,250,600}))*(LOOKUP(M584,{12.5,15,20,30,45,60,75,105,115,150,200,225,250,600,1000},{55,60,62,65,68,70,72,75,80,82,85,87,90,95,95})-LOOKUP(M584,{12.5,15,20,30,45,60,75,105,115,150,200,225,250,600,1000},{50,55,60,62,65,68,70,72,75,80,82,85,87,90,95})))))</f>
        <v>62</v>
      </c>
      <c r="P584" s="2">
        <f t="shared" si="48"/>
        <v>4</v>
      </c>
      <c r="Q584" s="2">
        <f t="shared" si="49"/>
        <v>2</v>
      </c>
    </row>
    <row r="585" customHeight="1" spans="1:17">
      <c r="A585" s="2">
        <v>2026</v>
      </c>
      <c r="B585" s="2">
        <v>584</v>
      </c>
      <c r="C585" s="17">
        <f t="shared" si="47"/>
        <v>66</v>
      </c>
      <c r="D585" s="2" t="s">
        <v>942</v>
      </c>
      <c r="E585" s="12">
        <v>68</v>
      </c>
      <c r="F585" s="12">
        <v>63</v>
      </c>
      <c r="G585" s="12">
        <v>68</v>
      </c>
      <c r="H585" s="2" t="s">
        <v>54</v>
      </c>
      <c r="I585" s="2" t="s">
        <v>852</v>
      </c>
      <c r="J585" s="4" t="s">
        <v>24</v>
      </c>
      <c r="M585" s="2">
        <f t="shared" si="45"/>
        <v>75</v>
      </c>
      <c r="N585" s="2">
        <f t="shared" si="46"/>
        <v>67</v>
      </c>
      <c r="O585" s="2">
        <f>IF(M585="","",IF(M585&gt;=1000,95,IF(M585&lt;=12.5,50,LOOKUP(M585,{12.5,15,20,30,45,60,75,105,115,150,200,225,250,600,1000},{50,55,60,62,65,68,70,72,75,80,82,85,87,90,95})+(M585-LOOKUP(M585,{12.5,15,20,30,45,60,75,105,115,150,200,225,250,600},{12.5,15,20,30,45,60,75,105,115,150,200,225,250,600}))/(LOOKUP(M585,{12.5,15,20,30,45,60,75,105,115,150,200,225,250,600,1000},{15,20,30,45,60,75,105,115,150,200,225,250,600,1000,1000})-LOOKUP(M585,{12.5,15,20,30,45,60,75,105,115,150,200,225,250,600},{12.5,15,20,30,45,60,75,105,115,150,200,225,250,600}))*(LOOKUP(M585,{12.5,15,20,30,45,60,75,105,115,150,200,225,250,600,1000},{55,60,62,65,68,70,72,75,80,82,85,87,90,95,95})-LOOKUP(M585,{12.5,15,20,30,45,60,75,105,115,150,200,225,250,600,1000},{50,55,60,62,65,68,70,72,75,80,82,85,87,90,95})))))</f>
        <v>70</v>
      </c>
      <c r="P585" s="2">
        <f t="shared" si="48"/>
        <v>-2</v>
      </c>
      <c r="Q585" s="2">
        <f t="shared" si="49"/>
        <v>-1</v>
      </c>
    </row>
    <row r="586" customHeight="1" spans="1:17">
      <c r="A586" s="2">
        <v>2026</v>
      </c>
      <c r="B586" s="2">
        <v>585</v>
      </c>
      <c r="C586" s="17">
        <f t="shared" si="47"/>
        <v>66</v>
      </c>
      <c r="D586" s="2" t="s">
        <v>943</v>
      </c>
      <c r="E586" s="12">
        <v>66</v>
      </c>
      <c r="F586" s="12">
        <v>63</v>
      </c>
      <c r="G586" s="2">
        <v>52</v>
      </c>
      <c r="H586" s="2" t="s">
        <v>87</v>
      </c>
      <c r="I586" s="2" t="s">
        <v>63</v>
      </c>
      <c r="J586" s="4" t="s">
        <v>88</v>
      </c>
      <c r="M586" s="2">
        <f t="shared" si="45"/>
        <v>30</v>
      </c>
      <c r="N586" s="2">
        <f t="shared" si="46"/>
        <v>64</v>
      </c>
      <c r="O586" s="2">
        <f>IF(M586="","",IF(M586&gt;=1000,95,IF(M586&lt;=12.5,50,LOOKUP(M586,{12.5,15,20,30,45,60,75,105,115,150,200,225,250,600,1000},{50,55,60,62,65,68,70,72,75,80,82,85,87,90,95})+(M586-LOOKUP(M586,{12.5,15,20,30,45,60,75,105,115,150,200,225,250,600},{12.5,15,20,30,45,60,75,105,115,150,200,225,250,600}))/(LOOKUP(M586,{12.5,15,20,30,45,60,75,105,115,150,200,225,250,600,1000},{15,20,30,45,60,75,105,115,150,200,225,250,600,1000,1000})-LOOKUP(M586,{12.5,15,20,30,45,60,75,105,115,150,200,225,250,600},{12.5,15,20,30,45,60,75,105,115,150,200,225,250,600}))*(LOOKUP(M586,{12.5,15,20,30,45,60,75,105,115,150,200,225,250,600,1000},{55,60,62,65,68,70,72,75,80,82,85,87,90,95,95})-LOOKUP(M586,{12.5,15,20,30,45,60,75,105,115,150,200,225,250,600,1000},{50,55,60,62,65,68,70,72,75,80,82,85,87,90,95})))))</f>
        <v>62</v>
      </c>
      <c r="P586" s="2">
        <f t="shared" si="48"/>
        <v>4</v>
      </c>
      <c r="Q586" s="2">
        <f t="shared" si="49"/>
        <v>2</v>
      </c>
    </row>
    <row r="587" customHeight="1" spans="1:17">
      <c r="B587" s="2">
        <v>586</v>
      </c>
      <c r="C587" s="17">
        <f t="shared" si="47"/>
        <v>66</v>
      </c>
      <c r="D587" s="2" t="s">
        <v>944</v>
      </c>
      <c r="E587" s="9">
        <v>70</v>
      </c>
      <c r="F587" s="2">
        <v>59</v>
      </c>
      <c r="G587" s="12">
        <v>62</v>
      </c>
      <c r="H587" s="2" t="s">
        <v>175</v>
      </c>
      <c r="I587" s="2" t="s">
        <v>154</v>
      </c>
      <c r="J587" s="4" t="s">
        <v>105</v>
      </c>
      <c r="M587" s="2">
        <f t="shared" si="45"/>
        <v>105</v>
      </c>
      <c r="N587" s="2">
        <f t="shared" si="46"/>
        <v>67</v>
      </c>
      <c r="O587" s="2">
        <f>IF(M587="","",IF(M587&gt;=1000,95,IF(M587&lt;=12.5,50,LOOKUP(M587,{12.5,15,20,30,45,60,75,105,115,150,200,225,250,600,1000},{50,55,60,62,65,68,70,72,75,80,82,85,87,90,95})+(M587-LOOKUP(M587,{12.5,15,20,30,45,60,75,105,115,150,200,225,250,600},{12.5,15,20,30,45,60,75,105,115,150,200,225,250,600}))/(LOOKUP(M587,{12.5,15,20,30,45,60,75,105,115,150,200,225,250,600,1000},{15,20,30,45,60,75,105,115,150,200,225,250,600,1000,1000})-LOOKUP(M587,{12.5,15,20,30,45,60,75,105,115,150,200,225,250,600},{12.5,15,20,30,45,60,75,105,115,150,200,225,250,600}))*(LOOKUP(M587,{12.5,15,20,30,45,60,75,105,115,150,200,225,250,600,1000},{55,60,62,65,68,70,72,75,80,82,85,87,90,95,95})-LOOKUP(M587,{12.5,15,20,30,45,60,75,105,115,150,200,225,250,600,1000},{50,55,60,62,65,68,70,72,75,80,82,85,87,90,95})))))</f>
        <v>72</v>
      </c>
      <c r="P587" s="2">
        <f t="shared" si="48"/>
        <v>-2</v>
      </c>
      <c r="Q587" s="2">
        <f t="shared" si="49"/>
        <v>-1</v>
      </c>
    </row>
    <row r="588" customHeight="1" spans="1:17">
      <c r="B588" s="2">
        <v>587</v>
      </c>
      <c r="C588" s="17">
        <f t="shared" si="47"/>
        <v>66</v>
      </c>
      <c r="D588" s="2" t="s">
        <v>945</v>
      </c>
      <c r="E588" s="12">
        <v>68</v>
      </c>
      <c r="F588" s="2">
        <v>50</v>
      </c>
      <c r="G588" s="2">
        <v>44</v>
      </c>
      <c r="H588" s="2" t="s">
        <v>41</v>
      </c>
      <c r="I588" s="2" t="s">
        <v>63</v>
      </c>
      <c r="J588" s="4" t="s">
        <v>140</v>
      </c>
      <c r="M588" s="2">
        <f t="shared" si="45"/>
        <v>20</v>
      </c>
      <c r="N588" s="2">
        <f t="shared" si="46"/>
        <v>62</v>
      </c>
      <c r="O588" s="2">
        <f>IF(M588="","",IF(M588&gt;=1000,95,IF(M588&lt;=12.5,50,LOOKUP(M588,{12.5,15,20,30,45,60,75,105,115,150,200,225,250,600,1000},{50,55,60,62,65,68,70,72,75,80,82,85,87,90,95})+(M588-LOOKUP(M588,{12.5,15,20,30,45,60,75,105,115,150,200,225,250,600},{12.5,15,20,30,45,60,75,105,115,150,200,225,250,600}))/(LOOKUP(M588,{12.5,15,20,30,45,60,75,105,115,150,200,225,250,600,1000},{15,20,30,45,60,75,105,115,150,200,225,250,600,1000,1000})-LOOKUP(M588,{12.5,15,20,30,45,60,75,105,115,150,200,225,250,600},{12.5,15,20,30,45,60,75,105,115,150,200,225,250,600}))*(LOOKUP(M588,{12.5,15,20,30,45,60,75,105,115,150,200,225,250,600,1000},{55,60,62,65,68,70,72,75,80,82,85,87,90,95,95})-LOOKUP(M588,{12.5,15,20,30,45,60,75,105,115,150,200,225,250,600,1000},{50,55,60,62,65,68,70,72,75,80,82,85,87,90,95})))))</f>
        <v>60</v>
      </c>
      <c r="P588" s="2">
        <f t="shared" si="48"/>
        <v>8</v>
      </c>
      <c r="Q588" s="2">
        <f t="shared" si="49"/>
        <v>4</v>
      </c>
    </row>
    <row r="589" customHeight="1" spans="1:17">
      <c r="A589" s="2">
        <v>2026</v>
      </c>
      <c r="B589" s="2">
        <v>588</v>
      </c>
      <c r="C589" s="17">
        <f t="shared" si="47"/>
        <v>66</v>
      </c>
      <c r="D589" s="2" t="s">
        <v>946</v>
      </c>
      <c r="E589" s="9">
        <v>73</v>
      </c>
      <c r="F589" s="2">
        <v>47</v>
      </c>
      <c r="G589" s="2">
        <v>40</v>
      </c>
      <c r="H589" s="2" t="s">
        <v>54</v>
      </c>
      <c r="I589" s="2" t="s">
        <v>63</v>
      </c>
      <c r="J589" s="4" t="s">
        <v>24</v>
      </c>
      <c r="K589" s="2" t="s">
        <v>947</v>
      </c>
      <c r="M589" s="2">
        <f t="shared" si="45"/>
        <v>75</v>
      </c>
      <c r="N589" s="2">
        <f t="shared" si="46"/>
        <v>64.5</v>
      </c>
      <c r="O589" s="2">
        <f>IF(M589="","",IF(M589&gt;=1000,95,IF(M589&lt;=12.5,50,LOOKUP(M589,{12.5,15,20,30,45,60,75,105,115,150,200,225,250,600,1000},{50,55,60,62,65,68,70,72,75,80,82,85,87,90,95})+(M589-LOOKUP(M589,{12.5,15,20,30,45,60,75,105,115,150,200,225,250,600},{12.5,15,20,30,45,60,75,105,115,150,200,225,250,600}))/(LOOKUP(M589,{12.5,15,20,30,45,60,75,105,115,150,200,225,250,600,1000},{15,20,30,45,60,75,105,115,150,200,225,250,600,1000,1000})-LOOKUP(M589,{12.5,15,20,30,45,60,75,105,115,150,200,225,250,600},{12.5,15,20,30,45,60,75,105,115,150,200,225,250,600}))*(LOOKUP(M589,{12.5,15,20,30,45,60,75,105,115,150,200,225,250,600,1000},{55,60,62,65,68,70,72,75,80,82,85,87,90,95,95})-LOOKUP(M589,{12.5,15,20,30,45,60,75,105,115,150,200,225,250,600,1000},{50,55,60,62,65,68,70,72,75,80,82,85,87,90,95})))))</f>
        <v>70</v>
      </c>
      <c r="P589" s="2">
        <f t="shared" si="48"/>
        <v>3</v>
      </c>
      <c r="Q589" s="2">
        <f t="shared" si="49"/>
        <v>1.5</v>
      </c>
    </row>
    <row r="590" customHeight="1" spans="1:17">
      <c r="A590" s="2">
        <v>2026</v>
      </c>
      <c r="B590" s="2">
        <v>589</v>
      </c>
      <c r="C590" s="17">
        <f t="shared" si="47"/>
        <v>66</v>
      </c>
      <c r="D590" s="2" t="s">
        <v>948</v>
      </c>
      <c r="E590" s="9">
        <v>71</v>
      </c>
      <c r="F590" s="12">
        <v>61</v>
      </c>
      <c r="G590" s="12">
        <v>61</v>
      </c>
      <c r="H590" s="2" t="s">
        <v>94</v>
      </c>
      <c r="I590" s="2" t="s">
        <v>128</v>
      </c>
      <c r="J590" s="4" t="s">
        <v>148</v>
      </c>
      <c r="M590" s="2">
        <f t="shared" si="45"/>
        <v>115</v>
      </c>
      <c r="N590" s="2">
        <f t="shared" si="46"/>
        <v>68</v>
      </c>
      <c r="O590" s="2">
        <f>IF(M590="","",IF(M590&gt;=1000,95,IF(M590&lt;=12.5,50,LOOKUP(M590,{12.5,15,20,30,45,60,75,105,115,150,200,225,250,600,1000},{50,55,60,62,65,68,70,72,75,80,82,85,87,90,95})+(M590-LOOKUP(M590,{12.5,15,20,30,45,60,75,105,115,150,200,225,250,600},{12.5,15,20,30,45,60,75,105,115,150,200,225,250,600}))/(LOOKUP(M590,{12.5,15,20,30,45,60,75,105,115,150,200,225,250,600,1000},{15,20,30,45,60,75,105,115,150,200,225,250,600,1000,1000})-LOOKUP(M590,{12.5,15,20,30,45,60,75,105,115,150,200,225,250,600},{12.5,15,20,30,45,60,75,105,115,150,200,225,250,600}))*(LOOKUP(M590,{12.5,15,20,30,45,60,75,105,115,150,200,225,250,600,1000},{55,60,62,65,68,70,72,75,80,82,85,87,90,95,95})-LOOKUP(M590,{12.5,15,20,30,45,60,75,105,115,150,200,225,250,600,1000},{50,55,60,62,65,68,70,72,75,80,82,85,87,90,95})))))</f>
        <v>75</v>
      </c>
      <c r="P590" s="2">
        <f t="shared" si="48"/>
        <v>-4</v>
      </c>
      <c r="Q590" s="2">
        <f t="shared" si="49"/>
        <v>-2</v>
      </c>
    </row>
    <row r="591" customHeight="1" spans="1:17">
      <c r="B591" s="2">
        <v>590</v>
      </c>
      <c r="C591" s="17">
        <f t="shared" si="47"/>
        <v>65.96</v>
      </c>
      <c r="D591" s="2" t="s">
        <v>949</v>
      </c>
      <c r="E591" s="9">
        <v>76</v>
      </c>
      <c r="F591" s="12">
        <v>60</v>
      </c>
      <c r="G591" s="9">
        <v>71</v>
      </c>
      <c r="H591" s="2" t="s">
        <v>611</v>
      </c>
      <c r="I591" s="2" t="s">
        <v>50</v>
      </c>
      <c r="J591" s="4" t="s">
        <v>73</v>
      </c>
      <c r="M591" s="2">
        <f t="shared" si="45"/>
        <v>600</v>
      </c>
      <c r="N591" s="2">
        <f t="shared" si="46"/>
        <v>72.3</v>
      </c>
      <c r="O591" s="2">
        <f>IF(M591="","",IF(M591&gt;=1000,95,IF(M591&lt;=12.5,50,LOOKUP(M591,{12.5,15,20,30,45,60,75,105,115,150,200,225,250,600,1000},{50,55,60,62,65,68,70,72,75,80,82,85,87,90,95})+(M591-LOOKUP(M591,{12.5,15,20,30,45,60,75,105,115,150,200,225,250,600},{12.5,15,20,30,45,60,75,105,115,150,200,225,250,600}))/(LOOKUP(M591,{12.5,15,20,30,45,60,75,105,115,150,200,225,250,600,1000},{15,20,30,45,60,75,105,115,150,200,225,250,600,1000,1000})-LOOKUP(M591,{12.5,15,20,30,45,60,75,105,115,150,200,225,250,600},{12.5,15,20,30,45,60,75,105,115,150,200,225,250,600}))*(LOOKUP(M591,{12.5,15,20,30,45,60,75,105,115,150,200,225,250,600,1000},{55,60,62,65,68,70,72,75,80,82,85,87,90,95,95})-LOOKUP(M591,{12.5,15,20,30,45,60,75,105,115,150,200,225,250,600,1000},{50,55,60,62,65,68,70,72,75,80,82,85,87,90,95})))))</f>
        <v>90</v>
      </c>
      <c r="P591" s="2">
        <f t="shared" si="48"/>
        <v>-14</v>
      </c>
      <c r="Q591" s="2">
        <f t="shared" si="49"/>
        <v>-6.34</v>
      </c>
    </row>
    <row r="592" customHeight="1" spans="1:17">
      <c r="A592" s="2">
        <v>2026</v>
      </c>
      <c r="B592" s="2">
        <v>591</v>
      </c>
      <c r="C592" s="17">
        <f t="shared" si="47"/>
        <v>65.9</v>
      </c>
      <c r="D592" s="2" t="s">
        <v>950</v>
      </c>
      <c r="E592" s="12">
        <v>68</v>
      </c>
      <c r="F592" s="2">
        <v>58</v>
      </c>
      <c r="G592" s="2">
        <v>52</v>
      </c>
      <c r="H592" s="2" t="s">
        <v>54</v>
      </c>
      <c r="I592" s="2" t="s">
        <v>55</v>
      </c>
      <c r="J592" s="4" t="s">
        <v>38</v>
      </c>
      <c r="M592" s="2">
        <f t="shared" si="45"/>
        <v>45</v>
      </c>
      <c r="N592" s="2">
        <f t="shared" si="46"/>
        <v>64.4</v>
      </c>
      <c r="O592" s="2">
        <f>IF(M592="","",IF(M592&gt;=1000,95,IF(M592&lt;=12.5,50,LOOKUP(M592,{12.5,15,20,30,45,60,75,105,115,150,200,225,250,600,1000},{50,55,60,62,65,68,70,72,75,80,82,85,87,90,95})+(M592-LOOKUP(M592,{12.5,15,20,30,45,60,75,105,115,150,200,225,250,600},{12.5,15,20,30,45,60,75,105,115,150,200,225,250,600}))/(LOOKUP(M592,{12.5,15,20,30,45,60,75,105,115,150,200,225,250,600,1000},{15,20,30,45,60,75,105,115,150,200,225,250,600,1000,1000})-LOOKUP(M592,{12.5,15,20,30,45,60,75,105,115,150,200,225,250,600},{12.5,15,20,30,45,60,75,105,115,150,200,225,250,600}))*(LOOKUP(M592,{12.5,15,20,30,45,60,75,105,115,150,200,225,250,600,1000},{55,60,62,65,68,70,72,75,80,82,85,87,90,95,95})-LOOKUP(M592,{12.5,15,20,30,45,60,75,105,115,150,200,225,250,600,1000},{50,55,60,62,65,68,70,72,75,80,82,85,87,90,95})))))</f>
        <v>65</v>
      </c>
      <c r="P592" s="2">
        <f t="shared" si="48"/>
        <v>3</v>
      </c>
      <c r="Q592" s="2">
        <f t="shared" si="49"/>
        <v>1.5</v>
      </c>
    </row>
    <row r="593" customHeight="1" spans="1:17">
      <c r="B593" s="2">
        <v>592</v>
      </c>
      <c r="C593" s="17">
        <f t="shared" si="47"/>
        <v>65.9</v>
      </c>
      <c r="D593" s="2" t="s">
        <v>951</v>
      </c>
      <c r="E593" s="12">
        <v>67</v>
      </c>
      <c r="F593" s="9">
        <v>70</v>
      </c>
      <c r="G593" s="9">
        <v>75</v>
      </c>
      <c r="H593" s="2" t="s">
        <v>41</v>
      </c>
      <c r="I593" s="2" t="s">
        <v>104</v>
      </c>
      <c r="J593" s="4" t="s">
        <v>105</v>
      </c>
      <c r="M593" s="2">
        <f t="shared" si="45"/>
        <v>105</v>
      </c>
      <c r="N593" s="2">
        <f t="shared" si="46"/>
        <v>68.4</v>
      </c>
      <c r="O593" s="2">
        <f>IF(M593="","",IF(M593&gt;=1000,95,IF(M593&lt;=12.5,50,LOOKUP(M593,{12.5,15,20,30,45,60,75,105,115,150,200,225,250,600,1000},{50,55,60,62,65,68,70,72,75,80,82,85,87,90,95})+(M593-LOOKUP(M593,{12.5,15,20,30,45,60,75,105,115,150,200,225,250,600},{12.5,15,20,30,45,60,75,105,115,150,200,225,250,600}))/(LOOKUP(M593,{12.5,15,20,30,45,60,75,105,115,150,200,225,250,600,1000},{15,20,30,45,60,75,105,115,150,200,225,250,600,1000,1000})-LOOKUP(M593,{12.5,15,20,30,45,60,75,105,115,150,200,225,250,600},{12.5,15,20,30,45,60,75,105,115,150,200,225,250,600}))*(LOOKUP(M593,{12.5,15,20,30,45,60,75,105,115,150,200,225,250,600,1000},{55,60,62,65,68,70,72,75,80,82,85,87,90,95,95})-LOOKUP(M593,{12.5,15,20,30,45,60,75,105,115,150,200,225,250,600,1000},{50,55,60,62,65,68,70,72,75,80,82,85,87,90,95})))))</f>
        <v>72</v>
      </c>
      <c r="P593" s="2">
        <f t="shared" si="48"/>
        <v>-5</v>
      </c>
      <c r="Q593" s="2">
        <f t="shared" si="49"/>
        <v>-2.5</v>
      </c>
    </row>
    <row r="594" customHeight="1" spans="1:17">
      <c r="B594" s="2">
        <v>593</v>
      </c>
      <c r="C594" s="17">
        <f t="shared" si="47"/>
        <v>65.9</v>
      </c>
      <c r="D594" s="2" t="s">
        <v>952</v>
      </c>
      <c r="E594" s="12">
        <v>68</v>
      </c>
      <c r="F594" s="12">
        <v>61</v>
      </c>
      <c r="G594" s="12">
        <v>61</v>
      </c>
      <c r="H594" s="2" t="s">
        <v>573</v>
      </c>
      <c r="I594" s="2" t="s">
        <v>265</v>
      </c>
      <c r="J594" s="4" t="s">
        <v>34</v>
      </c>
      <c r="M594" s="2">
        <f t="shared" si="45"/>
        <v>60</v>
      </c>
      <c r="N594" s="2">
        <f t="shared" si="46"/>
        <v>65.9</v>
      </c>
      <c r="O594" s="2">
        <f>IF(M594="","",IF(M594&gt;=1000,95,IF(M594&lt;=12.5,50,LOOKUP(M594,{12.5,15,20,30,45,60,75,105,115,150,200,225,250,600,1000},{50,55,60,62,65,68,70,72,75,80,82,85,87,90,95})+(M594-LOOKUP(M594,{12.5,15,20,30,45,60,75,105,115,150,200,225,250,600},{12.5,15,20,30,45,60,75,105,115,150,200,225,250,600}))/(LOOKUP(M594,{12.5,15,20,30,45,60,75,105,115,150,200,225,250,600,1000},{15,20,30,45,60,75,105,115,150,200,225,250,600,1000,1000})-LOOKUP(M594,{12.5,15,20,30,45,60,75,105,115,150,200,225,250,600},{12.5,15,20,30,45,60,75,105,115,150,200,225,250,600}))*(LOOKUP(M594,{12.5,15,20,30,45,60,75,105,115,150,200,225,250,600,1000},{55,60,62,65,68,70,72,75,80,82,85,87,90,95,95})-LOOKUP(M594,{12.5,15,20,30,45,60,75,105,115,150,200,225,250,600,1000},{50,55,60,62,65,68,70,72,75,80,82,85,87,90,95})))))</f>
        <v>68</v>
      </c>
      <c r="P594" s="2">
        <f t="shared" si="48"/>
        <v>0</v>
      </c>
      <c r="Q594" s="2">
        <f t="shared" si="49"/>
        <v>0</v>
      </c>
    </row>
    <row r="595" customHeight="1" spans="1:17">
      <c r="A595" s="2">
        <v>2026</v>
      </c>
      <c r="B595" s="2">
        <v>594</v>
      </c>
      <c r="C595" s="17">
        <f t="shared" si="47"/>
        <v>65.9</v>
      </c>
      <c r="D595" s="2" t="s">
        <v>953</v>
      </c>
      <c r="E595" s="12">
        <v>68</v>
      </c>
      <c r="F595" s="2">
        <v>54</v>
      </c>
      <c r="G595" s="2">
        <v>45</v>
      </c>
      <c r="H595" s="2" t="s">
        <v>54</v>
      </c>
      <c r="I595" s="2" t="s">
        <v>63</v>
      </c>
      <c r="J595" s="4" t="s">
        <v>88</v>
      </c>
      <c r="M595" s="2">
        <f t="shared" si="45"/>
        <v>30</v>
      </c>
      <c r="N595" s="2">
        <f t="shared" si="46"/>
        <v>62.9</v>
      </c>
      <c r="O595" s="2">
        <f>IF(M595="","",IF(M595&gt;=1000,95,IF(M595&lt;=12.5,50,LOOKUP(M595,{12.5,15,20,30,45,60,75,105,115,150,200,225,250,600,1000},{50,55,60,62,65,68,70,72,75,80,82,85,87,90,95})+(M595-LOOKUP(M595,{12.5,15,20,30,45,60,75,105,115,150,200,225,250,600},{12.5,15,20,30,45,60,75,105,115,150,200,225,250,600}))/(LOOKUP(M595,{12.5,15,20,30,45,60,75,105,115,150,200,225,250,600,1000},{15,20,30,45,60,75,105,115,150,200,225,250,600,1000,1000})-LOOKUP(M595,{12.5,15,20,30,45,60,75,105,115,150,200,225,250,600},{12.5,15,20,30,45,60,75,105,115,150,200,225,250,600}))*(LOOKUP(M595,{12.5,15,20,30,45,60,75,105,115,150,200,225,250,600,1000},{55,60,62,65,68,70,72,75,80,82,85,87,90,95,95})-LOOKUP(M595,{12.5,15,20,30,45,60,75,105,115,150,200,225,250,600,1000},{50,55,60,62,65,68,70,72,75,80,82,85,87,90,95})))))</f>
        <v>62</v>
      </c>
      <c r="P595" s="2">
        <f t="shared" si="48"/>
        <v>6</v>
      </c>
      <c r="Q595" s="2">
        <f t="shared" si="49"/>
        <v>3</v>
      </c>
    </row>
    <row r="596" customHeight="1" spans="1:17">
      <c r="B596" s="2">
        <v>595</v>
      </c>
      <c r="C596" s="17">
        <f t="shared" si="47"/>
        <v>65.83</v>
      </c>
      <c r="D596" s="2" t="s">
        <v>954</v>
      </c>
      <c r="E596" s="12">
        <v>66</v>
      </c>
      <c r="F596" s="2">
        <v>54</v>
      </c>
      <c r="G596" s="2">
        <v>35</v>
      </c>
      <c r="H596" s="2" t="s">
        <v>37</v>
      </c>
      <c r="I596" s="2" t="s">
        <v>28</v>
      </c>
      <c r="J596" s="4" t="s">
        <v>29</v>
      </c>
      <c r="M596" s="2">
        <f t="shared" si="45"/>
        <v>15</v>
      </c>
      <c r="N596" s="2">
        <f t="shared" si="46"/>
        <v>60.5</v>
      </c>
      <c r="O596" s="2">
        <f>IF(M596="","",IF(M596&gt;=1000,95,IF(M596&lt;=12.5,50,LOOKUP(M596,{12.5,15,20,30,45,60,75,105,115,150,200,225,250,600,1000},{50,55,60,62,65,68,70,72,75,80,82,85,87,90,95})+(M596-LOOKUP(M596,{12.5,15,20,30,45,60,75,105,115,150,200,225,250,600},{12.5,15,20,30,45,60,75,105,115,150,200,225,250,600}))/(LOOKUP(M596,{12.5,15,20,30,45,60,75,105,115,150,200,225,250,600,1000},{15,20,30,45,60,75,105,115,150,200,225,250,600,1000,1000})-LOOKUP(M596,{12.5,15,20,30,45,60,75,105,115,150,200,225,250,600},{12.5,15,20,30,45,60,75,105,115,150,200,225,250,600}))*(LOOKUP(M596,{12.5,15,20,30,45,60,75,105,115,150,200,225,250,600,1000},{55,60,62,65,68,70,72,75,80,82,85,87,90,95,95})-LOOKUP(M596,{12.5,15,20,30,45,60,75,105,115,150,200,225,250,600,1000},{50,55,60,62,65,68,70,72,75,80,82,85,87,90,95})))))</f>
        <v>55</v>
      </c>
      <c r="P596" s="2">
        <f t="shared" si="48"/>
        <v>11</v>
      </c>
      <c r="Q596" s="2">
        <f t="shared" si="49"/>
        <v>5.33</v>
      </c>
    </row>
    <row r="597" customHeight="1" spans="1:17">
      <c r="A597" s="2">
        <v>2026</v>
      </c>
      <c r="B597" s="2">
        <v>596</v>
      </c>
      <c r="C597" s="17">
        <f t="shared" si="47"/>
        <v>65.8</v>
      </c>
      <c r="D597" s="2" t="s">
        <v>955</v>
      </c>
      <c r="E597" s="9">
        <v>72</v>
      </c>
      <c r="F597" s="12">
        <v>68</v>
      </c>
      <c r="G597" s="12">
        <v>68</v>
      </c>
      <c r="H597" s="2" t="s">
        <v>54</v>
      </c>
      <c r="I597" s="2" t="s">
        <v>28</v>
      </c>
      <c r="J597" s="4" t="s">
        <v>51</v>
      </c>
      <c r="M597" s="2">
        <f t="shared" si="45"/>
        <v>200</v>
      </c>
      <c r="N597" s="2">
        <f t="shared" si="46"/>
        <v>70.8</v>
      </c>
      <c r="O597" s="2">
        <f>IF(M597="","",IF(M597&gt;=1000,95,IF(M597&lt;=12.5,50,LOOKUP(M597,{12.5,15,20,30,45,60,75,105,115,150,200,225,250,600,1000},{50,55,60,62,65,68,70,72,75,80,82,85,87,90,95})+(M597-LOOKUP(M597,{12.5,15,20,30,45,60,75,105,115,150,200,225,250,600},{12.5,15,20,30,45,60,75,105,115,150,200,225,250,600}))/(LOOKUP(M597,{12.5,15,20,30,45,60,75,105,115,150,200,225,250,600,1000},{15,20,30,45,60,75,105,115,150,200,225,250,600,1000,1000})-LOOKUP(M597,{12.5,15,20,30,45,60,75,105,115,150,200,225,250,600},{12.5,15,20,30,45,60,75,105,115,150,200,225,250,600}))*(LOOKUP(M597,{12.5,15,20,30,45,60,75,105,115,150,200,225,250,600,1000},{55,60,62,65,68,70,72,75,80,82,85,87,90,95,95})-LOOKUP(M597,{12.5,15,20,30,45,60,75,105,115,150,200,225,250,600,1000},{50,55,60,62,65,68,70,72,75,80,82,85,87,90,95})))))</f>
        <v>82</v>
      </c>
      <c r="P597" s="2">
        <f t="shared" si="48"/>
        <v>-10</v>
      </c>
      <c r="Q597" s="2">
        <f t="shared" si="49"/>
        <v>-5</v>
      </c>
    </row>
    <row r="598" customHeight="1" spans="1:17">
      <c r="B598" s="2">
        <v>597</v>
      </c>
      <c r="C598" s="17">
        <f t="shared" si="47"/>
        <v>65.77</v>
      </c>
      <c r="D598" s="2" t="s">
        <v>956</v>
      </c>
      <c r="E598" s="12">
        <v>65</v>
      </c>
      <c r="F598" s="2">
        <v>53</v>
      </c>
      <c r="G598" s="2">
        <v>30</v>
      </c>
      <c r="H598" s="2" t="s">
        <v>178</v>
      </c>
      <c r="I598" s="2" t="s">
        <v>28</v>
      </c>
      <c r="J598" s="4" t="s">
        <v>77</v>
      </c>
      <c r="M598" s="2">
        <f t="shared" si="45"/>
        <v>12.5</v>
      </c>
      <c r="N598" s="2">
        <f t="shared" si="46"/>
        <v>59.1</v>
      </c>
      <c r="O598" s="2">
        <f>IF(M598="","",IF(M598&gt;=1000,95,IF(M598&lt;=12.5,50,LOOKUP(M598,{12.5,15,20,30,45,60,75,105,115,150,200,225,250,600,1000},{50,55,60,62,65,68,70,72,75,80,82,85,87,90,95})+(M598-LOOKUP(M598,{12.5,15,20,30,45,60,75,105,115,150,200,225,250,600},{12.5,15,20,30,45,60,75,105,115,150,200,225,250,600}))/(LOOKUP(M598,{12.5,15,20,30,45,60,75,105,115,150,200,225,250,600,1000},{15,20,30,45,60,75,105,115,150,200,225,250,600,1000,1000})-LOOKUP(M598,{12.5,15,20,30,45,60,75,105,115,150,200,225,250,600},{12.5,15,20,30,45,60,75,105,115,150,200,225,250,600}))*(LOOKUP(M598,{12.5,15,20,30,45,60,75,105,115,150,200,225,250,600,1000},{55,60,62,65,68,70,72,75,80,82,85,87,90,95,95})-LOOKUP(M598,{12.5,15,20,30,45,60,75,105,115,150,200,225,250,600,1000},{50,55,60,62,65,68,70,72,75,80,82,85,87,90,95})))))</f>
        <v>50</v>
      </c>
      <c r="P598" s="2">
        <f t="shared" si="48"/>
        <v>15</v>
      </c>
      <c r="Q598" s="2">
        <f t="shared" si="49"/>
        <v>6.67</v>
      </c>
    </row>
    <row r="599" customHeight="1" spans="1:17">
      <c r="A599" s="2">
        <v>2026</v>
      </c>
      <c r="B599" s="2">
        <v>598</v>
      </c>
      <c r="C599" s="17">
        <f t="shared" si="47"/>
        <v>65.7</v>
      </c>
      <c r="D599" s="2" t="s">
        <v>957</v>
      </c>
      <c r="E599" s="9">
        <v>70</v>
      </c>
      <c r="F599" s="12">
        <v>64</v>
      </c>
      <c r="G599" s="12">
        <v>64</v>
      </c>
      <c r="H599" s="2" t="s">
        <v>41</v>
      </c>
      <c r="I599" s="2" t="s">
        <v>104</v>
      </c>
      <c r="J599" s="4" t="s">
        <v>148</v>
      </c>
      <c r="M599" s="2">
        <f t="shared" si="45"/>
        <v>115</v>
      </c>
      <c r="N599" s="2">
        <f t="shared" si="46"/>
        <v>68.2</v>
      </c>
      <c r="O599" s="2">
        <f>IF(M599="","",IF(M599&gt;=1000,95,IF(M599&lt;=12.5,50,LOOKUP(M599,{12.5,15,20,30,45,60,75,105,115,150,200,225,250,600,1000},{50,55,60,62,65,68,70,72,75,80,82,85,87,90,95})+(M599-LOOKUP(M599,{12.5,15,20,30,45,60,75,105,115,150,200,225,250,600},{12.5,15,20,30,45,60,75,105,115,150,200,225,250,600}))/(LOOKUP(M599,{12.5,15,20,30,45,60,75,105,115,150,200,225,250,600,1000},{15,20,30,45,60,75,105,115,150,200,225,250,600,1000,1000})-LOOKUP(M599,{12.5,15,20,30,45,60,75,105,115,150,200,225,250,600},{12.5,15,20,30,45,60,75,105,115,150,200,225,250,600}))*(LOOKUP(M599,{12.5,15,20,30,45,60,75,105,115,150,200,225,250,600,1000},{55,60,62,65,68,70,72,75,80,82,85,87,90,95,95})-LOOKUP(M599,{12.5,15,20,30,45,60,75,105,115,150,200,225,250,600,1000},{50,55,60,62,65,68,70,72,75,80,82,85,87,90,95})))))</f>
        <v>75</v>
      </c>
      <c r="P599" s="2">
        <f t="shared" si="48"/>
        <v>-5</v>
      </c>
      <c r="Q599" s="2">
        <f t="shared" si="49"/>
        <v>-2.5</v>
      </c>
    </row>
    <row r="600" customHeight="1" spans="1:17">
      <c r="A600" s="2">
        <v>2026</v>
      </c>
      <c r="B600" s="2">
        <v>599</v>
      </c>
      <c r="C600" s="17">
        <f t="shared" si="47"/>
        <v>65.7</v>
      </c>
      <c r="D600" s="2" t="s">
        <v>958</v>
      </c>
      <c r="E600" s="12">
        <v>69</v>
      </c>
      <c r="F600" s="12">
        <v>62</v>
      </c>
      <c r="G600" s="2">
        <v>30</v>
      </c>
      <c r="H600" s="2" t="s">
        <v>54</v>
      </c>
      <c r="I600" s="2" t="s">
        <v>321</v>
      </c>
      <c r="J600" s="4" t="s">
        <v>38</v>
      </c>
      <c r="M600" s="2">
        <f t="shared" si="45"/>
        <v>45</v>
      </c>
      <c r="N600" s="2">
        <f t="shared" si="46"/>
        <v>63.7</v>
      </c>
      <c r="O600" s="2">
        <f>IF(M600="","",IF(M600&gt;=1000,95,IF(M600&lt;=12.5,50,LOOKUP(M600,{12.5,15,20,30,45,60,75,105,115,150,200,225,250,600,1000},{50,55,60,62,65,68,70,72,75,80,82,85,87,90,95})+(M600-LOOKUP(M600,{12.5,15,20,30,45,60,75,105,115,150,200,225,250,600},{12.5,15,20,30,45,60,75,105,115,150,200,225,250,600}))/(LOOKUP(M600,{12.5,15,20,30,45,60,75,105,115,150,200,225,250,600,1000},{15,20,30,45,60,75,105,115,150,200,225,250,600,1000,1000})-LOOKUP(M600,{12.5,15,20,30,45,60,75,105,115,150,200,225,250,600},{12.5,15,20,30,45,60,75,105,115,150,200,225,250,600}))*(LOOKUP(M600,{12.5,15,20,30,45,60,75,105,115,150,200,225,250,600,1000},{55,60,62,65,68,70,72,75,80,82,85,87,90,95,95})-LOOKUP(M600,{12.5,15,20,30,45,60,75,105,115,150,200,225,250,600,1000},{50,55,60,62,65,68,70,72,75,80,82,85,87,90,95})))))</f>
        <v>65</v>
      </c>
      <c r="P600" s="2">
        <f t="shared" si="48"/>
        <v>4</v>
      </c>
      <c r="Q600" s="2">
        <f t="shared" si="49"/>
        <v>2</v>
      </c>
    </row>
    <row r="601" customHeight="1" spans="1:17">
      <c r="B601" s="2">
        <v>600</v>
      </c>
      <c r="C601" s="17">
        <f t="shared" si="47"/>
        <v>65.7</v>
      </c>
      <c r="D601" s="2" t="s">
        <v>959</v>
      </c>
      <c r="E601" s="12">
        <v>68</v>
      </c>
      <c r="F601" s="12">
        <v>68</v>
      </c>
      <c r="G601" s="2">
        <v>45</v>
      </c>
      <c r="H601" s="2" t="s">
        <v>37</v>
      </c>
      <c r="I601" s="2" t="s">
        <v>435</v>
      </c>
      <c r="J601" s="4" t="s">
        <v>34</v>
      </c>
      <c r="M601" s="2">
        <f t="shared" si="45"/>
        <v>60</v>
      </c>
      <c r="N601" s="2">
        <f t="shared" si="46"/>
        <v>65.7</v>
      </c>
      <c r="O601" s="2">
        <f>IF(M601="","",IF(M601&gt;=1000,95,IF(M601&lt;=12.5,50,LOOKUP(M601,{12.5,15,20,30,45,60,75,105,115,150,200,225,250,600,1000},{50,55,60,62,65,68,70,72,75,80,82,85,87,90,95})+(M601-LOOKUP(M601,{12.5,15,20,30,45,60,75,105,115,150,200,225,250,600},{12.5,15,20,30,45,60,75,105,115,150,200,225,250,600}))/(LOOKUP(M601,{12.5,15,20,30,45,60,75,105,115,150,200,225,250,600,1000},{15,20,30,45,60,75,105,115,150,200,225,250,600,1000,1000})-LOOKUP(M601,{12.5,15,20,30,45,60,75,105,115,150,200,225,250,600},{12.5,15,20,30,45,60,75,105,115,150,200,225,250,600}))*(LOOKUP(M601,{12.5,15,20,30,45,60,75,105,115,150,200,225,250,600,1000},{55,60,62,65,68,70,72,75,80,82,85,87,90,95,95})-LOOKUP(M601,{12.5,15,20,30,45,60,75,105,115,150,200,225,250,600,1000},{50,55,60,62,65,68,70,72,75,80,82,85,87,90,95})))))</f>
        <v>68</v>
      </c>
      <c r="P601" s="2">
        <f t="shared" si="48"/>
        <v>0</v>
      </c>
      <c r="Q601" s="2">
        <f t="shared" si="49"/>
        <v>0</v>
      </c>
    </row>
    <row r="602" customHeight="1" spans="1:17">
      <c r="A602" s="2">
        <v>2026</v>
      </c>
      <c r="B602" s="2">
        <v>601</v>
      </c>
      <c r="C602" s="17">
        <f t="shared" si="47"/>
        <v>65.7</v>
      </c>
      <c r="D602" s="2" t="s">
        <v>960</v>
      </c>
      <c r="E602" s="9">
        <v>73</v>
      </c>
      <c r="F602" s="12">
        <v>67</v>
      </c>
      <c r="G602" s="2">
        <v>47</v>
      </c>
      <c r="H602" s="2" t="s">
        <v>961</v>
      </c>
      <c r="I602" s="2" t="s">
        <v>229</v>
      </c>
      <c r="J602" s="4" t="s">
        <v>59</v>
      </c>
      <c r="K602" s="2" t="s">
        <v>962</v>
      </c>
      <c r="M602" s="2">
        <f t="shared" si="45"/>
        <v>150</v>
      </c>
      <c r="N602" s="2">
        <f t="shared" si="46"/>
        <v>69.2</v>
      </c>
      <c r="O602" s="2">
        <f>IF(M602="","",IF(M602&gt;=1000,95,IF(M602&lt;=12.5,50,LOOKUP(M602,{12.5,15,20,30,45,60,75,105,115,150,200,225,250,600,1000},{50,55,60,62,65,68,70,72,75,80,82,85,87,90,95})+(M602-LOOKUP(M602,{12.5,15,20,30,45,60,75,105,115,150,200,225,250,600},{12.5,15,20,30,45,60,75,105,115,150,200,225,250,600}))/(LOOKUP(M602,{12.5,15,20,30,45,60,75,105,115,150,200,225,250,600,1000},{15,20,30,45,60,75,105,115,150,200,225,250,600,1000,1000})-LOOKUP(M602,{12.5,15,20,30,45,60,75,105,115,150,200,225,250,600},{12.5,15,20,30,45,60,75,105,115,150,200,225,250,600}))*(LOOKUP(M602,{12.5,15,20,30,45,60,75,105,115,150,200,225,250,600,1000},{55,60,62,65,68,70,72,75,80,82,85,87,90,95,95})-LOOKUP(M602,{12.5,15,20,30,45,60,75,105,115,150,200,225,250,600,1000},{50,55,60,62,65,68,70,72,75,80,82,85,87,90,95})))))</f>
        <v>80</v>
      </c>
      <c r="P602" s="2">
        <f t="shared" si="48"/>
        <v>-7</v>
      </c>
      <c r="Q602" s="2">
        <f t="shared" si="49"/>
        <v>-3.5</v>
      </c>
    </row>
    <row r="603" customHeight="1" spans="1:17">
      <c r="B603" s="2">
        <v>602</v>
      </c>
      <c r="C603" s="17">
        <f t="shared" si="47"/>
        <v>65.7</v>
      </c>
      <c r="D603" s="2" t="s">
        <v>963</v>
      </c>
      <c r="E603" s="12">
        <v>67</v>
      </c>
      <c r="F603" s="2">
        <v>55</v>
      </c>
      <c r="G603" s="2">
        <v>53</v>
      </c>
      <c r="H603" s="2" t="s">
        <v>37</v>
      </c>
      <c r="I603" s="2" t="s">
        <v>63</v>
      </c>
      <c r="J603" s="4" t="s">
        <v>88</v>
      </c>
      <c r="M603" s="2">
        <f t="shared" si="45"/>
        <v>30</v>
      </c>
      <c r="N603" s="2">
        <f t="shared" si="46"/>
        <v>63.2</v>
      </c>
      <c r="O603" s="2">
        <f>IF(M603="","",IF(M603&gt;=1000,95,IF(M603&lt;=12.5,50,LOOKUP(M603,{12.5,15,20,30,45,60,75,105,115,150,200,225,250,600,1000},{50,55,60,62,65,68,70,72,75,80,82,85,87,90,95})+(M603-LOOKUP(M603,{12.5,15,20,30,45,60,75,105,115,150,200,225,250,600},{12.5,15,20,30,45,60,75,105,115,150,200,225,250,600}))/(LOOKUP(M603,{12.5,15,20,30,45,60,75,105,115,150,200,225,250,600,1000},{15,20,30,45,60,75,105,115,150,200,225,250,600,1000,1000})-LOOKUP(M603,{12.5,15,20,30,45,60,75,105,115,150,200,225,250,600},{12.5,15,20,30,45,60,75,105,115,150,200,225,250,600}))*(LOOKUP(M603,{12.5,15,20,30,45,60,75,105,115,150,200,225,250,600,1000},{55,60,62,65,68,70,72,75,80,82,85,87,90,95,95})-LOOKUP(M603,{12.5,15,20,30,45,60,75,105,115,150,200,225,250,600,1000},{50,55,60,62,65,68,70,72,75,80,82,85,87,90,95})))))</f>
        <v>62</v>
      </c>
      <c r="P603" s="2">
        <f t="shared" si="48"/>
        <v>5</v>
      </c>
      <c r="Q603" s="2">
        <f t="shared" si="49"/>
        <v>2.5</v>
      </c>
    </row>
    <row r="604" customHeight="1" spans="1:17">
      <c r="A604" s="2">
        <v>2026</v>
      </c>
      <c r="B604" s="2">
        <v>603</v>
      </c>
      <c r="C604" s="17">
        <f t="shared" si="47"/>
        <v>65.6</v>
      </c>
      <c r="D604" s="2" t="s">
        <v>964</v>
      </c>
      <c r="E604" s="12">
        <v>67</v>
      </c>
      <c r="F604" s="2">
        <v>54</v>
      </c>
      <c r="G604" s="2">
        <v>44</v>
      </c>
      <c r="H604" s="2" t="s">
        <v>54</v>
      </c>
      <c r="I604" s="2" t="s">
        <v>28</v>
      </c>
      <c r="J604" s="4" t="s">
        <v>140</v>
      </c>
      <c r="M604" s="2">
        <f t="shared" si="45"/>
        <v>20</v>
      </c>
      <c r="N604" s="2">
        <f t="shared" si="46"/>
        <v>62.1</v>
      </c>
      <c r="O604" s="2">
        <f>IF(M604="","",IF(M604&gt;=1000,95,IF(M604&lt;=12.5,50,LOOKUP(M604,{12.5,15,20,30,45,60,75,105,115,150,200,225,250,600,1000},{50,55,60,62,65,68,70,72,75,80,82,85,87,90,95})+(M604-LOOKUP(M604,{12.5,15,20,30,45,60,75,105,115,150,200,225,250,600},{12.5,15,20,30,45,60,75,105,115,150,200,225,250,600}))/(LOOKUP(M604,{12.5,15,20,30,45,60,75,105,115,150,200,225,250,600,1000},{15,20,30,45,60,75,105,115,150,200,225,250,600,1000,1000})-LOOKUP(M604,{12.5,15,20,30,45,60,75,105,115,150,200,225,250,600},{12.5,15,20,30,45,60,75,105,115,150,200,225,250,600}))*(LOOKUP(M604,{12.5,15,20,30,45,60,75,105,115,150,200,225,250,600,1000},{55,60,62,65,68,70,72,75,80,82,85,87,90,95,95})-LOOKUP(M604,{12.5,15,20,30,45,60,75,105,115,150,200,225,250,600,1000},{50,55,60,62,65,68,70,72,75,80,82,85,87,90,95})))))</f>
        <v>60</v>
      </c>
      <c r="P604" s="2">
        <f t="shared" si="48"/>
        <v>7</v>
      </c>
      <c r="Q604" s="2">
        <f t="shared" si="49"/>
        <v>3.5</v>
      </c>
    </row>
    <row r="605" customHeight="1" spans="1:17">
      <c r="A605" s="2">
        <v>2026</v>
      </c>
      <c r="B605" s="2">
        <v>604</v>
      </c>
      <c r="C605" s="17">
        <f t="shared" si="47"/>
        <v>65.6</v>
      </c>
      <c r="D605" s="2" t="s">
        <v>965</v>
      </c>
      <c r="E605" s="12">
        <v>66</v>
      </c>
      <c r="F605" s="2">
        <v>58</v>
      </c>
      <c r="G605" s="2">
        <v>48</v>
      </c>
      <c r="H605" s="2" t="s">
        <v>264</v>
      </c>
      <c r="I605" s="2" t="s">
        <v>28</v>
      </c>
      <c r="J605" s="4" t="s">
        <v>140</v>
      </c>
      <c r="M605" s="2">
        <f t="shared" si="45"/>
        <v>20</v>
      </c>
      <c r="N605" s="2">
        <f t="shared" si="46"/>
        <v>62.6</v>
      </c>
      <c r="O605" s="2">
        <f>IF(M605="","",IF(M605&gt;=1000,95,IF(M605&lt;=12.5,50,LOOKUP(M605,{12.5,15,20,30,45,60,75,105,115,150,200,225,250,600,1000},{50,55,60,62,65,68,70,72,75,80,82,85,87,90,95})+(M605-LOOKUP(M605,{12.5,15,20,30,45,60,75,105,115,150,200,225,250,600},{12.5,15,20,30,45,60,75,105,115,150,200,225,250,600}))/(LOOKUP(M605,{12.5,15,20,30,45,60,75,105,115,150,200,225,250,600,1000},{15,20,30,45,60,75,105,115,150,200,225,250,600,1000,1000})-LOOKUP(M605,{12.5,15,20,30,45,60,75,105,115,150,200,225,250,600},{12.5,15,20,30,45,60,75,105,115,150,200,225,250,600}))*(LOOKUP(M605,{12.5,15,20,30,45,60,75,105,115,150,200,225,250,600,1000},{55,60,62,65,68,70,72,75,80,82,85,87,90,95,95})-LOOKUP(M605,{12.5,15,20,30,45,60,75,105,115,150,200,225,250,600,1000},{50,55,60,62,65,68,70,72,75,80,82,85,87,90,95})))))</f>
        <v>60</v>
      </c>
      <c r="P605" s="2">
        <f t="shared" si="48"/>
        <v>6</v>
      </c>
      <c r="Q605" s="2">
        <f t="shared" si="49"/>
        <v>3</v>
      </c>
    </row>
    <row r="606" customHeight="1" spans="1:17">
      <c r="A606" s="2">
        <v>2026</v>
      </c>
      <c r="B606" s="2">
        <v>605</v>
      </c>
      <c r="C606" s="17">
        <f t="shared" si="47"/>
        <v>65.6</v>
      </c>
      <c r="D606" s="2" t="s">
        <v>966</v>
      </c>
      <c r="E606" s="12">
        <v>67</v>
      </c>
      <c r="F606" s="12">
        <v>62</v>
      </c>
      <c r="G606" s="2">
        <v>53</v>
      </c>
      <c r="H606" s="2" t="s">
        <v>54</v>
      </c>
      <c r="I606" s="2" t="s">
        <v>967</v>
      </c>
      <c r="J606" s="4" t="s">
        <v>38</v>
      </c>
      <c r="M606" s="2">
        <f t="shared" si="45"/>
        <v>45</v>
      </c>
      <c r="N606" s="2">
        <f t="shared" si="46"/>
        <v>64.6</v>
      </c>
      <c r="O606" s="2">
        <f>IF(M606="","",IF(M606&gt;=1000,95,IF(M606&lt;=12.5,50,LOOKUP(M606,{12.5,15,20,30,45,60,75,105,115,150,200,225,250,600,1000},{50,55,60,62,65,68,70,72,75,80,82,85,87,90,95})+(M606-LOOKUP(M606,{12.5,15,20,30,45,60,75,105,115,150,200,225,250,600},{12.5,15,20,30,45,60,75,105,115,150,200,225,250,600}))/(LOOKUP(M606,{12.5,15,20,30,45,60,75,105,115,150,200,225,250,600,1000},{15,20,30,45,60,75,105,115,150,200,225,250,600,1000,1000})-LOOKUP(M606,{12.5,15,20,30,45,60,75,105,115,150,200,225,250,600},{12.5,15,20,30,45,60,75,105,115,150,200,225,250,600}))*(LOOKUP(M606,{12.5,15,20,30,45,60,75,105,115,150,200,225,250,600,1000},{55,60,62,65,68,70,72,75,80,82,85,87,90,95,95})-LOOKUP(M606,{12.5,15,20,30,45,60,75,105,115,150,200,225,250,600,1000},{50,55,60,62,65,68,70,72,75,80,82,85,87,90,95})))))</f>
        <v>65</v>
      </c>
      <c r="P606" s="2">
        <f t="shared" si="48"/>
        <v>2</v>
      </c>
      <c r="Q606" s="2">
        <f t="shared" si="49"/>
        <v>1</v>
      </c>
    </row>
    <row r="607" customHeight="1" spans="1:17">
      <c r="B607" s="2">
        <v>606</v>
      </c>
      <c r="C607" s="17">
        <f t="shared" si="47"/>
        <v>65.6</v>
      </c>
      <c r="D607" s="2" t="s">
        <v>968</v>
      </c>
      <c r="E607" s="12">
        <v>65</v>
      </c>
      <c r="F607" s="2">
        <v>53</v>
      </c>
      <c r="G607" s="2">
        <v>45</v>
      </c>
      <c r="H607" s="2" t="s">
        <v>37</v>
      </c>
      <c r="I607" s="2" t="s">
        <v>28</v>
      </c>
      <c r="J607" s="4" t="s">
        <v>29</v>
      </c>
      <c r="M607" s="2">
        <f t="shared" si="45"/>
        <v>15</v>
      </c>
      <c r="N607" s="2">
        <f t="shared" si="46"/>
        <v>60.6</v>
      </c>
      <c r="O607" s="2">
        <f>IF(M607="","",IF(M607&gt;=1000,95,IF(M607&lt;=12.5,50,LOOKUP(M607,{12.5,15,20,30,45,60,75,105,115,150,200,225,250,600,1000},{50,55,60,62,65,68,70,72,75,80,82,85,87,90,95})+(M607-LOOKUP(M607,{12.5,15,20,30,45,60,75,105,115,150,200,225,250,600},{12.5,15,20,30,45,60,75,105,115,150,200,225,250,600}))/(LOOKUP(M607,{12.5,15,20,30,45,60,75,105,115,150,200,225,250,600,1000},{15,20,30,45,60,75,105,115,150,200,225,250,600,1000,1000})-LOOKUP(M607,{12.5,15,20,30,45,60,75,105,115,150,200,225,250,600},{12.5,15,20,30,45,60,75,105,115,150,200,225,250,600}))*(LOOKUP(M607,{12.5,15,20,30,45,60,75,105,115,150,200,225,250,600,1000},{55,60,62,65,68,70,72,75,80,82,85,87,90,95,95})-LOOKUP(M607,{12.5,15,20,30,45,60,75,105,115,150,200,225,250,600,1000},{50,55,60,62,65,68,70,72,75,80,82,85,87,90,95})))))</f>
        <v>55</v>
      </c>
      <c r="P607" s="2">
        <f t="shared" si="48"/>
        <v>10</v>
      </c>
      <c r="Q607" s="2">
        <f t="shared" si="49"/>
        <v>5</v>
      </c>
    </row>
    <row r="608" customHeight="1" spans="1:17">
      <c r="A608" s="2">
        <v>2026</v>
      </c>
      <c r="B608" s="2">
        <v>607</v>
      </c>
      <c r="C608" s="17">
        <f t="shared" si="47"/>
        <v>65.6</v>
      </c>
      <c r="D608" s="2" t="s">
        <v>969</v>
      </c>
      <c r="E608" s="12">
        <v>67</v>
      </c>
      <c r="F608" s="2">
        <v>52</v>
      </c>
      <c r="G608" s="2">
        <v>48</v>
      </c>
      <c r="H608" s="2" t="s">
        <v>37</v>
      </c>
      <c r="I608" s="2" t="s">
        <v>28</v>
      </c>
      <c r="J608" s="4" t="s">
        <v>140</v>
      </c>
      <c r="M608" s="2">
        <f t="shared" si="45"/>
        <v>20</v>
      </c>
      <c r="N608" s="2">
        <f t="shared" si="46"/>
        <v>62.1</v>
      </c>
      <c r="O608" s="2">
        <f>IF(M608="","",IF(M608&gt;=1000,95,IF(M608&lt;=12.5,50,LOOKUP(M608,{12.5,15,20,30,45,60,75,105,115,150,200,225,250,600,1000},{50,55,60,62,65,68,70,72,75,80,82,85,87,90,95})+(M608-LOOKUP(M608,{12.5,15,20,30,45,60,75,105,115,150,200,225,250,600},{12.5,15,20,30,45,60,75,105,115,150,200,225,250,600}))/(LOOKUP(M608,{12.5,15,20,30,45,60,75,105,115,150,200,225,250,600,1000},{15,20,30,45,60,75,105,115,150,200,225,250,600,1000,1000})-LOOKUP(M608,{12.5,15,20,30,45,60,75,105,115,150,200,225,250,600},{12.5,15,20,30,45,60,75,105,115,150,200,225,250,600}))*(LOOKUP(M608,{12.5,15,20,30,45,60,75,105,115,150,200,225,250,600,1000},{55,60,62,65,68,70,72,75,80,82,85,87,90,95,95})-LOOKUP(M608,{12.5,15,20,30,45,60,75,105,115,150,200,225,250,600,1000},{50,55,60,62,65,68,70,72,75,80,82,85,87,90,95})))))</f>
        <v>60</v>
      </c>
      <c r="P608" s="2">
        <f t="shared" si="48"/>
        <v>7</v>
      </c>
      <c r="Q608" s="2">
        <f t="shared" si="49"/>
        <v>3.5</v>
      </c>
    </row>
    <row r="609" customHeight="1" spans="1:17">
      <c r="A609" s="2">
        <v>2026</v>
      </c>
      <c r="B609" s="2">
        <v>608</v>
      </c>
      <c r="C609" s="17">
        <f t="shared" si="47"/>
        <v>65.53</v>
      </c>
      <c r="D609" s="2" t="s">
        <v>970</v>
      </c>
      <c r="E609" s="2">
        <v>68</v>
      </c>
      <c r="F609" s="2">
        <v>82</v>
      </c>
      <c r="G609" s="2">
        <v>72</v>
      </c>
      <c r="H609" s="2" t="s">
        <v>41</v>
      </c>
      <c r="I609" s="2" t="s">
        <v>183</v>
      </c>
      <c r="J609" s="4" t="s">
        <v>59</v>
      </c>
      <c r="M609" s="2">
        <f t="shared" si="45"/>
        <v>150</v>
      </c>
      <c r="N609" s="2">
        <f t="shared" si="46"/>
        <v>71.2</v>
      </c>
      <c r="O609" s="2">
        <f>IF(M609="","",IF(M609&gt;=1000,95,IF(M609&lt;=12.5,50,LOOKUP(M609,{12.5,15,20,30,45,60,75,105,115,150,200,225,250,600,1000},{50,55,60,62,65,68,70,72,75,80,82,85,87,90,95})+(M609-LOOKUP(M609,{12.5,15,20,30,45,60,75,105,115,150,200,225,250,600},{12.5,15,20,30,45,60,75,105,115,150,200,225,250,600}))/(LOOKUP(M609,{12.5,15,20,30,45,60,75,105,115,150,200,225,250,600,1000},{15,20,30,45,60,75,105,115,150,200,225,250,600,1000,1000})-LOOKUP(M609,{12.5,15,20,30,45,60,75,105,115,150,200,225,250,600},{12.5,15,20,30,45,60,75,105,115,150,200,225,250,600}))*(LOOKUP(M609,{12.5,15,20,30,45,60,75,105,115,150,200,225,250,600,1000},{55,60,62,65,68,70,72,75,80,82,85,87,90,95,95})-LOOKUP(M609,{12.5,15,20,30,45,60,75,105,115,150,200,225,250,600,1000},{50,55,60,62,65,68,70,72,75,80,82,85,87,90,95})))))</f>
        <v>80</v>
      </c>
      <c r="P609" s="2">
        <f t="shared" si="48"/>
        <v>-12</v>
      </c>
      <c r="Q609" s="2">
        <f t="shared" si="49"/>
        <v>-5.67</v>
      </c>
    </row>
    <row r="610" customHeight="1" spans="1:17">
      <c r="B610" s="2">
        <v>609</v>
      </c>
      <c r="C610" s="17">
        <f t="shared" si="47"/>
        <v>65.5</v>
      </c>
      <c r="D610" s="2" t="s">
        <v>971</v>
      </c>
      <c r="E610" s="12">
        <v>65</v>
      </c>
      <c r="F610" s="9">
        <v>70</v>
      </c>
      <c r="G610" s="9">
        <v>75</v>
      </c>
      <c r="H610" s="2" t="s">
        <v>49</v>
      </c>
      <c r="I610" s="2" t="s">
        <v>63</v>
      </c>
      <c r="J610" s="4" t="s">
        <v>34</v>
      </c>
      <c r="M610" s="2">
        <f t="shared" si="45"/>
        <v>60</v>
      </c>
      <c r="N610" s="2">
        <f t="shared" si="46"/>
        <v>67</v>
      </c>
      <c r="O610" s="2">
        <f>IF(M610="","",IF(M610&gt;=1000,95,IF(M610&lt;=12.5,50,LOOKUP(M610,{12.5,15,20,30,45,60,75,105,115,150,200,225,250,600,1000},{50,55,60,62,65,68,70,72,75,80,82,85,87,90,95})+(M610-LOOKUP(M610,{12.5,15,20,30,45,60,75,105,115,150,200,225,250,600},{12.5,15,20,30,45,60,75,105,115,150,200,225,250,600}))/(LOOKUP(M610,{12.5,15,20,30,45,60,75,105,115,150,200,225,250,600,1000},{15,20,30,45,60,75,105,115,150,200,225,250,600,1000,1000})-LOOKUP(M610,{12.5,15,20,30,45,60,75,105,115,150,200,225,250,600},{12.5,15,20,30,45,60,75,105,115,150,200,225,250,600}))*(LOOKUP(M610,{12.5,15,20,30,45,60,75,105,115,150,200,225,250,600,1000},{55,60,62,65,68,70,72,75,80,82,85,87,90,95,95})-LOOKUP(M610,{12.5,15,20,30,45,60,75,105,115,150,200,225,250,600,1000},{50,55,60,62,65,68,70,72,75,80,82,85,87,90,95})))))</f>
        <v>68</v>
      </c>
      <c r="P610" s="2">
        <f t="shared" si="48"/>
        <v>-3</v>
      </c>
      <c r="Q610" s="2">
        <f t="shared" si="49"/>
        <v>-1.5</v>
      </c>
    </row>
    <row r="611" customHeight="1" spans="1:17">
      <c r="B611" s="2">
        <v>610</v>
      </c>
      <c r="C611" s="17">
        <f t="shared" si="47"/>
        <v>65.5</v>
      </c>
      <c r="D611" s="2" t="s">
        <v>972</v>
      </c>
      <c r="E611" s="9">
        <v>71</v>
      </c>
      <c r="F611" s="9">
        <v>70</v>
      </c>
      <c r="G611" s="10">
        <v>88</v>
      </c>
      <c r="H611" s="2" t="s">
        <v>611</v>
      </c>
      <c r="I611" s="2" t="s">
        <v>612</v>
      </c>
      <c r="J611" s="4" t="s">
        <v>123</v>
      </c>
      <c r="M611" s="2">
        <f t="shared" si="45"/>
        <v>250</v>
      </c>
      <c r="N611" s="2">
        <f t="shared" si="46"/>
        <v>72.5</v>
      </c>
      <c r="O611" s="2">
        <f>IF(M611="","",IF(M611&gt;=1000,95,IF(M611&lt;=12.5,50,LOOKUP(M611,{12.5,15,20,30,45,60,75,105,115,150,200,225,250,600,1000},{50,55,60,62,65,68,70,72,75,80,82,85,87,90,95})+(M611-LOOKUP(M611,{12.5,15,20,30,45,60,75,105,115,150,200,225,250,600},{12.5,15,20,30,45,60,75,105,115,150,200,225,250,600}))/(LOOKUP(M611,{12.5,15,20,30,45,60,75,105,115,150,200,225,250,600,1000},{15,20,30,45,60,75,105,115,150,200,225,250,600,1000,1000})-LOOKUP(M611,{12.5,15,20,30,45,60,75,105,115,150,200,225,250,600},{12.5,15,20,30,45,60,75,105,115,150,200,225,250,600}))*(LOOKUP(M611,{12.5,15,20,30,45,60,75,105,115,150,200,225,250,600,1000},{55,60,62,65,68,70,72,75,80,82,85,87,90,95,95})-LOOKUP(M611,{12.5,15,20,30,45,60,75,105,115,150,200,225,250,600,1000},{50,55,60,62,65,68,70,72,75,80,82,85,87,90,95})))))</f>
        <v>87</v>
      </c>
      <c r="P611" s="2">
        <f t="shared" si="48"/>
        <v>-16</v>
      </c>
      <c r="Q611" s="2">
        <f t="shared" si="49"/>
        <v>-7</v>
      </c>
    </row>
    <row r="612" customHeight="1" spans="1:17">
      <c r="B612" s="2">
        <v>611</v>
      </c>
      <c r="C612" s="17">
        <f t="shared" si="47"/>
        <v>65.5</v>
      </c>
      <c r="D612" s="2" t="s">
        <v>973</v>
      </c>
      <c r="E612" s="12">
        <v>67</v>
      </c>
      <c r="F612" s="9">
        <v>71</v>
      </c>
      <c r="G612" s="2">
        <v>59</v>
      </c>
      <c r="H612" s="2" t="s">
        <v>37</v>
      </c>
      <c r="I612" s="2" t="s">
        <v>435</v>
      </c>
      <c r="J612" s="4" t="s">
        <v>24</v>
      </c>
      <c r="M612" s="2">
        <f t="shared" si="45"/>
        <v>75</v>
      </c>
      <c r="N612" s="2">
        <f t="shared" si="46"/>
        <v>67</v>
      </c>
      <c r="O612" s="2">
        <f>IF(M612="","",IF(M612&gt;=1000,95,IF(M612&lt;=12.5,50,LOOKUP(M612,{12.5,15,20,30,45,60,75,105,115,150,200,225,250,600,1000},{50,55,60,62,65,68,70,72,75,80,82,85,87,90,95})+(M612-LOOKUP(M612,{12.5,15,20,30,45,60,75,105,115,150,200,225,250,600},{12.5,15,20,30,45,60,75,105,115,150,200,225,250,600}))/(LOOKUP(M612,{12.5,15,20,30,45,60,75,105,115,150,200,225,250,600,1000},{15,20,30,45,60,75,105,115,150,200,225,250,600,1000,1000})-LOOKUP(M612,{12.5,15,20,30,45,60,75,105,115,150,200,225,250,600},{12.5,15,20,30,45,60,75,105,115,150,200,225,250,600}))*(LOOKUP(M612,{12.5,15,20,30,45,60,75,105,115,150,200,225,250,600,1000},{55,60,62,65,68,70,72,75,80,82,85,87,90,95,95})-LOOKUP(M612,{12.5,15,20,30,45,60,75,105,115,150,200,225,250,600,1000},{50,55,60,62,65,68,70,72,75,80,82,85,87,90,95})))))</f>
        <v>70</v>
      </c>
      <c r="P612" s="2">
        <f t="shared" si="48"/>
        <v>-3</v>
      </c>
      <c r="Q612" s="2">
        <f t="shared" si="49"/>
        <v>-1.5</v>
      </c>
    </row>
    <row r="613" customHeight="1" spans="1:17">
      <c r="B613" s="2">
        <v>612</v>
      </c>
      <c r="C613" s="17">
        <f t="shared" si="47"/>
        <v>65.5</v>
      </c>
      <c r="D613" s="2" t="s">
        <v>974</v>
      </c>
      <c r="E613" s="9">
        <v>73</v>
      </c>
      <c r="F613" s="12">
        <v>60</v>
      </c>
      <c r="G613" s="2">
        <v>34</v>
      </c>
      <c r="H613" s="2" t="s">
        <v>41</v>
      </c>
      <c r="I613" s="2" t="s">
        <v>23</v>
      </c>
      <c r="J613" s="4" t="s">
        <v>148</v>
      </c>
      <c r="M613" s="2">
        <f t="shared" si="45"/>
        <v>115</v>
      </c>
      <c r="N613" s="2">
        <f t="shared" si="46"/>
        <v>66.5</v>
      </c>
      <c r="O613" s="2">
        <f>IF(M613="","",IF(M613&gt;=1000,95,IF(M613&lt;=12.5,50,LOOKUP(M613,{12.5,15,20,30,45,60,75,105,115,150,200,225,250,600,1000},{50,55,60,62,65,68,70,72,75,80,82,85,87,90,95})+(M613-LOOKUP(M613,{12.5,15,20,30,45,60,75,105,115,150,200,225,250,600},{12.5,15,20,30,45,60,75,105,115,150,200,225,250,600}))/(LOOKUP(M613,{12.5,15,20,30,45,60,75,105,115,150,200,225,250,600,1000},{15,20,30,45,60,75,105,115,150,200,225,250,600,1000,1000})-LOOKUP(M613,{12.5,15,20,30,45,60,75,105,115,150,200,225,250,600},{12.5,15,20,30,45,60,75,105,115,150,200,225,250,600}))*(LOOKUP(M613,{12.5,15,20,30,45,60,75,105,115,150,200,225,250,600,1000},{55,60,62,65,68,70,72,75,80,82,85,87,90,95,95})-LOOKUP(M613,{12.5,15,20,30,45,60,75,105,115,150,200,225,250,600,1000},{50,55,60,62,65,68,70,72,75,80,82,85,87,90,95})))))</f>
        <v>75</v>
      </c>
      <c r="P613" s="2">
        <f t="shared" si="48"/>
        <v>-2</v>
      </c>
      <c r="Q613" s="2">
        <f t="shared" si="49"/>
        <v>-1</v>
      </c>
    </row>
    <row r="614" customHeight="1" spans="1:17">
      <c r="A614" s="2">
        <v>2026</v>
      </c>
      <c r="B614" s="2">
        <v>613</v>
      </c>
      <c r="C614" s="17">
        <f t="shared" si="47"/>
        <v>65.5</v>
      </c>
      <c r="D614" s="2" t="s">
        <v>975</v>
      </c>
      <c r="E614" s="12">
        <v>68</v>
      </c>
      <c r="F614" s="2">
        <v>53</v>
      </c>
      <c r="G614" s="9">
        <v>73</v>
      </c>
      <c r="H614" s="2" t="s">
        <v>41</v>
      </c>
      <c r="I614" s="2" t="s">
        <v>63</v>
      </c>
      <c r="J614" s="4" t="s">
        <v>34</v>
      </c>
      <c r="M614" s="2">
        <f t="shared" si="45"/>
        <v>60</v>
      </c>
      <c r="N614" s="2">
        <f t="shared" si="46"/>
        <v>65.5</v>
      </c>
      <c r="O614" s="2">
        <f>IF(M614="","",IF(M614&gt;=1000,95,IF(M614&lt;=12.5,50,LOOKUP(M614,{12.5,15,20,30,45,60,75,105,115,150,200,225,250,600,1000},{50,55,60,62,65,68,70,72,75,80,82,85,87,90,95})+(M614-LOOKUP(M614,{12.5,15,20,30,45,60,75,105,115,150,200,225,250,600},{12.5,15,20,30,45,60,75,105,115,150,200,225,250,600}))/(LOOKUP(M614,{12.5,15,20,30,45,60,75,105,115,150,200,225,250,600,1000},{15,20,30,45,60,75,105,115,150,200,225,250,600,1000,1000})-LOOKUP(M614,{12.5,15,20,30,45,60,75,105,115,150,200,225,250,600},{12.5,15,20,30,45,60,75,105,115,150,200,225,250,600}))*(LOOKUP(M614,{12.5,15,20,30,45,60,75,105,115,150,200,225,250,600,1000},{55,60,62,65,68,70,72,75,80,82,85,87,90,95,95})-LOOKUP(M614,{12.5,15,20,30,45,60,75,105,115,150,200,225,250,600,1000},{50,55,60,62,65,68,70,72,75,80,82,85,87,90,95})))))</f>
        <v>68</v>
      </c>
      <c r="P614" s="2">
        <f t="shared" si="48"/>
        <v>0</v>
      </c>
      <c r="Q614" s="2">
        <f t="shared" si="49"/>
        <v>0</v>
      </c>
    </row>
    <row r="615" customHeight="1" spans="1:17">
      <c r="B615" s="2">
        <v>614</v>
      </c>
      <c r="C615" s="17">
        <f t="shared" si="47"/>
        <v>65.47</v>
      </c>
      <c r="D615" s="2" t="s">
        <v>976</v>
      </c>
      <c r="E615" s="12">
        <v>65</v>
      </c>
      <c r="F615" s="2">
        <v>50</v>
      </c>
      <c r="G615" s="2">
        <v>33</v>
      </c>
      <c r="H615" s="2" t="s">
        <v>91</v>
      </c>
      <c r="I615" s="2" t="s">
        <v>503</v>
      </c>
      <c r="J615" s="4" t="s">
        <v>77</v>
      </c>
      <c r="K615" s="2" t="s">
        <v>977</v>
      </c>
      <c r="M615" s="2">
        <f t="shared" si="45"/>
        <v>12.5</v>
      </c>
      <c r="N615" s="2">
        <f t="shared" si="46"/>
        <v>58.8</v>
      </c>
      <c r="O615" s="2">
        <f>IF(M615="","",IF(M615&gt;=1000,95,IF(M615&lt;=12.5,50,LOOKUP(M615,{12.5,15,20,30,45,60,75,105,115,150,200,225,250,600,1000},{50,55,60,62,65,68,70,72,75,80,82,85,87,90,95})+(M615-LOOKUP(M615,{12.5,15,20,30,45,60,75,105,115,150,200,225,250,600},{12.5,15,20,30,45,60,75,105,115,150,200,225,250,600}))/(LOOKUP(M615,{12.5,15,20,30,45,60,75,105,115,150,200,225,250,600,1000},{15,20,30,45,60,75,105,115,150,200,225,250,600,1000,1000})-LOOKUP(M615,{12.5,15,20,30,45,60,75,105,115,150,200,225,250,600},{12.5,15,20,30,45,60,75,105,115,150,200,225,250,600}))*(LOOKUP(M615,{12.5,15,20,30,45,60,75,105,115,150,200,225,250,600,1000},{55,60,62,65,68,70,72,75,80,82,85,87,90,95,95})-LOOKUP(M615,{12.5,15,20,30,45,60,75,105,115,150,200,225,250,600,1000},{50,55,60,62,65,68,70,72,75,80,82,85,87,90,95})))))</f>
        <v>50</v>
      </c>
      <c r="P615" s="2">
        <f t="shared" si="48"/>
        <v>15</v>
      </c>
      <c r="Q615" s="2">
        <f t="shared" si="49"/>
        <v>6.67</v>
      </c>
    </row>
    <row r="616" customHeight="1" spans="1:17">
      <c r="A616" s="2">
        <v>2026</v>
      </c>
      <c r="B616" s="2">
        <v>615</v>
      </c>
      <c r="C616" s="17">
        <f t="shared" si="47"/>
        <v>65.4</v>
      </c>
      <c r="D616" s="2" t="s">
        <v>978</v>
      </c>
      <c r="E616" s="12">
        <v>67</v>
      </c>
      <c r="F616" s="2">
        <v>55</v>
      </c>
      <c r="G616" s="2">
        <v>50</v>
      </c>
      <c r="H616" s="2" t="s">
        <v>54</v>
      </c>
      <c r="I616" s="2" t="s">
        <v>63</v>
      </c>
      <c r="J616" s="4" t="s">
        <v>88</v>
      </c>
      <c r="M616" s="2">
        <f t="shared" si="45"/>
        <v>30</v>
      </c>
      <c r="N616" s="2">
        <f t="shared" si="46"/>
        <v>62.9</v>
      </c>
      <c r="O616" s="2">
        <f>IF(M616="","",IF(M616&gt;=1000,95,IF(M616&lt;=12.5,50,LOOKUP(M616,{12.5,15,20,30,45,60,75,105,115,150,200,225,250,600,1000},{50,55,60,62,65,68,70,72,75,80,82,85,87,90,95})+(M616-LOOKUP(M616,{12.5,15,20,30,45,60,75,105,115,150,200,225,250,600},{12.5,15,20,30,45,60,75,105,115,150,200,225,250,600}))/(LOOKUP(M616,{12.5,15,20,30,45,60,75,105,115,150,200,225,250,600,1000},{15,20,30,45,60,75,105,115,150,200,225,250,600,1000,1000})-LOOKUP(M616,{12.5,15,20,30,45,60,75,105,115,150,200,225,250,600},{12.5,15,20,30,45,60,75,105,115,150,200,225,250,600}))*(LOOKUP(M616,{12.5,15,20,30,45,60,75,105,115,150,200,225,250,600,1000},{55,60,62,65,68,70,72,75,80,82,85,87,90,95,95})-LOOKUP(M616,{12.5,15,20,30,45,60,75,105,115,150,200,225,250,600,1000},{50,55,60,62,65,68,70,72,75,80,82,85,87,90,95})))))</f>
        <v>62</v>
      </c>
      <c r="P616" s="2">
        <f t="shared" si="48"/>
        <v>5</v>
      </c>
      <c r="Q616" s="2">
        <f t="shared" si="49"/>
        <v>2.5</v>
      </c>
    </row>
    <row r="617" customHeight="1" spans="1:17">
      <c r="B617" s="2">
        <v>616</v>
      </c>
      <c r="C617" s="17">
        <f t="shared" si="47"/>
        <v>65.4</v>
      </c>
      <c r="D617" s="2" t="s">
        <v>979</v>
      </c>
      <c r="E617" s="12">
        <v>68</v>
      </c>
      <c r="F617" s="9">
        <v>72</v>
      </c>
      <c r="G617" s="2">
        <v>54</v>
      </c>
      <c r="H617" s="2" t="s">
        <v>211</v>
      </c>
      <c r="I617" s="2" t="s">
        <v>50</v>
      </c>
      <c r="J617" s="4" t="s">
        <v>105</v>
      </c>
      <c r="M617" s="2">
        <f t="shared" si="45"/>
        <v>105</v>
      </c>
      <c r="N617" s="2">
        <f t="shared" si="46"/>
        <v>67.4</v>
      </c>
      <c r="O617" s="2">
        <f>IF(M617="","",IF(M617&gt;=1000,95,IF(M617&lt;=12.5,50,LOOKUP(M617,{12.5,15,20,30,45,60,75,105,115,150,200,225,250,600,1000},{50,55,60,62,65,68,70,72,75,80,82,85,87,90,95})+(M617-LOOKUP(M617,{12.5,15,20,30,45,60,75,105,115,150,200,225,250,600},{12.5,15,20,30,45,60,75,105,115,150,200,225,250,600}))/(LOOKUP(M617,{12.5,15,20,30,45,60,75,105,115,150,200,225,250,600,1000},{15,20,30,45,60,75,105,115,150,200,225,250,600,1000,1000})-LOOKUP(M617,{12.5,15,20,30,45,60,75,105,115,150,200,225,250,600},{12.5,15,20,30,45,60,75,105,115,150,200,225,250,600}))*(LOOKUP(M617,{12.5,15,20,30,45,60,75,105,115,150,200,225,250,600,1000},{55,60,62,65,68,70,72,75,80,82,85,87,90,95,95})-LOOKUP(M617,{12.5,15,20,30,45,60,75,105,115,150,200,225,250,600,1000},{50,55,60,62,65,68,70,72,75,80,82,85,87,90,95})))))</f>
        <v>72</v>
      </c>
      <c r="P617" s="2">
        <f t="shared" si="48"/>
        <v>-4</v>
      </c>
      <c r="Q617" s="2">
        <f t="shared" si="49"/>
        <v>-2</v>
      </c>
    </row>
    <row r="618" customHeight="1" spans="1:17">
      <c r="A618" s="2">
        <v>2026</v>
      </c>
      <c r="B618" s="2">
        <v>617</v>
      </c>
      <c r="C618" s="17">
        <f t="shared" si="47"/>
        <v>65.4</v>
      </c>
      <c r="D618" s="2" t="s">
        <v>980</v>
      </c>
      <c r="E618" s="12">
        <v>68</v>
      </c>
      <c r="F618" s="12">
        <v>64</v>
      </c>
      <c r="G618" s="12">
        <v>60</v>
      </c>
      <c r="H618" s="2" t="s">
        <v>54</v>
      </c>
      <c r="I618" s="2" t="s">
        <v>104</v>
      </c>
      <c r="J618" s="4" t="s">
        <v>24</v>
      </c>
      <c r="M618" s="2">
        <f t="shared" si="45"/>
        <v>75</v>
      </c>
      <c r="N618" s="2">
        <f t="shared" si="46"/>
        <v>66.4</v>
      </c>
      <c r="O618" s="2">
        <f>IF(M618="","",IF(M618&gt;=1000,95,IF(M618&lt;=12.5,50,LOOKUP(M618,{12.5,15,20,30,45,60,75,105,115,150,200,225,250,600,1000},{50,55,60,62,65,68,70,72,75,80,82,85,87,90,95})+(M618-LOOKUP(M618,{12.5,15,20,30,45,60,75,105,115,150,200,225,250,600},{12.5,15,20,30,45,60,75,105,115,150,200,225,250,600}))/(LOOKUP(M618,{12.5,15,20,30,45,60,75,105,115,150,200,225,250,600,1000},{15,20,30,45,60,75,105,115,150,200,225,250,600,1000,1000})-LOOKUP(M618,{12.5,15,20,30,45,60,75,105,115,150,200,225,250,600},{12.5,15,20,30,45,60,75,105,115,150,200,225,250,600}))*(LOOKUP(M618,{12.5,15,20,30,45,60,75,105,115,150,200,225,250,600,1000},{55,60,62,65,68,70,72,75,80,82,85,87,90,95,95})-LOOKUP(M618,{12.5,15,20,30,45,60,75,105,115,150,200,225,250,600,1000},{50,55,60,62,65,68,70,72,75,80,82,85,87,90,95})))))</f>
        <v>70</v>
      </c>
      <c r="P618" s="2">
        <f t="shared" si="48"/>
        <v>-2</v>
      </c>
      <c r="Q618" s="2">
        <f t="shared" si="49"/>
        <v>-1</v>
      </c>
    </row>
    <row r="619" customHeight="1" spans="1:17">
      <c r="A619" s="2">
        <v>2026</v>
      </c>
      <c r="B619" s="2">
        <v>618</v>
      </c>
      <c r="C619" s="17">
        <f t="shared" si="47"/>
        <v>65.4</v>
      </c>
      <c r="D619" s="2" t="s">
        <v>981</v>
      </c>
      <c r="E619" s="9">
        <v>73</v>
      </c>
      <c r="F619" s="2">
        <v>58</v>
      </c>
      <c r="G619" s="12">
        <v>62</v>
      </c>
      <c r="H619" s="2" t="s">
        <v>41</v>
      </c>
      <c r="I619" s="2" t="s">
        <v>58</v>
      </c>
      <c r="J619" s="4" t="s">
        <v>59</v>
      </c>
      <c r="M619" s="2">
        <f t="shared" si="45"/>
        <v>150</v>
      </c>
      <c r="N619" s="2">
        <f t="shared" si="46"/>
        <v>68.9</v>
      </c>
      <c r="O619" s="2">
        <f>IF(M619="","",IF(M619&gt;=1000,95,IF(M619&lt;=12.5,50,LOOKUP(M619,{12.5,15,20,30,45,60,75,105,115,150,200,225,250,600,1000},{50,55,60,62,65,68,70,72,75,80,82,85,87,90,95})+(M619-LOOKUP(M619,{12.5,15,20,30,45,60,75,105,115,150,200,225,250,600},{12.5,15,20,30,45,60,75,105,115,150,200,225,250,600}))/(LOOKUP(M619,{12.5,15,20,30,45,60,75,105,115,150,200,225,250,600,1000},{15,20,30,45,60,75,105,115,150,200,225,250,600,1000,1000})-LOOKUP(M619,{12.5,15,20,30,45,60,75,105,115,150,200,225,250,600},{12.5,15,20,30,45,60,75,105,115,150,200,225,250,600}))*(LOOKUP(M619,{12.5,15,20,30,45,60,75,105,115,150,200,225,250,600,1000},{55,60,62,65,68,70,72,75,80,82,85,87,90,95,95})-LOOKUP(M619,{12.5,15,20,30,45,60,75,105,115,150,200,225,250,600,1000},{50,55,60,62,65,68,70,72,75,80,82,85,87,90,95})))))</f>
        <v>80</v>
      </c>
      <c r="P619" s="2">
        <f t="shared" si="48"/>
        <v>-7</v>
      </c>
      <c r="Q619" s="2">
        <f t="shared" si="49"/>
        <v>-3.5</v>
      </c>
    </row>
    <row r="620" customHeight="1" spans="1:17">
      <c r="A620" s="2">
        <v>2026</v>
      </c>
      <c r="B620" s="2">
        <v>619</v>
      </c>
      <c r="C620" s="17">
        <f t="shared" si="47"/>
        <v>65.4</v>
      </c>
      <c r="D620" s="2" t="s">
        <v>982</v>
      </c>
      <c r="E620" s="12">
        <v>67</v>
      </c>
      <c r="F620" s="2">
        <v>55</v>
      </c>
      <c r="G620" s="2">
        <v>50</v>
      </c>
      <c r="H620" s="2" t="s">
        <v>41</v>
      </c>
      <c r="I620" s="2" t="s">
        <v>63</v>
      </c>
      <c r="J620" s="4" t="s">
        <v>88</v>
      </c>
      <c r="M620" s="2">
        <f t="shared" si="45"/>
        <v>30</v>
      </c>
      <c r="N620" s="2">
        <f t="shared" si="46"/>
        <v>62.9</v>
      </c>
      <c r="O620" s="2">
        <f>IF(M620="","",IF(M620&gt;=1000,95,IF(M620&lt;=12.5,50,LOOKUP(M620,{12.5,15,20,30,45,60,75,105,115,150,200,225,250,600,1000},{50,55,60,62,65,68,70,72,75,80,82,85,87,90,95})+(M620-LOOKUP(M620,{12.5,15,20,30,45,60,75,105,115,150,200,225,250,600},{12.5,15,20,30,45,60,75,105,115,150,200,225,250,600}))/(LOOKUP(M620,{12.5,15,20,30,45,60,75,105,115,150,200,225,250,600,1000},{15,20,30,45,60,75,105,115,150,200,225,250,600,1000,1000})-LOOKUP(M620,{12.5,15,20,30,45,60,75,105,115,150,200,225,250,600},{12.5,15,20,30,45,60,75,105,115,150,200,225,250,600}))*(LOOKUP(M620,{12.5,15,20,30,45,60,75,105,115,150,200,225,250,600,1000},{55,60,62,65,68,70,72,75,80,82,85,87,90,95,95})-LOOKUP(M620,{12.5,15,20,30,45,60,75,105,115,150,200,225,250,600,1000},{50,55,60,62,65,68,70,72,75,80,82,85,87,90,95})))))</f>
        <v>62</v>
      </c>
      <c r="P620" s="2">
        <f t="shared" si="48"/>
        <v>5</v>
      </c>
      <c r="Q620" s="2">
        <f t="shared" si="49"/>
        <v>2.5</v>
      </c>
    </row>
    <row r="621" customHeight="1" spans="1:17">
      <c r="A621" s="2">
        <v>2026</v>
      </c>
      <c r="B621" s="2">
        <v>620</v>
      </c>
      <c r="C621" s="17">
        <f t="shared" si="47"/>
        <v>65.4</v>
      </c>
      <c r="D621" s="2" t="s">
        <v>983</v>
      </c>
      <c r="E621" s="12">
        <v>65</v>
      </c>
      <c r="F621" s="2">
        <v>55</v>
      </c>
      <c r="G621" s="9">
        <v>74</v>
      </c>
      <c r="H621" s="2" t="s">
        <v>41</v>
      </c>
      <c r="I621" s="2" t="s">
        <v>577</v>
      </c>
      <c r="J621" s="4" t="s">
        <v>88</v>
      </c>
      <c r="M621" s="2">
        <f t="shared" si="45"/>
        <v>30</v>
      </c>
      <c r="N621" s="2">
        <f t="shared" si="46"/>
        <v>63.9</v>
      </c>
      <c r="O621" s="2">
        <f>IF(M621="","",IF(M621&gt;=1000,95,IF(M621&lt;=12.5,50,LOOKUP(M621,{12.5,15,20,30,45,60,75,105,115,150,200,225,250,600,1000},{50,55,60,62,65,68,70,72,75,80,82,85,87,90,95})+(M621-LOOKUP(M621,{12.5,15,20,30,45,60,75,105,115,150,200,225,250,600},{12.5,15,20,30,45,60,75,105,115,150,200,225,250,600}))/(LOOKUP(M621,{12.5,15,20,30,45,60,75,105,115,150,200,225,250,600,1000},{15,20,30,45,60,75,105,115,150,200,225,250,600,1000,1000})-LOOKUP(M621,{12.5,15,20,30,45,60,75,105,115,150,200,225,250,600},{12.5,15,20,30,45,60,75,105,115,150,200,225,250,600}))*(LOOKUP(M621,{12.5,15,20,30,45,60,75,105,115,150,200,225,250,600,1000},{55,60,62,65,68,70,72,75,80,82,85,87,90,95,95})-LOOKUP(M621,{12.5,15,20,30,45,60,75,105,115,150,200,225,250,600,1000},{50,55,60,62,65,68,70,72,75,80,82,85,87,90,95})))))</f>
        <v>62</v>
      </c>
      <c r="P621" s="2">
        <f t="shared" si="48"/>
        <v>3</v>
      </c>
      <c r="Q621" s="2">
        <f t="shared" si="49"/>
        <v>1.5</v>
      </c>
    </row>
    <row r="622" customHeight="1" spans="1:17">
      <c r="A622" s="2">
        <v>2026</v>
      </c>
      <c r="B622" s="2">
        <v>621</v>
      </c>
      <c r="C622" s="17">
        <f t="shared" si="47"/>
        <v>65.37</v>
      </c>
      <c r="D622" s="2" t="s">
        <v>984</v>
      </c>
      <c r="E622" s="12">
        <v>67</v>
      </c>
      <c r="F622" s="2">
        <v>50</v>
      </c>
      <c r="G622" s="2">
        <v>28</v>
      </c>
      <c r="H622" s="2" t="s">
        <v>54</v>
      </c>
      <c r="I622" s="2" t="s">
        <v>28</v>
      </c>
      <c r="J622" s="4" t="s">
        <v>29</v>
      </c>
      <c r="M622" s="2">
        <f t="shared" si="45"/>
        <v>15</v>
      </c>
      <c r="N622" s="2">
        <f t="shared" si="46"/>
        <v>59.7</v>
      </c>
      <c r="O622" s="2">
        <f>IF(M622="","",IF(M622&gt;=1000,95,IF(M622&lt;=12.5,50,LOOKUP(M622,{12.5,15,20,30,45,60,75,105,115,150,200,225,250,600,1000},{50,55,60,62,65,68,70,72,75,80,82,85,87,90,95})+(M622-LOOKUP(M622,{12.5,15,20,30,45,60,75,105,115,150,200,225,250,600},{12.5,15,20,30,45,60,75,105,115,150,200,225,250,600}))/(LOOKUP(M622,{12.5,15,20,30,45,60,75,105,115,150,200,225,250,600,1000},{15,20,30,45,60,75,105,115,150,200,225,250,600,1000,1000})-LOOKUP(M622,{12.5,15,20,30,45,60,75,105,115,150,200,225,250,600},{12.5,15,20,30,45,60,75,105,115,150,200,225,250,600}))*(LOOKUP(M622,{12.5,15,20,30,45,60,75,105,115,150,200,225,250,600,1000},{55,60,62,65,68,70,72,75,80,82,85,87,90,95,95})-LOOKUP(M622,{12.5,15,20,30,45,60,75,105,115,150,200,225,250,600,1000},{50,55,60,62,65,68,70,72,75,80,82,85,87,90,95})))))</f>
        <v>55</v>
      </c>
      <c r="P622" s="2">
        <f t="shared" si="48"/>
        <v>12</v>
      </c>
      <c r="Q622" s="2">
        <f t="shared" si="49"/>
        <v>5.67</v>
      </c>
    </row>
    <row r="623" customHeight="1" spans="1:17">
      <c r="B623" s="2">
        <v>622</v>
      </c>
      <c r="C623" s="17">
        <f t="shared" si="47"/>
        <v>65.37</v>
      </c>
      <c r="D623" s="2" t="s">
        <v>985</v>
      </c>
      <c r="E623" s="12">
        <v>65</v>
      </c>
      <c r="F623" s="2">
        <v>50</v>
      </c>
      <c r="G623" s="2">
        <v>32</v>
      </c>
      <c r="H623" s="2" t="s">
        <v>91</v>
      </c>
      <c r="I623" s="2" t="s">
        <v>28</v>
      </c>
      <c r="J623" s="4" t="s">
        <v>77</v>
      </c>
      <c r="M623" s="2">
        <f t="shared" si="45"/>
        <v>12.5</v>
      </c>
      <c r="N623" s="2">
        <f t="shared" si="46"/>
        <v>58.7</v>
      </c>
      <c r="O623" s="2">
        <f>IF(M623="","",IF(M623&gt;=1000,95,IF(M623&lt;=12.5,50,LOOKUP(M623,{12.5,15,20,30,45,60,75,105,115,150,200,225,250,600,1000},{50,55,60,62,65,68,70,72,75,80,82,85,87,90,95})+(M623-LOOKUP(M623,{12.5,15,20,30,45,60,75,105,115,150,200,225,250,600},{12.5,15,20,30,45,60,75,105,115,150,200,225,250,600}))/(LOOKUP(M623,{12.5,15,20,30,45,60,75,105,115,150,200,225,250,600,1000},{15,20,30,45,60,75,105,115,150,200,225,250,600,1000,1000})-LOOKUP(M623,{12.5,15,20,30,45,60,75,105,115,150,200,225,250,600},{12.5,15,20,30,45,60,75,105,115,150,200,225,250,600}))*(LOOKUP(M623,{12.5,15,20,30,45,60,75,105,115,150,200,225,250,600,1000},{55,60,62,65,68,70,72,75,80,82,85,87,90,95,95})-LOOKUP(M623,{12.5,15,20,30,45,60,75,105,115,150,200,225,250,600,1000},{50,55,60,62,65,68,70,72,75,80,82,85,87,90,95})))))</f>
        <v>50</v>
      </c>
      <c r="P623" s="2">
        <f t="shared" si="48"/>
        <v>15</v>
      </c>
      <c r="Q623" s="2">
        <f t="shared" si="49"/>
        <v>6.67</v>
      </c>
    </row>
    <row r="624" customHeight="1" spans="1:17">
      <c r="B624" s="2">
        <v>623</v>
      </c>
      <c r="C624" s="17">
        <f t="shared" si="47"/>
        <v>65.3</v>
      </c>
      <c r="D624" s="2" t="s">
        <v>986</v>
      </c>
      <c r="E624" s="12">
        <v>68</v>
      </c>
      <c r="F624" s="12">
        <v>65</v>
      </c>
      <c r="G624" s="12">
        <v>67</v>
      </c>
      <c r="H624" s="2" t="s">
        <v>489</v>
      </c>
      <c r="I624" s="2" t="s">
        <v>18</v>
      </c>
      <c r="J624" s="4" t="s">
        <v>105</v>
      </c>
      <c r="M624" s="2">
        <f t="shared" si="45"/>
        <v>105</v>
      </c>
      <c r="N624" s="2">
        <f t="shared" si="46"/>
        <v>67.3</v>
      </c>
      <c r="O624" s="2">
        <f>IF(M624="","",IF(M624&gt;=1000,95,IF(M624&lt;=12.5,50,LOOKUP(M624,{12.5,15,20,30,45,60,75,105,115,150,200,225,250,600,1000},{50,55,60,62,65,68,70,72,75,80,82,85,87,90,95})+(M624-LOOKUP(M624,{12.5,15,20,30,45,60,75,105,115,150,200,225,250,600},{12.5,15,20,30,45,60,75,105,115,150,200,225,250,600}))/(LOOKUP(M624,{12.5,15,20,30,45,60,75,105,115,150,200,225,250,600,1000},{15,20,30,45,60,75,105,115,150,200,225,250,600,1000,1000})-LOOKUP(M624,{12.5,15,20,30,45,60,75,105,115,150,200,225,250,600},{12.5,15,20,30,45,60,75,105,115,150,200,225,250,600}))*(LOOKUP(M624,{12.5,15,20,30,45,60,75,105,115,150,200,225,250,600,1000},{55,60,62,65,68,70,72,75,80,82,85,87,90,95,95})-LOOKUP(M624,{12.5,15,20,30,45,60,75,105,115,150,200,225,250,600,1000},{50,55,60,62,65,68,70,72,75,80,82,85,87,90,95})))))</f>
        <v>72</v>
      </c>
      <c r="P624" s="2">
        <f t="shared" si="48"/>
        <v>-4</v>
      </c>
      <c r="Q624" s="2">
        <f t="shared" si="49"/>
        <v>-2</v>
      </c>
    </row>
    <row r="625" customHeight="1" spans="1:17">
      <c r="B625" s="2">
        <v>624</v>
      </c>
      <c r="C625" s="17">
        <f t="shared" si="47"/>
        <v>65.3</v>
      </c>
      <c r="D625" s="2" t="s">
        <v>987</v>
      </c>
      <c r="E625" s="12">
        <v>68</v>
      </c>
      <c r="F625" s="12">
        <v>62</v>
      </c>
      <c r="G625" s="2">
        <v>53</v>
      </c>
      <c r="H625" s="2" t="s">
        <v>367</v>
      </c>
      <c r="I625" s="2" t="s">
        <v>33</v>
      </c>
      <c r="J625" s="4" t="s">
        <v>34</v>
      </c>
      <c r="M625" s="2">
        <f t="shared" si="45"/>
        <v>60</v>
      </c>
      <c r="N625" s="2">
        <f t="shared" si="46"/>
        <v>65.3</v>
      </c>
      <c r="O625" s="2">
        <f>IF(M625="","",IF(M625&gt;=1000,95,IF(M625&lt;=12.5,50,LOOKUP(M625,{12.5,15,20,30,45,60,75,105,115,150,200,225,250,600,1000},{50,55,60,62,65,68,70,72,75,80,82,85,87,90,95})+(M625-LOOKUP(M625,{12.5,15,20,30,45,60,75,105,115,150,200,225,250,600},{12.5,15,20,30,45,60,75,105,115,150,200,225,250,600}))/(LOOKUP(M625,{12.5,15,20,30,45,60,75,105,115,150,200,225,250,600,1000},{15,20,30,45,60,75,105,115,150,200,225,250,600,1000,1000})-LOOKUP(M625,{12.5,15,20,30,45,60,75,105,115,150,200,225,250,600},{12.5,15,20,30,45,60,75,105,115,150,200,225,250,600}))*(LOOKUP(M625,{12.5,15,20,30,45,60,75,105,115,150,200,225,250,600,1000},{55,60,62,65,68,70,72,75,80,82,85,87,90,95,95})-LOOKUP(M625,{12.5,15,20,30,45,60,75,105,115,150,200,225,250,600,1000},{50,55,60,62,65,68,70,72,75,80,82,85,87,90,95})))))</f>
        <v>68</v>
      </c>
      <c r="P625" s="2">
        <f t="shared" si="48"/>
        <v>0</v>
      </c>
      <c r="Q625" s="2">
        <f t="shared" si="49"/>
        <v>0</v>
      </c>
    </row>
    <row r="626" customHeight="1" spans="1:17">
      <c r="B626" s="2">
        <v>625</v>
      </c>
      <c r="C626" s="17">
        <f t="shared" si="47"/>
        <v>65.2</v>
      </c>
      <c r="D626" s="2" t="s">
        <v>988</v>
      </c>
      <c r="E626" s="12">
        <v>65</v>
      </c>
      <c r="F626" s="10">
        <v>88</v>
      </c>
      <c r="G626" s="9">
        <v>71</v>
      </c>
      <c r="H626" s="2" t="s">
        <v>41</v>
      </c>
      <c r="I626" s="2" t="s">
        <v>265</v>
      </c>
      <c r="J626" s="4" t="s">
        <v>148</v>
      </c>
      <c r="M626" s="2">
        <f t="shared" si="45"/>
        <v>115</v>
      </c>
      <c r="N626" s="2">
        <f t="shared" si="46"/>
        <v>70.2</v>
      </c>
      <c r="O626" s="2">
        <f>IF(M626="","",IF(M626&gt;=1000,95,IF(M626&lt;=12.5,50,LOOKUP(M626,{12.5,15,20,30,45,60,75,105,115,150,200,225,250,600,1000},{50,55,60,62,65,68,70,72,75,80,82,85,87,90,95})+(M626-LOOKUP(M626,{12.5,15,20,30,45,60,75,105,115,150,200,225,250,600},{12.5,15,20,30,45,60,75,105,115,150,200,225,250,600}))/(LOOKUP(M626,{12.5,15,20,30,45,60,75,105,115,150,200,225,250,600,1000},{15,20,30,45,60,75,105,115,150,200,225,250,600,1000,1000})-LOOKUP(M626,{12.5,15,20,30,45,60,75,105,115,150,200,225,250,600},{12.5,15,20,30,45,60,75,105,115,150,200,225,250,600}))*(LOOKUP(M626,{12.5,15,20,30,45,60,75,105,115,150,200,225,250,600,1000},{55,60,62,65,68,70,72,75,80,82,85,87,90,95,95})-LOOKUP(M626,{12.5,15,20,30,45,60,75,105,115,150,200,225,250,600,1000},{50,55,60,62,65,68,70,72,75,80,82,85,87,90,95})))))</f>
        <v>75</v>
      </c>
      <c r="P626" s="2">
        <f t="shared" si="48"/>
        <v>-10</v>
      </c>
      <c r="Q626" s="2">
        <f t="shared" si="49"/>
        <v>-5</v>
      </c>
    </row>
    <row r="627" customHeight="1" spans="1:17">
      <c r="B627" s="2">
        <v>626</v>
      </c>
      <c r="C627" s="17">
        <f t="shared" si="47"/>
        <v>65.2</v>
      </c>
      <c r="D627" s="2" t="s">
        <v>989</v>
      </c>
      <c r="E627" s="12">
        <v>68</v>
      </c>
      <c r="F627" s="12">
        <v>64</v>
      </c>
      <c r="G627" s="12">
        <v>68</v>
      </c>
      <c r="H627" s="2" t="s">
        <v>914</v>
      </c>
      <c r="I627" s="2" t="s">
        <v>239</v>
      </c>
      <c r="J627" s="4" t="s">
        <v>105</v>
      </c>
      <c r="M627" s="2">
        <f t="shared" si="45"/>
        <v>105</v>
      </c>
      <c r="N627" s="2">
        <f t="shared" si="46"/>
        <v>67.2</v>
      </c>
      <c r="O627" s="2">
        <f>IF(M627="","",IF(M627&gt;=1000,95,IF(M627&lt;=12.5,50,LOOKUP(M627,{12.5,15,20,30,45,60,75,105,115,150,200,225,250,600,1000},{50,55,60,62,65,68,70,72,75,80,82,85,87,90,95})+(M627-LOOKUP(M627,{12.5,15,20,30,45,60,75,105,115,150,200,225,250,600},{12.5,15,20,30,45,60,75,105,115,150,200,225,250,600}))/(LOOKUP(M627,{12.5,15,20,30,45,60,75,105,115,150,200,225,250,600,1000},{15,20,30,45,60,75,105,115,150,200,225,250,600,1000,1000})-LOOKUP(M627,{12.5,15,20,30,45,60,75,105,115,150,200,225,250,600},{12.5,15,20,30,45,60,75,105,115,150,200,225,250,600}))*(LOOKUP(M627,{12.5,15,20,30,45,60,75,105,115,150,200,225,250,600,1000},{55,60,62,65,68,70,72,75,80,82,85,87,90,95,95})-LOOKUP(M627,{12.5,15,20,30,45,60,75,105,115,150,200,225,250,600,1000},{50,55,60,62,65,68,70,72,75,80,82,85,87,90,95})))))</f>
        <v>72</v>
      </c>
      <c r="P627" s="2">
        <f t="shared" si="48"/>
        <v>-4</v>
      </c>
      <c r="Q627" s="2">
        <f t="shared" si="49"/>
        <v>-2</v>
      </c>
    </row>
    <row r="628" customHeight="1" spans="1:17">
      <c r="B628" s="2">
        <v>627</v>
      </c>
      <c r="C628" s="17">
        <f t="shared" si="47"/>
        <v>65.2</v>
      </c>
      <c r="D628" s="2" t="s">
        <v>990</v>
      </c>
      <c r="E628" s="9">
        <v>71</v>
      </c>
      <c r="F628" s="12">
        <v>66</v>
      </c>
      <c r="G628" s="12">
        <v>68</v>
      </c>
      <c r="H628" s="2" t="s">
        <v>991</v>
      </c>
      <c r="I628" s="2" t="s">
        <v>992</v>
      </c>
      <c r="J628" s="4" t="s">
        <v>59</v>
      </c>
      <c r="K628" s="2" t="s">
        <v>993</v>
      </c>
      <c r="M628" s="2">
        <f t="shared" si="45"/>
        <v>150</v>
      </c>
      <c r="N628" s="2">
        <f t="shared" si="46"/>
        <v>69.7</v>
      </c>
      <c r="O628" s="2">
        <f>IF(M628="","",IF(M628&gt;=1000,95,IF(M628&lt;=12.5,50,LOOKUP(M628,{12.5,15,20,30,45,60,75,105,115,150,200,225,250,600,1000},{50,55,60,62,65,68,70,72,75,80,82,85,87,90,95})+(M628-LOOKUP(M628,{12.5,15,20,30,45,60,75,105,115,150,200,225,250,600},{12.5,15,20,30,45,60,75,105,115,150,200,225,250,600}))/(LOOKUP(M628,{12.5,15,20,30,45,60,75,105,115,150,200,225,250,600,1000},{15,20,30,45,60,75,105,115,150,200,225,250,600,1000,1000})-LOOKUP(M628,{12.5,15,20,30,45,60,75,105,115,150,200,225,250,600},{12.5,15,20,30,45,60,75,105,115,150,200,225,250,600}))*(LOOKUP(M628,{12.5,15,20,30,45,60,75,105,115,150,200,225,250,600,1000},{55,60,62,65,68,70,72,75,80,82,85,87,90,95,95})-LOOKUP(M628,{12.5,15,20,30,45,60,75,105,115,150,200,225,250,600,1000},{50,55,60,62,65,68,70,72,75,80,82,85,87,90,95})))))</f>
        <v>80</v>
      </c>
      <c r="P628" s="2">
        <f t="shared" si="48"/>
        <v>-9</v>
      </c>
      <c r="Q628" s="2">
        <f t="shared" si="49"/>
        <v>-4.5</v>
      </c>
    </row>
    <row r="629" customHeight="1" spans="1:17">
      <c r="B629" s="2">
        <v>628</v>
      </c>
      <c r="C629" s="17">
        <f t="shared" si="47"/>
        <v>65.2</v>
      </c>
      <c r="D629" s="2" t="s">
        <v>994</v>
      </c>
      <c r="E629" s="9">
        <v>73</v>
      </c>
      <c r="F629" s="12">
        <v>60</v>
      </c>
      <c r="G629" s="2">
        <v>56</v>
      </c>
      <c r="H629" s="2" t="s">
        <v>339</v>
      </c>
      <c r="I629" s="2" t="s">
        <v>63</v>
      </c>
      <c r="J629" s="4" t="s">
        <v>59</v>
      </c>
      <c r="K629" s="2" t="s">
        <v>995</v>
      </c>
      <c r="M629" s="2">
        <f t="shared" si="45"/>
        <v>150</v>
      </c>
      <c r="N629" s="2">
        <f t="shared" si="46"/>
        <v>68.7</v>
      </c>
      <c r="O629" s="2">
        <f>IF(M629="","",IF(M629&gt;=1000,95,IF(M629&lt;=12.5,50,LOOKUP(M629,{12.5,15,20,30,45,60,75,105,115,150,200,225,250,600,1000},{50,55,60,62,65,68,70,72,75,80,82,85,87,90,95})+(M629-LOOKUP(M629,{12.5,15,20,30,45,60,75,105,115,150,200,225,250,600},{12.5,15,20,30,45,60,75,105,115,150,200,225,250,600}))/(LOOKUP(M629,{12.5,15,20,30,45,60,75,105,115,150,200,225,250,600,1000},{15,20,30,45,60,75,105,115,150,200,225,250,600,1000,1000})-LOOKUP(M629,{12.5,15,20,30,45,60,75,105,115,150,200,225,250,600},{12.5,15,20,30,45,60,75,105,115,150,200,225,250,600}))*(LOOKUP(M629,{12.5,15,20,30,45,60,75,105,115,150,200,225,250,600,1000},{55,60,62,65,68,70,72,75,80,82,85,87,90,95,95})-LOOKUP(M629,{12.5,15,20,30,45,60,75,105,115,150,200,225,250,600,1000},{50,55,60,62,65,68,70,72,75,80,82,85,87,90,95})))))</f>
        <v>80</v>
      </c>
      <c r="P629" s="2">
        <f t="shared" si="48"/>
        <v>-7</v>
      </c>
      <c r="Q629" s="2">
        <f t="shared" si="49"/>
        <v>-3.5</v>
      </c>
    </row>
    <row r="630" customHeight="1" spans="1:17">
      <c r="B630" s="2">
        <v>629</v>
      </c>
      <c r="C630" s="17">
        <f t="shared" si="47"/>
        <v>65.2</v>
      </c>
      <c r="D630" s="2" t="s">
        <v>996</v>
      </c>
      <c r="E630" s="9">
        <v>74</v>
      </c>
      <c r="F630" s="2">
        <v>58</v>
      </c>
      <c r="G630" s="2">
        <v>58</v>
      </c>
      <c r="H630" s="2" t="s">
        <v>997</v>
      </c>
      <c r="I630" s="2" t="s">
        <v>183</v>
      </c>
      <c r="J630" s="4" t="s">
        <v>51</v>
      </c>
      <c r="M630" s="2">
        <f t="shared" si="45"/>
        <v>200</v>
      </c>
      <c r="N630" s="2">
        <f t="shared" si="46"/>
        <v>69.2</v>
      </c>
      <c r="O630" s="2">
        <f>IF(M630="","",IF(M630&gt;=1000,95,IF(M630&lt;=12.5,50,LOOKUP(M630,{12.5,15,20,30,45,60,75,105,115,150,200,225,250,600,1000},{50,55,60,62,65,68,70,72,75,80,82,85,87,90,95})+(M630-LOOKUP(M630,{12.5,15,20,30,45,60,75,105,115,150,200,225,250,600},{12.5,15,20,30,45,60,75,105,115,150,200,225,250,600}))/(LOOKUP(M630,{12.5,15,20,30,45,60,75,105,115,150,200,225,250,600,1000},{15,20,30,45,60,75,105,115,150,200,225,250,600,1000,1000})-LOOKUP(M630,{12.5,15,20,30,45,60,75,105,115,150,200,225,250,600},{12.5,15,20,30,45,60,75,105,115,150,200,225,250,600}))*(LOOKUP(M630,{12.5,15,20,30,45,60,75,105,115,150,200,225,250,600,1000},{55,60,62,65,68,70,72,75,80,82,85,87,90,95,95})-LOOKUP(M630,{12.5,15,20,30,45,60,75,105,115,150,200,225,250,600,1000},{50,55,60,62,65,68,70,72,75,80,82,85,87,90,95})))))</f>
        <v>82</v>
      </c>
      <c r="P630" s="2">
        <f t="shared" si="48"/>
        <v>-8</v>
      </c>
      <c r="Q630" s="2">
        <f t="shared" si="49"/>
        <v>-4</v>
      </c>
    </row>
    <row r="631" customHeight="1" spans="1:17">
      <c r="B631" s="2">
        <v>630</v>
      </c>
      <c r="C631" s="17">
        <f t="shared" si="47"/>
        <v>65.2</v>
      </c>
      <c r="D631" s="2" t="s">
        <v>998</v>
      </c>
      <c r="E631" s="12">
        <v>65</v>
      </c>
      <c r="F631" s="2">
        <v>54</v>
      </c>
      <c r="G631" s="2">
        <v>39</v>
      </c>
      <c r="H631" s="2" t="s">
        <v>37</v>
      </c>
      <c r="I631" s="2" t="s">
        <v>28</v>
      </c>
      <c r="J631" s="4" t="s">
        <v>29</v>
      </c>
      <c r="M631" s="2">
        <f t="shared" si="45"/>
        <v>15</v>
      </c>
      <c r="N631" s="2">
        <f t="shared" si="46"/>
        <v>60.2</v>
      </c>
      <c r="O631" s="2">
        <f>IF(M631="","",IF(M631&gt;=1000,95,IF(M631&lt;=12.5,50,LOOKUP(M631,{12.5,15,20,30,45,60,75,105,115,150,200,225,250,600,1000},{50,55,60,62,65,68,70,72,75,80,82,85,87,90,95})+(M631-LOOKUP(M631,{12.5,15,20,30,45,60,75,105,115,150,200,225,250,600},{12.5,15,20,30,45,60,75,105,115,150,200,225,250,600}))/(LOOKUP(M631,{12.5,15,20,30,45,60,75,105,115,150,200,225,250,600,1000},{15,20,30,45,60,75,105,115,150,200,225,250,600,1000,1000})-LOOKUP(M631,{12.5,15,20,30,45,60,75,105,115,150,200,225,250,600},{12.5,15,20,30,45,60,75,105,115,150,200,225,250,600}))*(LOOKUP(M631,{12.5,15,20,30,45,60,75,105,115,150,200,225,250,600,1000},{55,60,62,65,68,70,72,75,80,82,85,87,90,95,95})-LOOKUP(M631,{12.5,15,20,30,45,60,75,105,115,150,200,225,250,600,1000},{50,55,60,62,65,68,70,72,75,80,82,85,87,90,95})))))</f>
        <v>55</v>
      </c>
      <c r="P631" s="2">
        <f t="shared" si="48"/>
        <v>10</v>
      </c>
      <c r="Q631" s="2">
        <f t="shared" si="49"/>
        <v>5</v>
      </c>
    </row>
    <row r="632" customHeight="1" spans="1:17">
      <c r="B632" s="2">
        <v>631</v>
      </c>
      <c r="C632" s="17">
        <f t="shared" si="47"/>
        <v>65.2</v>
      </c>
      <c r="D632" s="2" t="s">
        <v>999</v>
      </c>
      <c r="E632" s="9">
        <v>70</v>
      </c>
      <c r="F632" s="2">
        <v>51</v>
      </c>
      <c r="G632" s="2">
        <v>50</v>
      </c>
      <c r="H632" s="2" t="s">
        <v>1000</v>
      </c>
      <c r="I632" s="2" t="s">
        <v>33</v>
      </c>
      <c r="J632" s="4" t="s">
        <v>34</v>
      </c>
      <c r="M632" s="2">
        <f t="shared" si="45"/>
        <v>60</v>
      </c>
      <c r="N632" s="2">
        <f t="shared" si="46"/>
        <v>64.2</v>
      </c>
      <c r="O632" s="2">
        <f>IF(M632="","",IF(M632&gt;=1000,95,IF(M632&lt;=12.5,50,LOOKUP(M632,{12.5,15,20,30,45,60,75,105,115,150,200,225,250,600,1000},{50,55,60,62,65,68,70,72,75,80,82,85,87,90,95})+(M632-LOOKUP(M632,{12.5,15,20,30,45,60,75,105,115,150,200,225,250,600},{12.5,15,20,30,45,60,75,105,115,150,200,225,250,600}))/(LOOKUP(M632,{12.5,15,20,30,45,60,75,105,115,150,200,225,250,600,1000},{15,20,30,45,60,75,105,115,150,200,225,250,600,1000,1000})-LOOKUP(M632,{12.5,15,20,30,45,60,75,105,115,150,200,225,250,600},{12.5,15,20,30,45,60,75,105,115,150,200,225,250,600}))*(LOOKUP(M632,{12.5,15,20,30,45,60,75,105,115,150,200,225,250,600,1000},{55,60,62,65,68,70,72,75,80,82,85,87,90,95,95})-LOOKUP(M632,{12.5,15,20,30,45,60,75,105,115,150,200,225,250,600,1000},{50,55,60,62,65,68,70,72,75,80,82,85,87,90,95})))))</f>
        <v>68</v>
      </c>
      <c r="P632" s="2">
        <f t="shared" si="48"/>
        <v>2</v>
      </c>
      <c r="Q632" s="2">
        <f t="shared" si="49"/>
        <v>1</v>
      </c>
    </row>
    <row r="633" customHeight="1" spans="1:17">
      <c r="B633" s="2">
        <v>632</v>
      </c>
      <c r="C633" s="17">
        <f t="shared" si="47"/>
        <v>65.1</v>
      </c>
      <c r="D633" s="2" t="s">
        <v>1001</v>
      </c>
      <c r="E633" s="12">
        <v>66</v>
      </c>
      <c r="F633" s="12">
        <v>67</v>
      </c>
      <c r="G633" s="9">
        <v>75</v>
      </c>
      <c r="H633" s="2" t="s">
        <v>353</v>
      </c>
      <c r="I633" s="2" t="s">
        <v>354</v>
      </c>
      <c r="J633" s="4" t="s">
        <v>24</v>
      </c>
      <c r="M633" s="2">
        <f t="shared" si="45"/>
        <v>75</v>
      </c>
      <c r="N633" s="2">
        <f t="shared" si="46"/>
        <v>67.1</v>
      </c>
      <c r="O633" s="2">
        <f>IF(M633="","",IF(M633&gt;=1000,95,IF(M633&lt;=12.5,50,LOOKUP(M633,{12.5,15,20,30,45,60,75,105,115,150,200,225,250,600,1000},{50,55,60,62,65,68,70,72,75,80,82,85,87,90,95})+(M633-LOOKUP(M633,{12.5,15,20,30,45,60,75,105,115,150,200,225,250,600},{12.5,15,20,30,45,60,75,105,115,150,200,225,250,600}))/(LOOKUP(M633,{12.5,15,20,30,45,60,75,105,115,150,200,225,250,600,1000},{15,20,30,45,60,75,105,115,150,200,225,250,600,1000,1000})-LOOKUP(M633,{12.5,15,20,30,45,60,75,105,115,150,200,225,250,600},{12.5,15,20,30,45,60,75,105,115,150,200,225,250,600}))*(LOOKUP(M633,{12.5,15,20,30,45,60,75,105,115,150,200,225,250,600,1000},{55,60,62,65,68,70,72,75,80,82,85,87,90,95,95})-LOOKUP(M633,{12.5,15,20,30,45,60,75,105,115,150,200,225,250,600,1000},{50,55,60,62,65,68,70,72,75,80,82,85,87,90,95})))))</f>
        <v>70</v>
      </c>
      <c r="P633" s="2">
        <f t="shared" si="48"/>
        <v>-4</v>
      </c>
      <c r="Q633" s="2">
        <f t="shared" si="49"/>
        <v>-2</v>
      </c>
    </row>
    <row r="634" customHeight="1" spans="1:17">
      <c r="A634" s="2">
        <v>2026</v>
      </c>
      <c r="B634" s="2">
        <v>633</v>
      </c>
      <c r="C634" s="17">
        <f t="shared" si="47"/>
        <v>65.1</v>
      </c>
      <c r="D634" s="2" t="s">
        <v>1002</v>
      </c>
      <c r="E634" s="12">
        <v>66</v>
      </c>
      <c r="F634" s="12">
        <v>62</v>
      </c>
      <c r="G634" s="12">
        <v>60</v>
      </c>
      <c r="H634" s="2" t="s">
        <v>116</v>
      </c>
      <c r="I634" s="2" t="s">
        <v>104</v>
      </c>
      <c r="J634" s="4" t="s">
        <v>38</v>
      </c>
      <c r="M634" s="2">
        <f t="shared" si="45"/>
        <v>45</v>
      </c>
      <c r="N634" s="2">
        <f t="shared" si="46"/>
        <v>64.6</v>
      </c>
      <c r="O634" s="2">
        <f>IF(M634="","",IF(M634&gt;=1000,95,IF(M634&lt;=12.5,50,LOOKUP(M634,{12.5,15,20,30,45,60,75,105,115,150,200,225,250,600,1000},{50,55,60,62,65,68,70,72,75,80,82,85,87,90,95})+(M634-LOOKUP(M634,{12.5,15,20,30,45,60,75,105,115,150,200,225,250,600},{12.5,15,20,30,45,60,75,105,115,150,200,225,250,600}))/(LOOKUP(M634,{12.5,15,20,30,45,60,75,105,115,150,200,225,250,600,1000},{15,20,30,45,60,75,105,115,150,200,225,250,600,1000,1000})-LOOKUP(M634,{12.5,15,20,30,45,60,75,105,115,150,200,225,250,600},{12.5,15,20,30,45,60,75,105,115,150,200,225,250,600}))*(LOOKUP(M634,{12.5,15,20,30,45,60,75,105,115,150,200,225,250,600,1000},{55,60,62,65,68,70,72,75,80,82,85,87,90,95,95})-LOOKUP(M634,{12.5,15,20,30,45,60,75,105,115,150,200,225,250,600,1000},{50,55,60,62,65,68,70,72,75,80,82,85,87,90,95})))))</f>
        <v>65</v>
      </c>
      <c r="P634" s="2">
        <f t="shared" si="48"/>
        <v>1</v>
      </c>
      <c r="Q634" s="2">
        <f t="shared" si="49"/>
        <v>0.5</v>
      </c>
    </row>
    <row r="635" customHeight="1" spans="1:17">
      <c r="B635" s="2">
        <v>634</v>
      </c>
      <c r="C635" s="17">
        <f t="shared" si="47"/>
        <v>65.1</v>
      </c>
      <c r="D635" s="2" t="s">
        <v>1003</v>
      </c>
      <c r="E635" s="9">
        <v>70</v>
      </c>
      <c r="F635" s="12">
        <v>62</v>
      </c>
      <c r="G635" s="12">
        <v>62</v>
      </c>
      <c r="H635" s="2" t="s">
        <v>743</v>
      </c>
      <c r="I635" s="2" t="s">
        <v>28</v>
      </c>
      <c r="J635" s="4" t="s">
        <v>148</v>
      </c>
      <c r="M635" s="2">
        <f t="shared" si="45"/>
        <v>115</v>
      </c>
      <c r="N635" s="2">
        <f t="shared" si="46"/>
        <v>67.6</v>
      </c>
      <c r="O635" s="2">
        <f>IF(M635="","",IF(M635&gt;=1000,95,IF(M635&lt;=12.5,50,LOOKUP(M635,{12.5,15,20,30,45,60,75,105,115,150,200,225,250,600,1000},{50,55,60,62,65,68,70,72,75,80,82,85,87,90,95})+(M635-LOOKUP(M635,{12.5,15,20,30,45,60,75,105,115,150,200,225,250,600},{12.5,15,20,30,45,60,75,105,115,150,200,225,250,600}))/(LOOKUP(M635,{12.5,15,20,30,45,60,75,105,115,150,200,225,250,600,1000},{15,20,30,45,60,75,105,115,150,200,225,250,600,1000,1000})-LOOKUP(M635,{12.5,15,20,30,45,60,75,105,115,150,200,225,250,600},{12.5,15,20,30,45,60,75,105,115,150,200,225,250,600}))*(LOOKUP(M635,{12.5,15,20,30,45,60,75,105,115,150,200,225,250,600,1000},{55,60,62,65,68,70,72,75,80,82,85,87,90,95,95})-LOOKUP(M635,{12.5,15,20,30,45,60,75,105,115,150,200,225,250,600,1000},{50,55,60,62,65,68,70,72,75,80,82,85,87,90,95})))))</f>
        <v>75</v>
      </c>
      <c r="P635" s="2">
        <f t="shared" si="48"/>
        <v>-5</v>
      </c>
      <c r="Q635" s="2">
        <f t="shared" si="49"/>
        <v>-2.5</v>
      </c>
    </row>
    <row r="636" customHeight="1" spans="1:17">
      <c r="B636" s="2">
        <v>635</v>
      </c>
      <c r="C636" s="17">
        <f t="shared" si="47"/>
        <v>65.1</v>
      </c>
      <c r="D636" s="2" t="s">
        <v>1004</v>
      </c>
      <c r="E636" s="9">
        <v>70</v>
      </c>
      <c r="F636" s="12">
        <v>62</v>
      </c>
      <c r="G636" s="12">
        <v>62</v>
      </c>
      <c r="H636" s="2" t="s">
        <v>41</v>
      </c>
      <c r="I636" s="2" t="s">
        <v>154</v>
      </c>
      <c r="J636" s="4" t="s">
        <v>148</v>
      </c>
      <c r="M636" s="2">
        <f t="shared" si="45"/>
        <v>115</v>
      </c>
      <c r="N636" s="2">
        <f t="shared" si="46"/>
        <v>67.6</v>
      </c>
      <c r="O636" s="2">
        <f>IF(M636="","",IF(M636&gt;=1000,95,IF(M636&lt;=12.5,50,LOOKUP(M636,{12.5,15,20,30,45,60,75,105,115,150,200,225,250,600,1000},{50,55,60,62,65,68,70,72,75,80,82,85,87,90,95})+(M636-LOOKUP(M636,{12.5,15,20,30,45,60,75,105,115,150,200,225,250,600},{12.5,15,20,30,45,60,75,105,115,150,200,225,250,600}))/(LOOKUP(M636,{12.5,15,20,30,45,60,75,105,115,150,200,225,250,600,1000},{15,20,30,45,60,75,105,115,150,200,225,250,600,1000,1000})-LOOKUP(M636,{12.5,15,20,30,45,60,75,105,115,150,200,225,250,600},{12.5,15,20,30,45,60,75,105,115,150,200,225,250,600}))*(LOOKUP(M636,{12.5,15,20,30,45,60,75,105,115,150,200,225,250,600,1000},{55,60,62,65,68,70,72,75,80,82,85,87,90,95,95})-LOOKUP(M636,{12.5,15,20,30,45,60,75,105,115,150,200,225,250,600,1000},{50,55,60,62,65,68,70,72,75,80,82,85,87,90,95})))))</f>
        <v>75</v>
      </c>
      <c r="P636" s="2">
        <f t="shared" si="48"/>
        <v>-5</v>
      </c>
      <c r="Q636" s="2">
        <f t="shared" si="49"/>
        <v>-2.5</v>
      </c>
    </row>
    <row r="637" customHeight="1" spans="1:17">
      <c r="B637" s="2">
        <v>636</v>
      </c>
      <c r="C637" s="17">
        <f t="shared" si="47"/>
        <v>65.1</v>
      </c>
      <c r="D637" s="2" t="s">
        <v>1005</v>
      </c>
      <c r="E637" s="12">
        <v>64</v>
      </c>
      <c r="F637" s="2">
        <v>53</v>
      </c>
      <c r="G637" s="2">
        <v>52</v>
      </c>
      <c r="H637" s="2" t="s">
        <v>37</v>
      </c>
      <c r="I637" s="2" t="s">
        <v>28</v>
      </c>
      <c r="J637" s="4" t="s">
        <v>29</v>
      </c>
      <c r="M637" s="2">
        <f t="shared" si="45"/>
        <v>15</v>
      </c>
      <c r="N637" s="2">
        <f t="shared" si="46"/>
        <v>60.6</v>
      </c>
      <c r="O637" s="2">
        <f>IF(M637="","",IF(M637&gt;=1000,95,IF(M637&lt;=12.5,50,LOOKUP(M637,{12.5,15,20,30,45,60,75,105,115,150,200,225,250,600,1000},{50,55,60,62,65,68,70,72,75,80,82,85,87,90,95})+(M637-LOOKUP(M637,{12.5,15,20,30,45,60,75,105,115,150,200,225,250,600},{12.5,15,20,30,45,60,75,105,115,150,200,225,250,600}))/(LOOKUP(M637,{12.5,15,20,30,45,60,75,105,115,150,200,225,250,600,1000},{15,20,30,45,60,75,105,115,150,200,225,250,600,1000,1000})-LOOKUP(M637,{12.5,15,20,30,45,60,75,105,115,150,200,225,250,600},{12.5,15,20,30,45,60,75,105,115,150,200,225,250,600}))*(LOOKUP(M637,{12.5,15,20,30,45,60,75,105,115,150,200,225,250,600,1000},{55,60,62,65,68,70,72,75,80,82,85,87,90,95,95})-LOOKUP(M637,{12.5,15,20,30,45,60,75,105,115,150,200,225,250,600,1000},{50,55,60,62,65,68,70,72,75,80,82,85,87,90,95})))))</f>
        <v>55</v>
      </c>
      <c r="P637" s="2">
        <f t="shared" si="48"/>
        <v>9</v>
      </c>
      <c r="Q637" s="2">
        <f t="shared" si="49"/>
        <v>4.5</v>
      </c>
    </row>
    <row r="638" customHeight="1" spans="1:17">
      <c r="B638" s="2">
        <v>637</v>
      </c>
      <c r="C638" s="17">
        <f t="shared" si="47"/>
        <v>65.1</v>
      </c>
      <c r="D638" s="2" t="s">
        <v>1006</v>
      </c>
      <c r="E638" s="9">
        <v>71</v>
      </c>
      <c r="F638" s="2">
        <v>55</v>
      </c>
      <c r="G638" s="12">
        <v>64</v>
      </c>
      <c r="H638" s="2" t="s">
        <v>41</v>
      </c>
      <c r="I638" s="2" t="s">
        <v>63</v>
      </c>
      <c r="J638" s="4" t="s">
        <v>148</v>
      </c>
      <c r="M638" s="2">
        <f t="shared" si="45"/>
        <v>115</v>
      </c>
      <c r="N638" s="2">
        <f t="shared" si="46"/>
        <v>67.1</v>
      </c>
      <c r="O638" s="2">
        <f>IF(M638="","",IF(M638&gt;=1000,95,IF(M638&lt;=12.5,50,LOOKUP(M638,{12.5,15,20,30,45,60,75,105,115,150,200,225,250,600,1000},{50,55,60,62,65,68,70,72,75,80,82,85,87,90,95})+(M638-LOOKUP(M638,{12.5,15,20,30,45,60,75,105,115,150,200,225,250,600},{12.5,15,20,30,45,60,75,105,115,150,200,225,250,600}))/(LOOKUP(M638,{12.5,15,20,30,45,60,75,105,115,150,200,225,250,600,1000},{15,20,30,45,60,75,105,115,150,200,225,250,600,1000,1000})-LOOKUP(M638,{12.5,15,20,30,45,60,75,105,115,150,200,225,250,600},{12.5,15,20,30,45,60,75,105,115,150,200,225,250,600}))*(LOOKUP(M638,{12.5,15,20,30,45,60,75,105,115,150,200,225,250,600,1000},{55,60,62,65,68,70,72,75,80,82,85,87,90,95,95})-LOOKUP(M638,{12.5,15,20,30,45,60,75,105,115,150,200,225,250,600,1000},{50,55,60,62,65,68,70,72,75,80,82,85,87,90,95})))))</f>
        <v>75</v>
      </c>
      <c r="P638" s="2">
        <f t="shared" si="48"/>
        <v>-4</v>
      </c>
      <c r="Q638" s="2">
        <f t="shared" si="49"/>
        <v>-2</v>
      </c>
    </row>
    <row r="639" customHeight="1" spans="1:17">
      <c r="B639" s="2">
        <v>638</v>
      </c>
      <c r="C639" s="17">
        <f t="shared" si="47"/>
        <v>65.03</v>
      </c>
      <c r="D639" s="2" t="s">
        <v>1007</v>
      </c>
      <c r="E639" s="12">
        <v>68</v>
      </c>
      <c r="F639" s="9">
        <v>78</v>
      </c>
      <c r="G639" s="9">
        <v>75</v>
      </c>
      <c r="H639" s="2" t="s">
        <v>665</v>
      </c>
      <c r="I639" s="2" t="s">
        <v>666</v>
      </c>
      <c r="J639" s="4" t="s">
        <v>59</v>
      </c>
      <c r="M639" s="2">
        <f t="shared" si="45"/>
        <v>150</v>
      </c>
      <c r="N639" s="2">
        <f t="shared" si="46"/>
        <v>70.7</v>
      </c>
      <c r="O639" s="2">
        <f>IF(M639="","",IF(M639&gt;=1000,95,IF(M639&lt;=12.5,50,LOOKUP(M639,{12.5,15,20,30,45,60,75,105,115,150,200,225,250,600,1000},{50,55,60,62,65,68,70,72,75,80,82,85,87,90,95})+(M639-LOOKUP(M639,{12.5,15,20,30,45,60,75,105,115,150,200,225,250,600},{12.5,15,20,30,45,60,75,105,115,150,200,225,250,600}))/(LOOKUP(M639,{12.5,15,20,30,45,60,75,105,115,150,200,225,250,600,1000},{15,20,30,45,60,75,105,115,150,200,225,250,600,1000,1000})-LOOKUP(M639,{12.5,15,20,30,45,60,75,105,115,150,200,225,250,600},{12.5,15,20,30,45,60,75,105,115,150,200,225,250,600}))*(LOOKUP(M639,{12.5,15,20,30,45,60,75,105,115,150,200,225,250,600,1000},{55,60,62,65,68,70,72,75,80,82,85,87,90,95,95})-LOOKUP(M639,{12.5,15,20,30,45,60,75,105,115,150,200,225,250,600,1000},{50,55,60,62,65,68,70,72,75,80,82,85,87,90,95})))))</f>
        <v>80</v>
      </c>
      <c r="P639" s="2">
        <f t="shared" si="48"/>
        <v>-12</v>
      </c>
      <c r="Q639" s="2">
        <f t="shared" si="49"/>
        <v>-5.67</v>
      </c>
    </row>
    <row r="640" customHeight="1" spans="1:17">
      <c r="A640" s="2">
        <v>2026</v>
      </c>
      <c r="B640" s="2">
        <v>639</v>
      </c>
      <c r="C640" s="17">
        <f t="shared" si="47"/>
        <v>65</v>
      </c>
      <c r="D640" s="2" t="s">
        <v>1008</v>
      </c>
      <c r="E640" s="12">
        <v>68</v>
      </c>
      <c r="F640" s="12">
        <v>64</v>
      </c>
      <c r="G640" s="2">
        <v>56</v>
      </c>
      <c r="H640" s="2" t="s">
        <v>54</v>
      </c>
      <c r="I640" s="2" t="s">
        <v>612</v>
      </c>
      <c r="J640" s="4" t="s">
        <v>24</v>
      </c>
      <c r="M640" s="2">
        <f t="shared" si="45"/>
        <v>75</v>
      </c>
      <c r="N640" s="2">
        <f t="shared" si="46"/>
        <v>66</v>
      </c>
      <c r="O640" s="2">
        <f>IF(M640="","",IF(M640&gt;=1000,95,IF(M640&lt;=12.5,50,LOOKUP(M640,{12.5,15,20,30,45,60,75,105,115,150,200,225,250,600,1000},{50,55,60,62,65,68,70,72,75,80,82,85,87,90,95})+(M640-LOOKUP(M640,{12.5,15,20,30,45,60,75,105,115,150,200,225,250,600},{12.5,15,20,30,45,60,75,105,115,150,200,225,250,600}))/(LOOKUP(M640,{12.5,15,20,30,45,60,75,105,115,150,200,225,250,600,1000},{15,20,30,45,60,75,105,115,150,200,225,250,600,1000,1000})-LOOKUP(M640,{12.5,15,20,30,45,60,75,105,115,150,200,225,250,600},{12.5,15,20,30,45,60,75,105,115,150,200,225,250,600}))*(LOOKUP(M640,{12.5,15,20,30,45,60,75,105,115,150,200,225,250,600,1000},{55,60,62,65,68,70,72,75,80,82,85,87,90,95,95})-LOOKUP(M640,{12.5,15,20,30,45,60,75,105,115,150,200,225,250,600,1000},{50,55,60,62,65,68,70,72,75,80,82,85,87,90,95})))))</f>
        <v>70</v>
      </c>
      <c r="P640" s="2">
        <f t="shared" si="48"/>
        <v>-2</v>
      </c>
      <c r="Q640" s="2">
        <f t="shared" si="49"/>
        <v>-1</v>
      </c>
    </row>
    <row r="641" customHeight="1" spans="1:17">
      <c r="A641" s="2">
        <v>2026</v>
      </c>
      <c r="B641" s="2">
        <v>640</v>
      </c>
      <c r="C641" s="17">
        <f t="shared" si="47"/>
        <v>65</v>
      </c>
      <c r="D641" s="2" t="s">
        <v>1009</v>
      </c>
      <c r="E641" s="12">
        <v>68</v>
      </c>
      <c r="F641" s="2">
        <v>53</v>
      </c>
      <c r="G641" s="2">
        <v>28</v>
      </c>
      <c r="H641" s="2" t="s">
        <v>231</v>
      </c>
      <c r="I641" s="2" t="s">
        <v>321</v>
      </c>
      <c r="J641" s="4" t="s">
        <v>140</v>
      </c>
      <c r="M641" s="2">
        <f t="shared" si="45"/>
        <v>20</v>
      </c>
      <c r="N641" s="2">
        <f t="shared" si="46"/>
        <v>61</v>
      </c>
      <c r="O641" s="2">
        <f>IF(M641="","",IF(M641&gt;=1000,95,IF(M641&lt;=12.5,50,LOOKUP(M641,{12.5,15,20,30,45,60,75,105,115,150,200,225,250,600,1000},{50,55,60,62,65,68,70,72,75,80,82,85,87,90,95})+(M641-LOOKUP(M641,{12.5,15,20,30,45,60,75,105,115,150,200,225,250,600},{12.5,15,20,30,45,60,75,105,115,150,200,225,250,600}))/(LOOKUP(M641,{12.5,15,20,30,45,60,75,105,115,150,200,225,250,600,1000},{15,20,30,45,60,75,105,115,150,200,225,250,600,1000,1000})-LOOKUP(M641,{12.5,15,20,30,45,60,75,105,115,150,200,225,250,600},{12.5,15,20,30,45,60,75,105,115,150,200,225,250,600}))*(LOOKUP(M641,{12.5,15,20,30,45,60,75,105,115,150,200,225,250,600,1000},{55,60,62,65,68,70,72,75,80,82,85,87,90,95,95})-LOOKUP(M641,{12.5,15,20,30,45,60,75,105,115,150,200,225,250,600,1000},{50,55,60,62,65,68,70,72,75,80,82,85,87,90,95})))))</f>
        <v>60</v>
      </c>
      <c r="P641" s="2">
        <f t="shared" si="48"/>
        <v>8</v>
      </c>
      <c r="Q641" s="2">
        <f t="shared" si="49"/>
        <v>4</v>
      </c>
    </row>
    <row r="642" customHeight="1" spans="1:17">
      <c r="B642" s="2">
        <v>641</v>
      </c>
      <c r="C642" s="17">
        <f t="shared" si="47"/>
        <v>65</v>
      </c>
      <c r="D642" s="2" t="s">
        <v>1010</v>
      </c>
      <c r="E642" s="12">
        <v>69</v>
      </c>
      <c r="F642" s="12">
        <v>66</v>
      </c>
      <c r="G642" s="12">
        <v>65</v>
      </c>
      <c r="H642" s="2" t="s">
        <v>41</v>
      </c>
      <c r="I642" s="2" t="s">
        <v>58</v>
      </c>
      <c r="J642" s="4" t="s">
        <v>148</v>
      </c>
      <c r="M642" s="2">
        <f t="shared" ref="M642:M705" si="50">IF(J642="1000+",1000,(LEFT(J642,FIND("-",J642)-1)+RIGHT(J642,LEN(J642)-FIND("-",J642)))/2)</f>
        <v>115</v>
      </c>
      <c r="N642" s="2">
        <f t="shared" ref="N642:N705" si="51">ROUND(E642*0.7+F642*0.2+G642*0.1,2)</f>
        <v>68</v>
      </c>
      <c r="O642" s="2">
        <f>IF(M642="","",IF(M642&gt;=1000,95,IF(M642&lt;=12.5,50,LOOKUP(M642,{12.5,15,20,30,45,60,75,105,115,150,200,225,250,600,1000},{50,55,60,62,65,68,70,72,75,80,82,85,87,90,95})+(M642-LOOKUP(M642,{12.5,15,20,30,45,60,75,105,115,150,200,225,250,600},{12.5,15,20,30,45,60,75,105,115,150,200,225,250,600}))/(LOOKUP(M642,{12.5,15,20,30,45,60,75,105,115,150,200,225,250,600,1000},{15,20,30,45,60,75,105,115,150,200,225,250,600,1000,1000})-LOOKUP(M642,{12.5,15,20,30,45,60,75,105,115,150,200,225,250,600},{12.5,15,20,30,45,60,75,105,115,150,200,225,250,600}))*(LOOKUP(M642,{12.5,15,20,30,45,60,75,105,115,150,200,225,250,600,1000},{55,60,62,65,68,70,72,75,80,82,85,87,90,95,95})-LOOKUP(M642,{12.5,15,20,30,45,60,75,105,115,150,200,225,250,600,1000},{50,55,60,62,65,68,70,72,75,80,82,85,87,90,95})))))</f>
        <v>75</v>
      </c>
      <c r="P642" s="2">
        <f t="shared" si="48"/>
        <v>-6</v>
      </c>
      <c r="Q642" s="2">
        <f t="shared" si="49"/>
        <v>-3</v>
      </c>
    </row>
    <row r="643" customHeight="1" spans="1:17">
      <c r="B643" s="2">
        <v>642</v>
      </c>
      <c r="C643" s="17">
        <f t="shared" si="47"/>
        <v>65</v>
      </c>
      <c r="D643" s="2" t="s">
        <v>1011</v>
      </c>
      <c r="E643" s="12">
        <v>65</v>
      </c>
      <c r="F643" s="2">
        <v>56</v>
      </c>
      <c r="G643" s="12">
        <v>68</v>
      </c>
      <c r="H643" s="2" t="s">
        <v>524</v>
      </c>
      <c r="I643" s="2" t="s">
        <v>503</v>
      </c>
      <c r="J643" s="4" t="s">
        <v>88</v>
      </c>
      <c r="M643" s="2">
        <f t="shared" si="50"/>
        <v>30</v>
      </c>
      <c r="N643" s="2">
        <f t="shared" si="51"/>
        <v>63.5</v>
      </c>
      <c r="O643" s="2">
        <f>IF(M643="","",IF(M643&gt;=1000,95,IF(M643&lt;=12.5,50,LOOKUP(M643,{12.5,15,20,30,45,60,75,105,115,150,200,225,250,600,1000},{50,55,60,62,65,68,70,72,75,80,82,85,87,90,95})+(M643-LOOKUP(M643,{12.5,15,20,30,45,60,75,105,115,150,200,225,250,600},{12.5,15,20,30,45,60,75,105,115,150,200,225,250,600}))/(LOOKUP(M643,{12.5,15,20,30,45,60,75,105,115,150,200,225,250,600,1000},{15,20,30,45,60,75,105,115,150,200,225,250,600,1000,1000})-LOOKUP(M643,{12.5,15,20,30,45,60,75,105,115,150,200,225,250,600},{12.5,15,20,30,45,60,75,105,115,150,200,225,250,600}))*(LOOKUP(M643,{12.5,15,20,30,45,60,75,105,115,150,200,225,250,600,1000},{55,60,62,65,68,70,72,75,80,82,85,87,90,95,95})-LOOKUP(M643,{12.5,15,20,30,45,60,75,105,115,150,200,225,250,600,1000},{50,55,60,62,65,68,70,72,75,80,82,85,87,90,95})))))</f>
        <v>62</v>
      </c>
      <c r="P643" s="2">
        <f t="shared" si="48"/>
        <v>3</v>
      </c>
      <c r="Q643" s="2">
        <f t="shared" si="49"/>
        <v>1.5</v>
      </c>
    </row>
    <row r="644" customHeight="1" spans="1:17">
      <c r="B644" s="2">
        <v>643</v>
      </c>
      <c r="C644" s="17">
        <f t="shared" si="47"/>
        <v>65</v>
      </c>
      <c r="D644" s="2" t="s">
        <v>1012</v>
      </c>
      <c r="E644" s="9">
        <v>70</v>
      </c>
      <c r="F644" s="9">
        <v>70</v>
      </c>
      <c r="G644" s="2">
        <v>45</v>
      </c>
      <c r="H644" s="2" t="s">
        <v>1013</v>
      </c>
      <c r="I644" s="2" t="s">
        <v>932</v>
      </c>
      <c r="J644" s="4" t="s">
        <v>148</v>
      </c>
      <c r="K644" s="2" t="s">
        <v>1014</v>
      </c>
      <c r="M644" s="2">
        <f t="shared" si="50"/>
        <v>115</v>
      </c>
      <c r="N644" s="2">
        <f t="shared" si="51"/>
        <v>67.5</v>
      </c>
      <c r="O644" s="2">
        <f>IF(M644="","",IF(M644&gt;=1000,95,IF(M644&lt;=12.5,50,LOOKUP(M644,{12.5,15,20,30,45,60,75,105,115,150,200,225,250,600,1000},{50,55,60,62,65,68,70,72,75,80,82,85,87,90,95})+(M644-LOOKUP(M644,{12.5,15,20,30,45,60,75,105,115,150,200,225,250,600},{12.5,15,20,30,45,60,75,105,115,150,200,225,250,600}))/(LOOKUP(M644,{12.5,15,20,30,45,60,75,105,115,150,200,225,250,600,1000},{15,20,30,45,60,75,105,115,150,200,225,250,600,1000,1000})-LOOKUP(M644,{12.5,15,20,30,45,60,75,105,115,150,200,225,250,600},{12.5,15,20,30,45,60,75,105,115,150,200,225,250,600}))*(LOOKUP(M644,{12.5,15,20,30,45,60,75,105,115,150,200,225,250,600,1000},{55,60,62,65,68,70,72,75,80,82,85,87,90,95,95})-LOOKUP(M644,{12.5,15,20,30,45,60,75,105,115,150,200,225,250,600,1000},{50,55,60,62,65,68,70,72,75,80,82,85,87,90,95})))))</f>
        <v>75</v>
      </c>
      <c r="P644" s="2">
        <f t="shared" si="48"/>
        <v>-5</v>
      </c>
      <c r="Q644" s="2">
        <f t="shared" si="49"/>
        <v>-2.5</v>
      </c>
    </row>
    <row r="645" customHeight="1" spans="1:17">
      <c r="B645" s="2">
        <v>644</v>
      </c>
      <c r="C645" s="17">
        <f t="shared" si="47"/>
        <v>65</v>
      </c>
      <c r="D645" s="2" t="s">
        <v>1015</v>
      </c>
      <c r="E645" s="9">
        <v>70</v>
      </c>
      <c r="F645" s="2">
        <v>40</v>
      </c>
      <c r="G645" s="2">
        <v>40</v>
      </c>
      <c r="H645" s="2" t="s">
        <v>122</v>
      </c>
      <c r="I645" s="2" t="s">
        <v>28</v>
      </c>
      <c r="J645" s="4" t="s">
        <v>88</v>
      </c>
      <c r="M645" s="2">
        <f t="shared" si="50"/>
        <v>30</v>
      </c>
      <c r="N645" s="2">
        <f t="shared" si="51"/>
        <v>61</v>
      </c>
      <c r="O645" s="2">
        <f>IF(M645="","",IF(M645&gt;=1000,95,IF(M645&lt;=12.5,50,LOOKUP(M645,{12.5,15,20,30,45,60,75,105,115,150,200,225,250,600,1000},{50,55,60,62,65,68,70,72,75,80,82,85,87,90,95})+(M645-LOOKUP(M645,{12.5,15,20,30,45,60,75,105,115,150,200,225,250,600},{12.5,15,20,30,45,60,75,105,115,150,200,225,250,600}))/(LOOKUP(M645,{12.5,15,20,30,45,60,75,105,115,150,200,225,250,600,1000},{15,20,30,45,60,75,105,115,150,200,225,250,600,1000,1000})-LOOKUP(M645,{12.5,15,20,30,45,60,75,105,115,150,200,225,250,600},{12.5,15,20,30,45,60,75,105,115,150,200,225,250,600}))*(LOOKUP(M645,{12.5,15,20,30,45,60,75,105,115,150,200,225,250,600,1000},{55,60,62,65,68,70,72,75,80,82,85,87,90,95,95})-LOOKUP(M645,{12.5,15,20,30,45,60,75,105,115,150,200,225,250,600,1000},{50,55,60,62,65,68,70,72,75,80,82,85,87,90,95})))))</f>
        <v>62</v>
      </c>
      <c r="P645" s="2">
        <f t="shared" si="48"/>
        <v>8</v>
      </c>
      <c r="Q645" s="2">
        <f t="shared" si="49"/>
        <v>4</v>
      </c>
    </row>
    <row r="646" customHeight="1" spans="1:17">
      <c r="B646" s="2">
        <v>645</v>
      </c>
      <c r="C646" s="17">
        <f t="shared" ref="C646:C709" si="52">ROUND(MAX(MIN(N646+Q646,100),0),2)</f>
        <v>64.93</v>
      </c>
      <c r="D646" s="2" t="s">
        <v>1016</v>
      </c>
      <c r="E646" s="9">
        <v>70</v>
      </c>
      <c r="F646" s="10">
        <v>83</v>
      </c>
      <c r="G646" s="12">
        <v>60</v>
      </c>
      <c r="H646" s="2" t="s">
        <v>1017</v>
      </c>
      <c r="I646" s="2" t="s">
        <v>23</v>
      </c>
      <c r="J646" s="4" t="s">
        <v>19</v>
      </c>
      <c r="M646" s="2">
        <f t="shared" si="50"/>
        <v>225</v>
      </c>
      <c r="N646" s="2">
        <f t="shared" si="51"/>
        <v>71.6</v>
      </c>
      <c r="O646" s="2">
        <f>IF(M646="","",IF(M646&gt;=1000,95,IF(M646&lt;=12.5,50,LOOKUP(M646,{12.5,15,20,30,45,60,75,105,115,150,200,225,250,600,1000},{50,55,60,62,65,68,70,72,75,80,82,85,87,90,95})+(M646-LOOKUP(M646,{12.5,15,20,30,45,60,75,105,115,150,200,225,250,600},{12.5,15,20,30,45,60,75,105,115,150,200,225,250,600}))/(LOOKUP(M646,{12.5,15,20,30,45,60,75,105,115,150,200,225,250,600,1000},{15,20,30,45,60,75,105,115,150,200,225,250,600,1000,1000})-LOOKUP(M646,{12.5,15,20,30,45,60,75,105,115,150,200,225,250,600},{12.5,15,20,30,45,60,75,105,115,150,200,225,250,600}))*(LOOKUP(M646,{12.5,15,20,30,45,60,75,105,115,150,200,225,250,600,1000},{55,60,62,65,68,70,72,75,80,82,85,87,90,95,95})-LOOKUP(M646,{12.5,15,20,30,45,60,75,105,115,150,200,225,250,600,1000},{50,55,60,62,65,68,70,72,75,80,82,85,87,90,95})))))</f>
        <v>85</v>
      </c>
      <c r="P646" s="2">
        <f t="shared" ref="P646:P709" si="53">E646-O646</f>
        <v>-15</v>
      </c>
      <c r="Q646" s="2">
        <f t="shared" ref="Q646:Q709" si="54">ROUND(SIGN(P646)*IF(ABS(P646)&lt;=10,ABS(P646)*0.5,IF(ABS(P646)&lt;=15,5+(ABS(P646)-10)*(1.67/5),6.67+(ABS(P646)-15)*0.333)),2)</f>
        <v>-6.67</v>
      </c>
    </row>
    <row r="647" customHeight="1" spans="1:17">
      <c r="A647" s="2">
        <v>2026</v>
      </c>
      <c r="B647" s="2">
        <v>646</v>
      </c>
      <c r="C647" s="17">
        <f t="shared" si="52"/>
        <v>64.9</v>
      </c>
      <c r="D647" s="2" t="s">
        <v>1018</v>
      </c>
      <c r="E647" s="12">
        <v>64</v>
      </c>
      <c r="F647" s="12">
        <v>64</v>
      </c>
      <c r="G647" s="2">
        <v>53</v>
      </c>
      <c r="H647" s="2" t="s">
        <v>54</v>
      </c>
      <c r="I647" s="2" t="s">
        <v>28</v>
      </c>
      <c r="J647" s="4" t="s">
        <v>140</v>
      </c>
      <c r="M647" s="2">
        <f t="shared" si="50"/>
        <v>20</v>
      </c>
      <c r="N647" s="2">
        <f t="shared" si="51"/>
        <v>62.9</v>
      </c>
      <c r="O647" s="2">
        <f>IF(M647="","",IF(M647&gt;=1000,95,IF(M647&lt;=12.5,50,LOOKUP(M647,{12.5,15,20,30,45,60,75,105,115,150,200,225,250,600,1000},{50,55,60,62,65,68,70,72,75,80,82,85,87,90,95})+(M647-LOOKUP(M647,{12.5,15,20,30,45,60,75,105,115,150,200,225,250,600},{12.5,15,20,30,45,60,75,105,115,150,200,225,250,600}))/(LOOKUP(M647,{12.5,15,20,30,45,60,75,105,115,150,200,225,250,600,1000},{15,20,30,45,60,75,105,115,150,200,225,250,600,1000,1000})-LOOKUP(M647,{12.5,15,20,30,45,60,75,105,115,150,200,225,250,600},{12.5,15,20,30,45,60,75,105,115,150,200,225,250,600}))*(LOOKUP(M647,{12.5,15,20,30,45,60,75,105,115,150,200,225,250,600,1000},{55,60,62,65,68,70,72,75,80,82,85,87,90,95,95})-LOOKUP(M647,{12.5,15,20,30,45,60,75,105,115,150,200,225,250,600,1000},{50,55,60,62,65,68,70,72,75,80,82,85,87,90,95})))))</f>
        <v>60</v>
      </c>
      <c r="P647" s="2">
        <f t="shared" si="53"/>
        <v>4</v>
      </c>
      <c r="Q647" s="2">
        <f t="shared" si="54"/>
        <v>2</v>
      </c>
    </row>
    <row r="648" customHeight="1" spans="1:17">
      <c r="B648" s="2">
        <v>647</v>
      </c>
      <c r="C648" s="17">
        <f t="shared" si="52"/>
        <v>64.9</v>
      </c>
      <c r="D648" s="2" t="s">
        <v>1019</v>
      </c>
      <c r="E648" s="12">
        <v>67</v>
      </c>
      <c r="F648" s="12">
        <v>65</v>
      </c>
      <c r="G648" s="12">
        <v>65</v>
      </c>
      <c r="H648" s="2" t="s">
        <v>37</v>
      </c>
      <c r="I648" s="2" t="s">
        <v>435</v>
      </c>
      <c r="J648" s="4" t="s">
        <v>24</v>
      </c>
      <c r="M648" s="2">
        <f t="shared" si="50"/>
        <v>75</v>
      </c>
      <c r="N648" s="2">
        <f t="shared" si="51"/>
        <v>66.4</v>
      </c>
      <c r="O648" s="2">
        <f>IF(M648="","",IF(M648&gt;=1000,95,IF(M648&lt;=12.5,50,LOOKUP(M648,{12.5,15,20,30,45,60,75,105,115,150,200,225,250,600,1000},{50,55,60,62,65,68,70,72,75,80,82,85,87,90,95})+(M648-LOOKUP(M648,{12.5,15,20,30,45,60,75,105,115,150,200,225,250,600},{12.5,15,20,30,45,60,75,105,115,150,200,225,250,600}))/(LOOKUP(M648,{12.5,15,20,30,45,60,75,105,115,150,200,225,250,600,1000},{15,20,30,45,60,75,105,115,150,200,225,250,600,1000,1000})-LOOKUP(M648,{12.5,15,20,30,45,60,75,105,115,150,200,225,250,600},{12.5,15,20,30,45,60,75,105,115,150,200,225,250,600}))*(LOOKUP(M648,{12.5,15,20,30,45,60,75,105,115,150,200,225,250,600,1000},{55,60,62,65,68,70,72,75,80,82,85,87,90,95,95})-LOOKUP(M648,{12.5,15,20,30,45,60,75,105,115,150,200,225,250,600,1000},{50,55,60,62,65,68,70,72,75,80,82,85,87,90,95})))))</f>
        <v>70</v>
      </c>
      <c r="P648" s="2">
        <f t="shared" si="53"/>
        <v>-3</v>
      </c>
      <c r="Q648" s="2">
        <f t="shared" si="54"/>
        <v>-1.5</v>
      </c>
    </row>
    <row r="649" customHeight="1" spans="1:17">
      <c r="B649" s="2">
        <v>648</v>
      </c>
      <c r="C649" s="17">
        <f t="shared" si="52"/>
        <v>64.9</v>
      </c>
      <c r="D649" s="2" t="s">
        <v>1020</v>
      </c>
      <c r="E649" s="12">
        <v>66</v>
      </c>
      <c r="F649" s="12">
        <v>60</v>
      </c>
      <c r="G649" s="12">
        <v>62</v>
      </c>
      <c r="H649" s="2" t="s">
        <v>991</v>
      </c>
      <c r="I649" s="2" t="s">
        <v>992</v>
      </c>
      <c r="J649" s="4" t="s">
        <v>38</v>
      </c>
      <c r="M649" s="2">
        <f t="shared" si="50"/>
        <v>45</v>
      </c>
      <c r="N649" s="2">
        <f t="shared" si="51"/>
        <v>64.4</v>
      </c>
      <c r="O649" s="2">
        <f>IF(M649="","",IF(M649&gt;=1000,95,IF(M649&lt;=12.5,50,LOOKUP(M649,{12.5,15,20,30,45,60,75,105,115,150,200,225,250,600,1000},{50,55,60,62,65,68,70,72,75,80,82,85,87,90,95})+(M649-LOOKUP(M649,{12.5,15,20,30,45,60,75,105,115,150,200,225,250,600},{12.5,15,20,30,45,60,75,105,115,150,200,225,250,600}))/(LOOKUP(M649,{12.5,15,20,30,45,60,75,105,115,150,200,225,250,600,1000},{15,20,30,45,60,75,105,115,150,200,225,250,600,1000,1000})-LOOKUP(M649,{12.5,15,20,30,45,60,75,105,115,150,200,225,250,600},{12.5,15,20,30,45,60,75,105,115,150,200,225,250,600}))*(LOOKUP(M649,{12.5,15,20,30,45,60,75,105,115,150,200,225,250,600,1000},{55,60,62,65,68,70,72,75,80,82,85,87,90,95,95})-LOOKUP(M649,{12.5,15,20,30,45,60,75,105,115,150,200,225,250,600,1000},{50,55,60,62,65,68,70,72,75,80,82,85,87,90,95})))))</f>
        <v>65</v>
      </c>
      <c r="P649" s="2">
        <f t="shared" si="53"/>
        <v>1</v>
      </c>
      <c r="Q649" s="2">
        <f t="shared" si="54"/>
        <v>0.5</v>
      </c>
    </row>
    <row r="650" customHeight="1" spans="1:17">
      <c r="B650" s="2">
        <v>649</v>
      </c>
      <c r="C650" s="17">
        <f t="shared" si="52"/>
        <v>64.9</v>
      </c>
      <c r="D650" s="2" t="s">
        <v>1021</v>
      </c>
      <c r="E650" s="12">
        <v>67</v>
      </c>
      <c r="F650" s="2">
        <v>55</v>
      </c>
      <c r="G650" s="12">
        <v>60</v>
      </c>
      <c r="H650" s="2" t="s">
        <v>342</v>
      </c>
      <c r="I650" s="2" t="s">
        <v>33</v>
      </c>
      <c r="J650" s="4" t="s">
        <v>38</v>
      </c>
      <c r="M650" s="2">
        <f t="shared" si="50"/>
        <v>45</v>
      </c>
      <c r="N650" s="2">
        <f t="shared" si="51"/>
        <v>63.9</v>
      </c>
      <c r="O650" s="2">
        <f>IF(M650="","",IF(M650&gt;=1000,95,IF(M650&lt;=12.5,50,LOOKUP(M650,{12.5,15,20,30,45,60,75,105,115,150,200,225,250,600,1000},{50,55,60,62,65,68,70,72,75,80,82,85,87,90,95})+(M650-LOOKUP(M650,{12.5,15,20,30,45,60,75,105,115,150,200,225,250,600},{12.5,15,20,30,45,60,75,105,115,150,200,225,250,600}))/(LOOKUP(M650,{12.5,15,20,30,45,60,75,105,115,150,200,225,250,600,1000},{15,20,30,45,60,75,105,115,150,200,225,250,600,1000,1000})-LOOKUP(M650,{12.5,15,20,30,45,60,75,105,115,150,200,225,250,600},{12.5,15,20,30,45,60,75,105,115,150,200,225,250,600}))*(LOOKUP(M650,{12.5,15,20,30,45,60,75,105,115,150,200,225,250,600,1000},{55,60,62,65,68,70,72,75,80,82,85,87,90,95,95})-LOOKUP(M650,{12.5,15,20,30,45,60,75,105,115,150,200,225,250,600,1000},{50,55,60,62,65,68,70,72,75,80,82,85,87,90,95})))))</f>
        <v>65</v>
      </c>
      <c r="P650" s="2">
        <f t="shared" si="53"/>
        <v>2</v>
      </c>
      <c r="Q650" s="2">
        <f t="shared" si="54"/>
        <v>1</v>
      </c>
    </row>
    <row r="651" customHeight="1" spans="1:17">
      <c r="B651" s="2">
        <v>650</v>
      </c>
      <c r="C651" s="17">
        <f t="shared" si="52"/>
        <v>64.9</v>
      </c>
      <c r="D651" s="2" t="s">
        <v>1022</v>
      </c>
      <c r="E651" s="12">
        <v>67</v>
      </c>
      <c r="F651" s="2">
        <v>50</v>
      </c>
      <c r="G651" s="2">
        <v>45</v>
      </c>
      <c r="H651" s="2" t="s">
        <v>37</v>
      </c>
      <c r="I651" s="2" t="s">
        <v>503</v>
      </c>
      <c r="J651" s="4" t="s">
        <v>140</v>
      </c>
      <c r="M651" s="2">
        <f t="shared" si="50"/>
        <v>20</v>
      </c>
      <c r="N651" s="2">
        <f t="shared" si="51"/>
        <v>61.4</v>
      </c>
      <c r="O651" s="2">
        <f>IF(M651="","",IF(M651&gt;=1000,95,IF(M651&lt;=12.5,50,LOOKUP(M651,{12.5,15,20,30,45,60,75,105,115,150,200,225,250,600,1000},{50,55,60,62,65,68,70,72,75,80,82,85,87,90,95})+(M651-LOOKUP(M651,{12.5,15,20,30,45,60,75,105,115,150,200,225,250,600},{12.5,15,20,30,45,60,75,105,115,150,200,225,250,600}))/(LOOKUP(M651,{12.5,15,20,30,45,60,75,105,115,150,200,225,250,600,1000},{15,20,30,45,60,75,105,115,150,200,225,250,600,1000,1000})-LOOKUP(M651,{12.5,15,20,30,45,60,75,105,115,150,200,225,250,600},{12.5,15,20,30,45,60,75,105,115,150,200,225,250,600}))*(LOOKUP(M651,{12.5,15,20,30,45,60,75,105,115,150,200,225,250,600,1000},{55,60,62,65,68,70,72,75,80,82,85,87,90,95,95})-LOOKUP(M651,{12.5,15,20,30,45,60,75,105,115,150,200,225,250,600,1000},{50,55,60,62,65,68,70,72,75,80,82,85,87,90,95})))))</f>
        <v>60</v>
      </c>
      <c r="P651" s="2">
        <f t="shared" si="53"/>
        <v>7</v>
      </c>
      <c r="Q651" s="2">
        <f t="shared" si="54"/>
        <v>3.5</v>
      </c>
    </row>
    <row r="652" customHeight="1" spans="1:17">
      <c r="A652" s="2">
        <v>2026</v>
      </c>
      <c r="B652" s="2">
        <v>651</v>
      </c>
      <c r="C652" s="17">
        <f t="shared" si="52"/>
        <v>64.9</v>
      </c>
      <c r="D652" s="2" t="s">
        <v>1023</v>
      </c>
      <c r="E652" s="9">
        <v>71</v>
      </c>
      <c r="F652" s="2">
        <v>57</v>
      </c>
      <c r="G652" s="2">
        <v>58</v>
      </c>
      <c r="H652" s="2" t="s">
        <v>41</v>
      </c>
      <c r="I652" s="2" t="s">
        <v>128</v>
      </c>
      <c r="J652" s="4" t="s">
        <v>148</v>
      </c>
      <c r="M652" s="2">
        <f t="shared" si="50"/>
        <v>115</v>
      </c>
      <c r="N652" s="2">
        <f t="shared" si="51"/>
        <v>66.9</v>
      </c>
      <c r="O652" s="2">
        <f>IF(M652="","",IF(M652&gt;=1000,95,IF(M652&lt;=12.5,50,LOOKUP(M652,{12.5,15,20,30,45,60,75,105,115,150,200,225,250,600,1000},{50,55,60,62,65,68,70,72,75,80,82,85,87,90,95})+(M652-LOOKUP(M652,{12.5,15,20,30,45,60,75,105,115,150,200,225,250,600},{12.5,15,20,30,45,60,75,105,115,150,200,225,250,600}))/(LOOKUP(M652,{12.5,15,20,30,45,60,75,105,115,150,200,225,250,600,1000},{15,20,30,45,60,75,105,115,150,200,225,250,600,1000,1000})-LOOKUP(M652,{12.5,15,20,30,45,60,75,105,115,150,200,225,250,600},{12.5,15,20,30,45,60,75,105,115,150,200,225,250,600}))*(LOOKUP(M652,{12.5,15,20,30,45,60,75,105,115,150,200,225,250,600,1000},{55,60,62,65,68,70,72,75,80,82,85,87,90,95,95})-LOOKUP(M652,{12.5,15,20,30,45,60,75,105,115,150,200,225,250,600,1000},{50,55,60,62,65,68,70,72,75,80,82,85,87,90,95})))))</f>
        <v>75</v>
      </c>
      <c r="P652" s="2">
        <f t="shared" si="53"/>
        <v>-4</v>
      </c>
      <c r="Q652" s="2">
        <f t="shared" si="54"/>
        <v>-2</v>
      </c>
    </row>
    <row r="653" customHeight="1" spans="1:17">
      <c r="A653" s="2">
        <v>2026</v>
      </c>
      <c r="B653" s="2">
        <v>652</v>
      </c>
      <c r="C653" s="17">
        <f t="shared" si="52"/>
        <v>64.8</v>
      </c>
      <c r="D653" s="2" t="s">
        <v>1024</v>
      </c>
      <c r="E653" s="12">
        <v>67</v>
      </c>
      <c r="F653" s="2">
        <v>52</v>
      </c>
      <c r="G653" s="2">
        <v>40</v>
      </c>
      <c r="H653" s="2" t="s">
        <v>91</v>
      </c>
      <c r="I653" s="2" t="s">
        <v>28</v>
      </c>
      <c r="J653" s="4" t="s">
        <v>140</v>
      </c>
      <c r="M653" s="2">
        <f t="shared" si="50"/>
        <v>20</v>
      </c>
      <c r="N653" s="2">
        <f t="shared" si="51"/>
        <v>61.3</v>
      </c>
      <c r="O653" s="2">
        <f>IF(M653="","",IF(M653&gt;=1000,95,IF(M653&lt;=12.5,50,LOOKUP(M653,{12.5,15,20,30,45,60,75,105,115,150,200,225,250,600,1000},{50,55,60,62,65,68,70,72,75,80,82,85,87,90,95})+(M653-LOOKUP(M653,{12.5,15,20,30,45,60,75,105,115,150,200,225,250,600},{12.5,15,20,30,45,60,75,105,115,150,200,225,250,600}))/(LOOKUP(M653,{12.5,15,20,30,45,60,75,105,115,150,200,225,250,600,1000},{15,20,30,45,60,75,105,115,150,200,225,250,600,1000,1000})-LOOKUP(M653,{12.5,15,20,30,45,60,75,105,115,150,200,225,250,600},{12.5,15,20,30,45,60,75,105,115,150,200,225,250,600}))*(LOOKUP(M653,{12.5,15,20,30,45,60,75,105,115,150,200,225,250,600,1000},{55,60,62,65,68,70,72,75,80,82,85,87,90,95,95})-LOOKUP(M653,{12.5,15,20,30,45,60,75,105,115,150,200,225,250,600,1000},{50,55,60,62,65,68,70,72,75,80,82,85,87,90,95})))))</f>
        <v>60</v>
      </c>
      <c r="P653" s="2">
        <f t="shared" si="53"/>
        <v>7</v>
      </c>
      <c r="Q653" s="2">
        <f t="shared" si="54"/>
        <v>3.5</v>
      </c>
    </row>
    <row r="654" customHeight="1" spans="1:17">
      <c r="B654" s="2">
        <v>653</v>
      </c>
      <c r="C654" s="17">
        <f t="shared" si="52"/>
        <v>64.8</v>
      </c>
      <c r="D654" s="2" t="s">
        <v>1025</v>
      </c>
      <c r="E654" s="12">
        <v>63</v>
      </c>
      <c r="F654" s="10">
        <v>89</v>
      </c>
      <c r="G654" s="2">
        <v>54</v>
      </c>
      <c r="H654" s="2" t="s">
        <v>201</v>
      </c>
      <c r="I654" s="2" t="s">
        <v>28</v>
      </c>
      <c r="J654" s="4" t="s">
        <v>34</v>
      </c>
      <c r="M654" s="2">
        <f t="shared" si="50"/>
        <v>60</v>
      </c>
      <c r="N654" s="2">
        <f t="shared" si="51"/>
        <v>67.3</v>
      </c>
      <c r="O654" s="2">
        <f>IF(M654="","",IF(M654&gt;=1000,95,IF(M654&lt;=12.5,50,LOOKUP(M654,{12.5,15,20,30,45,60,75,105,115,150,200,225,250,600,1000},{50,55,60,62,65,68,70,72,75,80,82,85,87,90,95})+(M654-LOOKUP(M654,{12.5,15,20,30,45,60,75,105,115,150,200,225,250,600},{12.5,15,20,30,45,60,75,105,115,150,200,225,250,600}))/(LOOKUP(M654,{12.5,15,20,30,45,60,75,105,115,150,200,225,250,600,1000},{15,20,30,45,60,75,105,115,150,200,225,250,600,1000,1000})-LOOKUP(M654,{12.5,15,20,30,45,60,75,105,115,150,200,225,250,600},{12.5,15,20,30,45,60,75,105,115,150,200,225,250,600}))*(LOOKUP(M654,{12.5,15,20,30,45,60,75,105,115,150,200,225,250,600,1000},{55,60,62,65,68,70,72,75,80,82,85,87,90,95,95})-LOOKUP(M654,{12.5,15,20,30,45,60,75,105,115,150,200,225,250,600,1000},{50,55,60,62,65,68,70,72,75,80,82,85,87,90,95})))))</f>
        <v>68</v>
      </c>
      <c r="P654" s="2">
        <f t="shared" si="53"/>
        <v>-5</v>
      </c>
      <c r="Q654" s="2">
        <f t="shared" si="54"/>
        <v>-2.5</v>
      </c>
    </row>
    <row r="655" customHeight="1" spans="1:17">
      <c r="B655" s="2">
        <v>654</v>
      </c>
      <c r="C655" s="17">
        <f t="shared" si="52"/>
        <v>64.8</v>
      </c>
      <c r="D655" s="2" t="s">
        <v>1026</v>
      </c>
      <c r="E655" s="12">
        <v>64</v>
      </c>
      <c r="F655" s="12">
        <v>65</v>
      </c>
      <c r="G655" s="9">
        <v>75</v>
      </c>
      <c r="H655" s="2" t="s">
        <v>211</v>
      </c>
      <c r="I655" s="2" t="s">
        <v>18</v>
      </c>
      <c r="J655" s="4" t="s">
        <v>38</v>
      </c>
      <c r="M655" s="2">
        <f t="shared" si="50"/>
        <v>45</v>
      </c>
      <c r="N655" s="2">
        <f t="shared" si="51"/>
        <v>65.3</v>
      </c>
      <c r="O655" s="2">
        <f>IF(M655="","",IF(M655&gt;=1000,95,IF(M655&lt;=12.5,50,LOOKUP(M655,{12.5,15,20,30,45,60,75,105,115,150,200,225,250,600,1000},{50,55,60,62,65,68,70,72,75,80,82,85,87,90,95})+(M655-LOOKUP(M655,{12.5,15,20,30,45,60,75,105,115,150,200,225,250,600},{12.5,15,20,30,45,60,75,105,115,150,200,225,250,600}))/(LOOKUP(M655,{12.5,15,20,30,45,60,75,105,115,150,200,225,250,600,1000},{15,20,30,45,60,75,105,115,150,200,225,250,600,1000,1000})-LOOKUP(M655,{12.5,15,20,30,45,60,75,105,115,150,200,225,250,600},{12.5,15,20,30,45,60,75,105,115,150,200,225,250,600}))*(LOOKUP(M655,{12.5,15,20,30,45,60,75,105,115,150,200,225,250,600,1000},{55,60,62,65,68,70,72,75,80,82,85,87,90,95,95})-LOOKUP(M655,{12.5,15,20,30,45,60,75,105,115,150,200,225,250,600,1000},{50,55,60,62,65,68,70,72,75,80,82,85,87,90,95})))))</f>
        <v>65</v>
      </c>
      <c r="P655" s="2">
        <f t="shared" si="53"/>
        <v>-1</v>
      </c>
      <c r="Q655" s="2">
        <f t="shared" si="54"/>
        <v>-0.5</v>
      </c>
    </row>
    <row r="656" customHeight="1" spans="1:17">
      <c r="B656" s="2">
        <v>655</v>
      </c>
      <c r="C656" s="17">
        <f t="shared" si="52"/>
        <v>64.8</v>
      </c>
      <c r="D656" s="2" t="s">
        <v>1027</v>
      </c>
      <c r="E656" s="12">
        <v>67</v>
      </c>
      <c r="F656" s="12">
        <v>66</v>
      </c>
      <c r="G656" s="12">
        <v>62</v>
      </c>
      <c r="H656" s="2" t="s">
        <v>41</v>
      </c>
      <c r="I656" s="2" t="s">
        <v>58</v>
      </c>
      <c r="J656" s="4" t="s">
        <v>24</v>
      </c>
      <c r="M656" s="2">
        <f t="shared" si="50"/>
        <v>75</v>
      </c>
      <c r="N656" s="2">
        <f t="shared" si="51"/>
        <v>66.3</v>
      </c>
      <c r="O656" s="2">
        <f>IF(M656="","",IF(M656&gt;=1000,95,IF(M656&lt;=12.5,50,LOOKUP(M656,{12.5,15,20,30,45,60,75,105,115,150,200,225,250,600,1000},{50,55,60,62,65,68,70,72,75,80,82,85,87,90,95})+(M656-LOOKUP(M656,{12.5,15,20,30,45,60,75,105,115,150,200,225,250,600},{12.5,15,20,30,45,60,75,105,115,150,200,225,250,600}))/(LOOKUP(M656,{12.5,15,20,30,45,60,75,105,115,150,200,225,250,600,1000},{15,20,30,45,60,75,105,115,150,200,225,250,600,1000,1000})-LOOKUP(M656,{12.5,15,20,30,45,60,75,105,115,150,200,225,250,600},{12.5,15,20,30,45,60,75,105,115,150,200,225,250,600}))*(LOOKUP(M656,{12.5,15,20,30,45,60,75,105,115,150,200,225,250,600,1000},{55,60,62,65,68,70,72,75,80,82,85,87,90,95,95})-LOOKUP(M656,{12.5,15,20,30,45,60,75,105,115,150,200,225,250,600,1000},{50,55,60,62,65,68,70,72,75,80,82,85,87,90,95})))))</f>
        <v>70</v>
      </c>
      <c r="P656" s="2">
        <f t="shared" si="53"/>
        <v>-3</v>
      </c>
      <c r="Q656" s="2">
        <f t="shared" si="54"/>
        <v>-1.5</v>
      </c>
    </row>
    <row r="657" customHeight="1" spans="1:17">
      <c r="B657" s="2">
        <v>656</v>
      </c>
      <c r="C657" s="17">
        <f t="shared" si="52"/>
        <v>64.8</v>
      </c>
      <c r="D657" s="2" t="s">
        <v>1028</v>
      </c>
      <c r="E657" s="9">
        <v>72</v>
      </c>
      <c r="F657" s="9">
        <v>75</v>
      </c>
      <c r="G657" s="2">
        <v>54</v>
      </c>
      <c r="H657" s="2" t="s">
        <v>1029</v>
      </c>
      <c r="I657" s="2" t="s">
        <v>128</v>
      </c>
      <c r="J657" s="4" t="s">
        <v>19</v>
      </c>
      <c r="K657" s="2" t="s">
        <v>1030</v>
      </c>
      <c r="M657" s="2">
        <f t="shared" si="50"/>
        <v>225</v>
      </c>
      <c r="N657" s="2">
        <f t="shared" si="51"/>
        <v>70.8</v>
      </c>
      <c r="O657" s="2">
        <f>IF(M657="","",IF(M657&gt;=1000,95,IF(M657&lt;=12.5,50,LOOKUP(M657,{12.5,15,20,30,45,60,75,105,115,150,200,225,250,600,1000},{50,55,60,62,65,68,70,72,75,80,82,85,87,90,95})+(M657-LOOKUP(M657,{12.5,15,20,30,45,60,75,105,115,150,200,225,250,600},{12.5,15,20,30,45,60,75,105,115,150,200,225,250,600}))/(LOOKUP(M657,{12.5,15,20,30,45,60,75,105,115,150,200,225,250,600,1000},{15,20,30,45,60,75,105,115,150,200,225,250,600,1000,1000})-LOOKUP(M657,{12.5,15,20,30,45,60,75,105,115,150,200,225,250,600},{12.5,15,20,30,45,60,75,105,115,150,200,225,250,600}))*(LOOKUP(M657,{12.5,15,20,30,45,60,75,105,115,150,200,225,250,600,1000},{55,60,62,65,68,70,72,75,80,82,85,87,90,95,95})-LOOKUP(M657,{12.5,15,20,30,45,60,75,105,115,150,200,225,250,600,1000},{50,55,60,62,65,68,70,72,75,80,82,85,87,90,95})))))</f>
        <v>85</v>
      </c>
      <c r="P657" s="2">
        <f t="shared" si="53"/>
        <v>-13</v>
      </c>
      <c r="Q657" s="2">
        <f t="shared" si="54"/>
        <v>-6</v>
      </c>
    </row>
    <row r="658" customHeight="1" spans="1:17">
      <c r="B658" s="2">
        <v>657</v>
      </c>
      <c r="C658" s="17">
        <f t="shared" si="52"/>
        <v>64.8</v>
      </c>
      <c r="D658" s="2" t="s">
        <v>1031</v>
      </c>
      <c r="E658" s="9">
        <v>70</v>
      </c>
      <c r="F658" s="2">
        <v>50</v>
      </c>
      <c r="G658" s="2">
        <v>33</v>
      </c>
      <c r="H658" s="2" t="s">
        <v>119</v>
      </c>
      <c r="I658" s="2" t="s">
        <v>63</v>
      </c>
      <c r="J658" s="4" t="s">
        <v>38</v>
      </c>
      <c r="K658" s="2" t="s">
        <v>1032</v>
      </c>
      <c r="M658" s="2">
        <f t="shared" si="50"/>
        <v>45</v>
      </c>
      <c r="N658" s="2">
        <f t="shared" si="51"/>
        <v>62.3</v>
      </c>
      <c r="O658" s="2">
        <f>IF(M658="","",IF(M658&gt;=1000,95,IF(M658&lt;=12.5,50,LOOKUP(M658,{12.5,15,20,30,45,60,75,105,115,150,200,225,250,600,1000},{50,55,60,62,65,68,70,72,75,80,82,85,87,90,95})+(M658-LOOKUP(M658,{12.5,15,20,30,45,60,75,105,115,150,200,225,250,600},{12.5,15,20,30,45,60,75,105,115,150,200,225,250,600}))/(LOOKUP(M658,{12.5,15,20,30,45,60,75,105,115,150,200,225,250,600,1000},{15,20,30,45,60,75,105,115,150,200,225,250,600,1000,1000})-LOOKUP(M658,{12.5,15,20,30,45,60,75,105,115,150,200,225,250,600},{12.5,15,20,30,45,60,75,105,115,150,200,225,250,600}))*(LOOKUP(M658,{12.5,15,20,30,45,60,75,105,115,150,200,225,250,600,1000},{55,60,62,65,68,70,72,75,80,82,85,87,90,95,95})-LOOKUP(M658,{12.5,15,20,30,45,60,75,105,115,150,200,225,250,600,1000},{50,55,60,62,65,68,70,72,75,80,82,85,87,90,95})))))</f>
        <v>65</v>
      </c>
      <c r="P658" s="2">
        <f t="shared" si="53"/>
        <v>5</v>
      </c>
      <c r="Q658" s="2">
        <f t="shared" si="54"/>
        <v>2.5</v>
      </c>
    </row>
    <row r="659" customHeight="1" spans="1:17">
      <c r="B659" s="2">
        <v>658</v>
      </c>
      <c r="C659" s="17">
        <f t="shared" si="52"/>
        <v>64.73</v>
      </c>
      <c r="D659" s="2" t="s">
        <v>1033</v>
      </c>
      <c r="E659" s="9">
        <v>70</v>
      </c>
      <c r="F659" s="10">
        <v>82</v>
      </c>
      <c r="G659" s="12">
        <v>60</v>
      </c>
      <c r="H659" s="2" t="s">
        <v>573</v>
      </c>
      <c r="I659" s="2" t="s">
        <v>612</v>
      </c>
      <c r="J659" s="4" t="s">
        <v>19</v>
      </c>
      <c r="M659" s="2">
        <f t="shared" si="50"/>
        <v>225</v>
      </c>
      <c r="N659" s="2">
        <f t="shared" si="51"/>
        <v>71.4</v>
      </c>
      <c r="O659" s="2">
        <f>IF(M659="","",IF(M659&gt;=1000,95,IF(M659&lt;=12.5,50,LOOKUP(M659,{12.5,15,20,30,45,60,75,105,115,150,200,225,250,600,1000},{50,55,60,62,65,68,70,72,75,80,82,85,87,90,95})+(M659-LOOKUP(M659,{12.5,15,20,30,45,60,75,105,115,150,200,225,250,600},{12.5,15,20,30,45,60,75,105,115,150,200,225,250,600}))/(LOOKUP(M659,{12.5,15,20,30,45,60,75,105,115,150,200,225,250,600,1000},{15,20,30,45,60,75,105,115,150,200,225,250,600,1000,1000})-LOOKUP(M659,{12.5,15,20,30,45,60,75,105,115,150,200,225,250,600},{12.5,15,20,30,45,60,75,105,115,150,200,225,250,600}))*(LOOKUP(M659,{12.5,15,20,30,45,60,75,105,115,150,200,225,250,600,1000},{55,60,62,65,68,70,72,75,80,82,85,87,90,95,95})-LOOKUP(M659,{12.5,15,20,30,45,60,75,105,115,150,200,225,250,600,1000},{50,55,60,62,65,68,70,72,75,80,82,85,87,90,95})))))</f>
        <v>85</v>
      </c>
      <c r="P659" s="2">
        <f t="shared" si="53"/>
        <v>-15</v>
      </c>
      <c r="Q659" s="2">
        <f t="shared" si="54"/>
        <v>-6.67</v>
      </c>
    </row>
    <row r="660" customHeight="1" spans="1:17">
      <c r="A660" s="2">
        <v>2026</v>
      </c>
      <c r="B660" s="2">
        <v>659</v>
      </c>
      <c r="C660" s="17">
        <f t="shared" si="52"/>
        <v>64.7</v>
      </c>
      <c r="D660" s="2" t="s">
        <v>1034</v>
      </c>
      <c r="E660" s="12">
        <v>65</v>
      </c>
      <c r="F660" s="12">
        <v>62</v>
      </c>
      <c r="G660" s="2">
        <v>53</v>
      </c>
      <c r="H660" s="2" t="s">
        <v>37</v>
      </c>
      <c r="I660" s="2" t="s">
        <v>28</v>
      </c>
      <c r="J660" s="4" t="s">
        <v>88</v>
      </c>
      <c r="M660" s="2">
        <f t="shared" si="50"/>
        <v>30</v>
      </c>
      <c r="N660" s="2">
        <f t="shared" si="51"/>
        <v>63.2</v>
      </c>
      <c r="O660" s="2">
        <f>IF(M660="","",IF(M660&gt;=1000,95,IF(M660&lt;=12.5,50,LOOKUP(M660,{12.5,15,20,30,45,60,75,105,115,150,200,225,250,600,1000},{50,55,60,62,65,68,70,72,75,80,82,85,87,90,95})+(M660-LOOKUP(M660,{12.5,15,20,30,45,60,75,105,115,150,200,225,250,600},{12.5,15,20,30,45,60,75,105,115,150,200,225,250,600}))/(LOOKUP(M660,{12.5,15,20,30,45,60,75,105,115,150,200,225,250,600,1000},{15,20,30,45,60,75,105,115,150,200,225,250,600,1000,1000})-LOOKUP(M660,{12.5,15,20,30,45,60,75,105,115,150,200,225,250,600},{12.5,15,20,30,45,60,75,105,115,150,200,225,250,600}))*(LOOKUP(M660,{12.5,15,20,30,45,60,75,105,115,150,200,225,250,600,1000},{55,60,62,65,68,70,72,75,80,82,85,87,90,95,95})-LOOKUP(M660,{12.5,15,20,30,45,60,75,105,115,150,200,225,250,600,1000},{50,55,60,62,65,68,70,72,75,80,82,85,87,90,95})))))</f>
        <v>62</v>
      </c>
      <c r="P660" s="2">
        <f t="shared" si="53"/>
        <v>3</v>
      </c>
      <c r="Q660" s="2">
        <f t="shared" si="54"/>
        <v>1.5</v>
      </c>
    </row>
    <row r="661" customHeight="1" spans="1:17">
      <c r="B661" s="2">
        <v>660</v>
      </c>
      <c r="C661" s="17">
        <f t="shared" si="52"/>
        <v>64.7</v>
      </c>
      <c r="D661" s="2" t="s">
        <v>1035</v>
      </c>
      <c r="E661" s="12">
        <v>67</v>
      </c>
      <c r="F661" s="12">
        <v>65</v>
      </c>
      <c r="G661" s="12">
        <v>63</v>
      </c>
      <c r="H661" s="2" t="s">
        <v>244</v>
      </c>
      <c r="I661" s="2" t="s">
        <v>239</v>
      </c>
      <c r="J661" s="4" t="s">
        <v>24</v>
      </c>
      <c r="M661" s="2">
        <f t="shared" si="50"/>
        <v>75</v>
      </c>
      <c r="N661" s="2">
        <f t="shared" si="51"/>
        <v>66.2</v>
      </c>
      <c r="O661" s="2">
        <f>IF(M661="","",IF(M661&gt;=1000,95,IF(M661&lt;=12.5,50,LOOKUP(M661,{12.5,15,20,30,45,60,75,105,115,150,200,225,250,600,1000},{50,55,60,62,65,68,70,72,75,80,82,85,87,90,95})+(M661-LOOKUP(M661,{12.5,15,20,30,45,60,75,105,115,150,200,225,250,600},{12.5,15,20,30,45,60,75,105,115,150,200,225,250,600}))/(LOOKUP(M661,{12.5,15,20,30,45,60,75,105,115,150,200,225,250,600,1000},{15,20,30,45,60,75,105,115,150,200,225,250,600,1000,1000})-LOOKUP(M661,{12.5,15,20,30,45,60,75,105,115,150,200,225,250,600},{12.5,15,20,30,45,60,75,105,115,150,200,225,250,600}))*(LOOKUP(M661,{12.5,15,20,30,45,60,75,105,115,150,200,225,250,600,1000},{55,60,62,65,68,70,72,75,80,82,85,87,90,95,95})-LOOKUP(M661,{12.5,15,20,30,45,60,75,105,115,150,200,225,250,600,1000},{50,55,60,62,65,68,70,72,75,80,82,85,87,90,95})))))</f>
        <v>70</v>
      </c>
      <c r="P661" s="2">
        <f t="shared" si="53"/>
        <v>-3</v>
      </c>
      <c r="Q661" s="2">
        <f t="shared" si="54"/>
        <v>-1.5</v>
      </c>
    </row>
    <row r="662" customHeight="1" spans="1:17">
      <c r="A662" s="2">
        <v>2026</v>
      </c>
      <c r="B662" s="2">
        <v>661</v>
      </c>
      <c r="C662" s="17">
        <f t="shared" si="52"/>
        <v>64.7</v>
      </c>
      <c r="D662" s="2" t="s">
        <v>1036</v>
      </c>
      <c r="E662" s="12">
        <v>68</v>
      </c>
      <c r="F662" s="12">
        <v>61</v>
      </c>
      <c r="G662" s="2">
        <v>59</v>
      </c>
      <c r="H662" s="2" t="s">
        <v>54</v>
      </c>
      <c r="I662" s="2" t="s">
        <v>183</v>
      </c>
      <c r="J662" s="4" t="s">
        <v>24</v>
      </c>
      <c r="M662" s="2">
        <f t="shared" si="50"/>
        <v>75</v>
      </c>
      <c r="N662" s="2">
        <f t="shared" si="51"/>
        <v>65.7</v>
      </c>
      <c r="O662" s="2">
        <f>IF(M662="","",IF(M662&gt;=1000,95,IF(M662&lt;=12.5,50,LOOKUP(M662,{12.5,15,20,30,45,60,75,105,115,150,200,225,250,600,1000},{50,55,60,62,65,68,70,72,75,80,82,85,87,90,95})+(M662-LOOKUP(M662,{12.5,15,20,30,45,60,75,105,115,150,200,225,250,600},{12.5,15,20,30,45,60,75,105,115,150,200,225,250,600}))/(LOOKUP(M662,{12.5,15,20,30,45,60,75,105,115,150,200,225,250,600,1000},{15,20,30,45,60,75,105,115,150,200,225,250,600,1000,1000})-LOOKUP(M662,{12.5,15,20,30,45,60,75,105,115,150,200,225,250,600},{12.5,15,20,30,45,60,75,105,115,150,200,225,250,600}))*(LOOKUP(M662,{12.5,15,20,30,45,60,75,105,115,150,200,225,250,600,1000},{55,60,62,65,68,70,72,75,80,82,85,87,90,95,95})-LOOKUP(M662,{12.5,15,20,30,45,60,75,105,115,150,200,225,250,600,1000},{50,55,60,62,65,68,70,72,75,80,82,85,87,90,95})))))</f>
        <v>70</v>
      </c>
      <c r="P662" s="2">
        <f t="shared" si="53"/>
        <v>-2</v>
      </c>
      <c r="Q662" s="2">
        <f t="shared" si="54"/>
        <v>-1</v>
      </c>
    </row>
    <row r="663" customHeight="1" spans="1:17">
      <c r="B663" s="2">
        <v>662</v>
      </c>
      <c r="C663" s="17">
        <f t="shared" si="52"/>
        <v>64.7</v>
      </c>
      <c r="D663" s="2" t="s">
        <v>1037</v>
      </c>
      <c r="E663" s="12">
        <v>67</v>
      </c>
      <c r="F663" s="12">
        <v>60</v>
      </c>
      <c r="G663" s="2">
        <v>48</v>
      </c>
      <c r="H663" s="2" t="s">
        <v>41</v>
      </c>
      <c r="I663" s="2" t="s">
        <v>63</v>
      </c>
      <c r="J663" s="4" t="s">
        <v>38</v>
      </c>
      <c r="M663" s="2">
        <f t="shared" si="50"/>
        <v>45</v>
      </c>
      <c r="N663" s="2">
        <f t="shared" si="51"/>
        <v>63.7</v>
      </c>
      <c r="O663" s="2">
        <f>IF(M663="","",IF(M663&gt;=1000,95,IF(M663&lt;=12.5,50,LOOKUP(M663,{12.5,15,20,30,45,60,75,105,115,150,200,225,250,600,1000},{50,55,60,62,65,68,70,72,75,80,82,85,87,90,95})+(M663-LOOKUP(M663,{12.5,15,20,30,45,60,75,105,115,150,200,225,250,600},{12.5,15,20,30,45,60,75,105,115,150,200,225,250,600}))/(LOOKUP(M663,{12.5,15,20,30,45,60,75,105,115,150,200,225,250,600,1000},{15,20,30,45,60,75,105,115,150,200,225,250,600,1000,1000})-LOOKUP(M663,{12.5,15,20,30,45,60,75,105,115,150,200,225,250,600},{12.5,15,20,30,45,60,75,105,115,150,200,225,250,600}))*(LOOKUP(M663,{12.5,15,20,30,45,60,75,105,115,150,200,225,250,600,1000},{55,60,62,65,68,70,72,75,80,82,85,87,90,95,95})-LOOKUP(M663,{12.5,15,20,30,45,60,75,105,115,150,200,225,250,600,1000},{50,55,60,62,65,68,70,72,75,80,82,85,87,90,95})))))</f>
        <v>65</v>
      </c>
      <c r="P663" s="2">
        <f t="shared" si="53"/>
        <v>2</v>
      </c>
      <c r="Q663" s="2">
        <f t="shared" si="54"/>
        <v>1</v>
      </c>
    </row>
    <row r="664" customHeight="1" spans="1:17">
      <c r="B664" s="2">
        <v>663</v>
      </c>
      <c r="C664" s="17">
        <f t="shared" si="52"/>
        <v>64.7</v>
      </c>
      <c r="D664" s="2" t="s">
        <v>1038</v>
      </c>
      <c r="E664" s="12">
        <v>68</v>
      </c>
      <c r="F664" s="2">
        <v>51</v>
      </c>
      <c r="G664" s="2">
        <v>54</v>
      </c>
      <c r="H664" s="2" t="s">
        <v>573</v>
      </c>
      <c r="I664" s="2" t="s">
        <v>612</v>
      </c>
      <c r="J664" s="4" t="s">
        <v>38</v>
      </c>
      <c r="M664" s="2">
        <f t="shared" si="50"/>
        <v>45</v>
      </c>
      <c r="N664" s="2">
        <f t="shared" si="51"/>
        <v>63.2</v>
      </c>
      <c r="O664" s="2">
        <f>IF(M664="","",IF(M664&gt;=1000,95,IF(M664&lt;=12.5,50,LOOKUP(M664,{12.5,15,20,30,45,60,75,105,115,150,200,225,250,600,1000},{50,55,60,62,65,68,70,72,75,80,82,85,87,90,95})+(M664-LOOKUP(M664,{12.5,15,20,30,45,60,75,105,115,150,200,225,250,600},{12.5,15,20,30,45,60,75,105,115,150,200,225,250,600}))/(LOOKUP(M664,{12.5,15,20,30,45,60,75,105,115,150,200,225,250,600,1000},{15,20,30,45,60,75,105,115,150,200,225,250,600,1000,1000})-LOOKUP(M664,{12.5,15,20,30,45,60,75,105,115,150,200,225,250,600},{12.5,15,20,30,45,60,75,105,115,150,200,225,250,600}))*(LOOKUP(M664,{12.5,15,20,30,45,60,75,105,115,150,200,225,250,600,1000},{55,60,62,65,68,70,72,75,80,82,85,87,90,95,95})-LOOKUP(M664,{12.5,15,20,30,45,60,75,105,115,150,200,225,250,600,1000},{50,55,60,62,65,68,70,72,75,80,82,85,87,90,95})))))</f>
        <v>65</v>
      </c>
      <c r="P664" s="2">
        <f t="shared" si="53"/>
        <v>3</v>
      </c>
      <c r="Q664" s="2">
        <f t="shared" si="54"/>
        <v>1.5</v>
      </c>
    </row>
    <row r="665" customHeight="1" spans="1:17">
      <c r="A665" s="2">
        <v>2026</v>
      </c>
      <c r="B665" s="2">
        <v>664</v>
      </c>
      <c r="C665" s="17">
        <f t="shared" si="52"/>
        <v>64.7</v>
      </c>
      <c r="D665" s="2" t="s">
        <v>1039</v>
      </c>
      <c r="E665" s="12">
        <v>67</v>
      </c>
      <c r="F665" s="2">
        <v>53</v>
      </c>
      <c r="G665" s="2">
        <v>47</v>
      </c>
      <c r="H665" s="2" t="s">
        <v>41</v>
      </c>
      <c r="I665" s="2" t="s">
        <v>63</v>
      </c>
      <c r="J665" s="4" t="s">
        <v>88</v>
      </c>
      <c r="M665" s="2">
        <f t="shared" si="50"/>
        <v>30</v>
      </c>
      <c r="N665" s="2">
        <f t="shared" si="51"/>
        <v>62.2</v>
      </c>
      <c r="O665" s="2">
        <f>IF(M665="","",IF(M665&gt;=1000,95,IF(M665&lt;=12.5,50,LOOKUP(M665,{12.5,15,20,30,45,60,75,105,115,150,200,225,250,600,1000},{50,55,60,62,65,68,70,72,75,80,82,85,87,90,95})+(M665-LOOKUP(M665,{12.5,15,20,30,45,60,75,105,115,150,200,225,250,600},{12.5,15,20,30,45,60,75,105,115,150,200,225,250,600}))/(LOOKUP(M665,{12.5,15,20,30,45,60,75,105,115,150,200,225,250,600,1000},{15,20,30,45,60,75,105,115,150,200,225,250,600,1000,1000})-LOOKUP(M665,{12.5,15,20,30,45,60,75,105,115,150,200,225,250,600},{12.5,15,20,30,45,60,75,105,115,150,200,225,250,600}))*(LOOKUP(M665,{12.5,15,20,30,45,60,75,105,115,150,200,225,250,600,1000},{55,60,62,65,68,70,72,75,80,82,85,87,90,95,95})-LOOKUP(M665,{12.5,15,20,30,45,60,75,105,115,150,200,225,250,600,1000},{50,55,60,62,65,68,70,72,75,80,82,85,87,90,95})))))</f>
        <v>62</v>
      </c>
      <c r="P665" s="2">
        <f t="shared" si="53"/>
        <v>5</v>
      </c>
      <c r="Q665" s="2">
        <f t="shared" si="54"/>
        <v>2.5</v>
      </c>
    </row>
    <row r="666" customHeight="1" spans="1:17">
      <c r="B666" s="2">
        <v>665</v>
      </c>
      <c r="C666" s="17">
        <f t="shared" si="52"/>
        <v>64.7</v>
      </c>
      <c r="D666" s="2" t="s">
        <v>1040</v>
      </c>
      <c r="E666" s="12">
        <v>67</v>
      </c>
      <c r="F666" s="2">
        <v>50</v>
      </c>
      <c r="G666" s="2">
        <v>43</v>
      </c>
      <c r="H666" s="2" t="s">
        <v>37</v>
      </c>
      <c r="I666" s="2" t="s">
        <v>503</v>
      </c>
      <c r="J666" s="4" t="s">
        <v>140</v>
      </c>
      <c r="M666" s="2">
        <f t="shared" si="50"/>
        <v>20</v>
      </c>
      <c r="N666" s="2">
        <f t="shared" si="51"/>
        <v>61.2</v>
      </c>
      <c r="O666" s="2">
        <f>IF(M666="","",IF(M666&gt;=1000,95,IF(M666&lt;=12.5,50,LOOKUP(M666,{12.5,15,20,30,45,60,75,105,115,150,200,225,250,600,1000},{50,55,60,62,65,68,70,72,75,80,82,85,87,90,95})+(M666-LOOKUP(M666,{12.5,15,20,30,45,60,75,105,115,150,200,225,250,600},{12.5,15,20,30,45,60,75,105,115,150,200,225,250,600}))/(LOOKUP(M666,{12.5,15,20,30,45,60,75,105,115,150,200,225,250,600,1000},{15,20,30,45,60,75,105,115,150,200,225,250,600,1000,1000})-LOOKUP(M666,{12.5,15,20,30,45,60,75,105,115,150,200,225,250,600},{12.5,15,20,30,45,60,75,105,115,150,200,225,250,600}))*(LOOKUP(M666,{12.5,15,20,30,45,60,75,105,115,150,200,225,250,600,1000},{55,60,62,65,68,70,72,75,80,82,85,87,90,95,95})-LOOKUP(M666,{12.5,15,20,30,45,60,75,105,115,150,200,225,250,600,1000},{50,55,60,62,65,68,70,72,75,80,82,85,87,90,95})))))</f>
        <v>60</v>
      </c>
      <c r="P666" s="2">
        <f t="shared" si="53"/>
        <v>7</v>
      </c>
      <c r="Q666" s="2">
        <f t="shared" si="54"/>
        <v>3.5</v>
      </c>
    </row>
    <row r="667" customHeight="1" spans="1:17">
      <c r="A667" s="2">
        <v>2026</v>
      </c>
      <c r="B667" s="2">
        <v>666</v>
      </c>
      <c r="C667" s="17">
        <f t="shared" si="52"/>
        <v>64.64</v>
      </c>
      <c r="D667" s="2" t="s">
        <v>1041</v>
      </c>
      <c r="E667" s="12">
        <v>64</v>
      </c>
      <c r="F667" s="2">
        <v>50</v>
      </c>
      <c r="G667" s="2">
        <v>35</v>
      </c>
      <c r="H667" s="2" t="s">
        <v>37</v>
      </c>
      <c r="I667" s="2" t="s">
        <v>28</v>
      </c>
      <c r="J667" s="4" t="s">
        <v>77</v>
      </c>
      <c r="M667" s="2">
        <f t="shared" si="50"/>
        <v>12.5</v>
      </c>
      <c r="N667" s="2">
        <f t="shared" si="51"/>
        <v>58.3</v>
      </c>
      <c r="O667" s="2">
        <f>IF(M667="","",IF(M667&gt;=1000,95,IF(M667&lt;=12.5,50,LOOKUP(M667,{12.5,15,20,30,45,60,75,105,115,150,200,225,250,600,1000},{50,55,60,62,65,68,70,72,75,80,82,85,87,90,95})+(M667-LOOKUP(M667,{12.5,15,20,30,45,60,75,105,115,150,200,225,250,600},{12.5,15,20,30,45,60,75,105,115,150,200,225,250,600}))/(LOOKUP(M667,{12.5,15,20,30,45,60,75,105,115,150,200,225,250,600,1000},{15,20,30,45,60,75,105,115,150,200,225,250,600,1000,1000})-LOOKUP(M667,{12.5,15,20,30,45,60,75,105,115,150,200,225,250,600},{12.5,15,20,30,45,60,75,105,115,150,200,225,250,600}))*(LOOKUP(M667,{12.5,15,20,30,45,60,75,105,115,150,200,225,250,600,1000},{55,60,62,65,68,70,72,75,80,82,85,87,90,95,95})-LOOKUP(M667,{12.5,15,20,30,45,60,75,105,115,150,200,225,250,600,1000},{50,55,60,62,65,68,70,72,75,80,82,85,87,90,95})))))</f>
        <v>50</v>
      </c>
      <c r="P667" s="2">
        <f t="shared" si="53"/>
        <v>14</v>
      </c>
      <c r="Q667" s="2">
        <f t="shared" si="54"/>
        <v>6.34</v>
      </c>
    </row>
    <row r="668" customHeight="1" spans="1:17">
      <c r="A668" s="2">
        <v>2026</v>
      </c>
      <c r="B668" s="2">
        <v>667</v>
      </c>
      <c r="C668" s="17">
        <f t="shared" si="52"/>
        <v>64.6</v>
      </c>
      <c r="D668" s="2" t="s">
        <v>1042</v>
      </c>
      <c r="E668" s="12">
        <v>67</v>
      </c>
      <c r="F668" s="12">
        <v>65</v>
      </c>
      <c r="G668" s="12">
        <v>62</v>
      </c>
      <c r="H668" s="2" t="s">
        <v>54</v>
      </c>
      <c r="I668" s="2" t="s">
        <v>104</v>
      </c>
      <c r="J668" s="4" t="s">
        <v>24</v>
      </c>
      <c r="M668" s="2">
        <f t="shared" si="50"/>
        <v>75</v>
      </c>
      <c r="N668" s="2">
        <f t="shared" si="51"/>
        <v>66.1</v>
      </c>
      <c r="O668" s="2">
        <f>IF(M668="","",IF(M668&gt;=1000,95,IF(M668&lt;=12.5,50,LOOKUP(M668,{12.5,15,20,30,45,60,75,105,115,150,200,225,250,600,1000},{50,55,60,62,65,68,70,72,75,80,82,85,87,90,95})+(M668-LOOKUP(M668,{12.5,15,20,30,45,60,75,105,115,150,200,225,250,600},{12.5,15,20,30,45,60,75,105,115,150,200,225,250,600}))/(LOOKUP(M668,{12.5,15,20,30,45,60,75,105,115,150,200,225,250,600,1000},{15,20,30,45,60,75,105,115,150,200,225,250,600,1000,1000})-LOOKUP(M668,{12.5,15,20,30,45,60,75,105,115,150,200,225,250,600},{12.5,15,20,30,45,60,75,105,115,150,200,225,250,600}))*(LOOKUP(M668,{12.5,15,20,30,45,60,75,105,115,150,200,225,250,600,1000},{55,60,62,65,68,70,72,75,80,82,85,87,90,95,95})-LOOKUP(M668,{12.5,15,20,30,45,60,75,105,115,150,200,225,250,600,1000},{50,55,60,62,65,68,70,72,75,80,82,85,87,90,95})))))</f>
        <v>70</v>
      </c>
      <c r="P668" s="2">
        <f t="shared" si="53"/>
        <v>-3</v>
      </c>
      <c r="Q668" s="2">
        <f t="shared" si="54"/>
        <v>-1.5</v>
      </c>
    </row>
    <row r="669" customHeight="1" spans="1:17">
      <c r="B669" s="2">
        <v>668</v>
      </c>
      <c r="C669" s="17">
        <f t="shared" si="52"/>
        <v>64.6</v>
      </c>
      <c r="D669" s="2" t="s">
        <v>1043</v>
      </c>
      <c r="E669" s="12">
        <v>68</v>
      </c>
      <c r="F669" s="2">
        <v>58</v>
      </c>
      <c r="G669" s="12">
        <v>64</v>
      </c>
      <c r="H669" s="2" t="s">
        <v>41</v>
      </c>
      <c r="I669" s="2" t="s">
        <v>967</v>
      </c>
      <c r="J669" s="4" t="s">
        <v>24</v>
      </c>
      <c r="K669" s="2" t="s">
        <v>1044</v>
      </c>
      <c r="M669" s="2">
        <f t="shared" si="50"/>
        <v>75</v>
      </c>
      <c r="N669" s="2">
        <f t="shared" si="51"/>
        <v>65.6</v>
      </c>
      <c r="O669" s="2">
        <f>IF(M669="","",IF(M669&gt;=1000,95,IF(M669&lt;=12.5,50,LOOKUP(M669,{12.5,15,20,30,45,60,75,105,115,150,200,225,250,600,1000},{50,55,60,62,65,68,70,72,75,80,82,85,87,90,95})+(M669-LOOKUP(M669,{12.5,15,20,30,45,60,75,105,115,150,200,225,250,600},{12.5,15,20,30,45,60,75,105,115,150,200,225,250,600}))/(LOOKUP(M669,{12.5,15,20,30,45,60,75,105,115,150,200,225,250,600,1000},{15,20,30,45,60,75,105,115,150,200,225,250,600,1000,1000})-LOOKUP(M669,{12.5,15,20,30,45,60,75,105,115,150,200,225,250,600},{12.5,15,20,30,45,60,75,105,115,150,200,225,250,600}))*(LOOKUP(M669,{12.5,15,20,30,45,60,75,105,115,150,200,225,250,600,1000},{55,60,62,65,68,70,72,75,80,82,85,87,90,95,95})-LOOKUP(M669,{12.5,15,20,30,45,60,75,105,115,150,200,225,250,600,1000},{50,55,60,62,65,68,70,72,75,80,82,85,87,90,95})))))</f>
        <v>70</v>
      </c>
      <c r="P669" s="2">
        <f t="shared" si="53"/>
        <v>-2</v>
      </c>
      <c r="Q669" s="2">
        <f t="shared" si="54"/>
        <v>-1</v>
      </c>
    </row>
    <row r="670" customHeight="1" spans="1:17">
      <c r="A670" s="2">
        <v>2026</v>
      </c>
      <c r="B670" s="2">
        <v>669</v>
      </c>
      <c r="C670" s="17">
        <f t="shared" si="52"/>
        <v>64.6</v>
      </c>
      <c r="D670" s="2" t="s">
        <v>1045</v>
      </c>
      <c r="E670" s="12">
        <v>69</v>
      </c>
      <c r="F670" s="12">
        <v>60</v>
      </c>
      <c r="G670" s="2">
        <v>58</v>
      </c>
      <c r="H670" s="2" t="s">
        <v>54</v>
      </c>
      <c r="I670" s="2" t="s">
        <v>104</v>
      </c>
      <c r="J670" s="4" t="s">
        <v>105</v>
      </c>
      <c r="K670" s="2" t="s">
        <v>1046</v>
      </c>
      <c r="M670" s="2">
        <f t="shared" si="50"/>
        <v>105</v>
      </c>
      <c r="N670" s="2">
        <f t="shared" si="51"/>
        <v>66.1</v>
      </c>
      <c r="O670" s="2">
        <f>IF(M670="","",IF(M670&gt;=1000,95,IF(M670&lt;=12.5,50,LOOKUP(M670,{12.5,15,20,30,45,60,75,105,115,150,200,225,250,600,1000},{50,55,60,62,65,68,70,72,75,80,82,85,87,90,95})+(M670-LOOKUP(M670,{12.5,15,20,30,45,60,75,105,115,150,200,225,250,600},{12.5,15,20,30,45,60,75,105,115,150,200,225,250,600}))/(LOOKUP(M670,{12.5,15,20,30,45,60,75,105,115,150,200,225,250,600,1000},{15,20,30,45,60,75,105,115,150,200,225,250,600,1000,1000})-LOOKUP(M670,{12.5,15,20,30,45,60,75,105,115,150,200,225,250,600},{12.5,15,20,30,45,60,75,105,115,150,200,225,250,600}))*(LOOKUP(M670,{12.5,15,20,30,45,60,75,105,115,150,200,225,250,600,1000},{55,60,62,65,68,70,72,75,80,82,85,87,90,95,95})-LOOKUP(M670,{12.5,15,20,30,45,60,75,105,115,150,200,225,250,600,1000},{50,55,60,62,65,68,70,72,75,80,82,85,87,90,95})))))</f>
        <v>72</v>
      </c>
      <c r="P670" s="2">
        <f t="shared" si="53"/>
        <v>-3</v>
      </c>
      <c r="Q670" s="2">
        <f t="shared" si="54"/>
        <v>-1.5</v>
      </c>
    </row>
    <row r="671" customHeight="1" spans="1:17">
      <c r="A671" s="2">
        <v>2026</v>
      </c>
      <c r="B671" s="2">
        <v>670</v>
      </c>
      <c r="C671" s="17">
        <f t="shared" si="52"/>
        <v>64.6</v>
      </c>
      <c r="D671" s="2" t="s">
        <v>1047</v>
      </c>
      <c r="E671" s="12">
        <v>67</v>
      </c>
      <c r="F671" s="2">
        <v>56</v>
      </c>
      <c r="G671" s="2">
        <v>55</v>
      </c>
      <c r="H671" s="2" t="s">
        <v>1048</v>
      </c>
      <c r="I671" s="2" t="s">
        <v>128</v>
      </c>
      <c r="J671" s="4" t="s">
        <v>38</v>
      </c>
      <c r="M671" s="2">
        <f t="shared" si="50"/>
        <v>45</v>
      </c>
      <c r="N671" s="2">
        <f t="shared" si="51"/>
        <v>63.6</v>
      </c>
      <c r="O671" s="2">
        <f>IF(M671="","",IF(M671&gt;=1000,95,IF(M671&lt;=12.5,50,LOOKUP(M671,{12.5,15,20,30,45,60,75,105,115,150,200,225,250,600,1000},{50,55,60,62,65,68,70,72,75,80,82,85,87,90,95})+(M671-LOOKUP(M671,{12.5,15,20,30,45,60,75,105,115,150,200,225,250,600},{12.5,15,20,30,45,60,75,105,115,150,200,225,250,600}))/(LOOKUP(M671,{12.5,15,20,30,45,60,75,105,115,150,200,225,250,600,1000},{15,20,30,45,60,75,105,115,150,200,225,250,600,1000,1000})-LOOKUP(M671,{12.5,15,20,30,45,60,75,105,115,150,200,225,250,600},{12.5,15,20,30,45,60,75,105,115,150,200,225,250,600}))*(LOOKUP(M671,{12.5,15,20,30,45,60,75,105,115,150,200,225,250,600,1000},{55,60,62,65,68,70,72,75,80,82,85,87,90,95,95})-LOOKUP(M671,{12.5,15,20,30,45,60,75,105,115,150,200,225,250,600,1000},{50,55,60,62,65,68,70,72,75,80,82,85,87,90,95})))))</f>
        <v>65</v>
      </c>
      <c r="P671" s="2">
        <f t="shared" si="53"/>
        <v>2</v>
      </c>
      <c r="Q671" s="2">
        <f t="shared" si="54"/>
        <v>1</v>
      </c>
    </row>
    <row r="672" customHeight="1" spans="1:17">
      <c r="B672" s="2">
        <v>671</v>
      </c>
      <c r="C672" s="17">
        <f t="shared" si="52"/>
        <v>64.57</v>
      </c>
      <c r="D672" s="2" t="s">
        <v>1049</v>
      </c>
      <c r="E672" s="12">
        <v>69</v>
      </c>
      <c r="F672" s="9">
        <v>70</v>
      </c>
      <c r="G672" s="9">
        <v>76</v>
      </c>
      <c r="H672" s="2" t="s">
        <v>175</v>
      </c>
      <c r="I672" s="2" t="s">
        <v>128</v>
      </c>
      <c r="J672" s="4" t="s">
        <v>59</v>
      </c>
      <c r="M672" s="2">
        <f t="shared" si="50"/>
        <v>150</v>
      </c>
      <c r="N672" s="2">
        <f t="shared" si="51"/>
        <v>69.9</v>
      </c>
      <c r="O672" s="2">
        <f>IF(M672="","",IF(M672&gt;=1000,95,IF(M672&lt;=12.5,50,LOOKUP(M672,{12.5,15,20,30,45,60,75,105,115,150,200,225,250,600,1000},{50,55,60,62,65,68,70,72,75,80,82,85,87,90,95})+(M672-LOOKUP(M672,{12.5,15,20,30,45,60,75,105,115,150,200,225,250,600},{12.5,15,20,30,45,60,75,105,115,150,200,225,250,600}))/(LOOKUP(M672,{12.5,15,20,30,45,60,75,105,115,150,200,225,250,600,1000},{15,20,30,45,60,75,105,115,150,200,225,250,600,1000,1000})-LOOKUP(M672,{12.5,15,20,30,45,60,75,105,115,150,200,225,250,600},{12.5,15,20,30,45,60,75,105,115,150,200,225,250,600}))*(LOOKUP(M672,{12.5,15,20,30,45,60,75,105,115,150,200,225,250,600,1000},{55,60,62,65,68,70,72,75,80,82,85,87,90,95,95})-LOOKUP(M672,{12.5,15,20,30,45,60,75,105,115,150,200,225,250,600,1000},{50,55,60,62,65,68,70,72,75,80,82,85,87,90,95})))))</f>
        <v>80</v>
      </c>
      <c r="P672" s="2">
        <f t="shared" si="53"/>
        <v>-11</v>
      </c>
      <c r="Q672" s="2">
        <f t="shared" si="54"/>
        <v>-5.33</v>
      </c>
    </row>
    <row r="673" customHeight="1" spans="1:17">
      <c r="B673" s="2">
        <v>672</v>
      </c>
      <c r="C673" s="17">
        <f t="shared" si="52"/>
        <v>64.5</v>
      </c>
      <c r="D673" s="2" t="s">
        <v>1050</v>
      </c>
      <c r="E673" s="9">
        <v>71</v>
      </c>
      <c r="F673" s="12">
        <v>68</v>
      </c>
      <c r="G673" s="2">
        <v>57</v>
      </c>
      <c r="H673" s="2" t="s">
        <v>94</v>
      </c>
      <c r="I673" s="2" t="s">
        <v>33</v>
      </c>
      <c r="J673" s="4" t="s">
        <v>59</v>
      </c>
      <c r="M673" s="2">
        <f t="shared" si="50"/>
        <v>150</v>
      </c>
      <c r="N673" s="2">
        <f t="shared" si="51"/>
        <v>69</v>
      </c>
      <c r="O673" s="2">
        <f>IF(M673="","",IF(M673&gt;=1000,95,IF(M673&lt;=12.5,50,LOOKUP(M673,{12.5,15,20,30,45,60,75,105,115,150,200,225,250,600,1000},{50,55,60,62,65,68,70,72,75,80,82,85,87,90,95})+(M673-LOOKUP(M673,{12.5,15,20,30,45,60,75,105,115,150,200,225,250,600},{12.5,15,20,30,45,60,75,105,115,150,200,225,250,600}))/(LOOKUP(M673,{12.5,15,20,30,45,60,75,105,115,150,200,225,250,600,1000},{15,20,30,45,60,75,105,115,150,200,225,250,600,1000,1000})-LOOKUP(M673,{12.5,15,20,30,45,60,75,105,115,150,200,225,250,600},{12.5,15,20,30,45,60,75,105,115,150,200,225,250,600}))*(LOOKUP(M673,{12.5,15,20,30,45,60,75,105,115,150,200,225,250,600,1000},{55,60,62,65,68,70,72,75,80,82,85,87,90,95,95})-LOOKUP(M673,{12.5,15,20,30,45,60,75,105,115,150,200,225,250,600,1000},{50,55,60,62,65,68,70,72,75,80,82,85,87,90,95})))))</f>
        <v>80</v>
      </c>
      <c r="P673" s="2">
        <f t="shared" si="53"/>
        <v>-9</v>
      </c>
      <c r="Q673" s="2">
        <f t="shared" si="54"/>
        <v>-4.5</v>
      </c>
    </row>
    <row r="674" customHeight="1" spans="1:17">
      <c r="B674" s="2">
        <v>673</v>
      </c>
      <c r="C674" s="17">
        <f t="shared" si="52"/>
        <v>64.5</v>
      </c>
      <c r="D674" s="2" t="s">
        <v>1051</v>
      </c>
      <c r="E674" s="12">
        <v>66</v>
      </c>
      <c r="F674" s="12">
        <v>60</v>
      </c>
      <c r="G674" s="2">
        <v>58</v>
      </c>
      <c r="H674" s="2" t="s">
        <v>41</v>
      </c>
      <c r="I674" s="2" t="s">
        <v>28</v>
      </c>
      <c r="J674" s="4" t="s">
        <v>38</v>
      </c>
      <c r="M674" s="2">
        <f t="shared" si="50"/>
        <v>45</v>
      </c>
      <c r="N674" s="2">
        <f t="shared" si="51"/>
        <v>64</v>
      </c>
      <c r="O674" s="2">
        <f>IF(M674="","",IF(M674&gt;=1000,95,IF(M674&lt;=12.5,50,LOOKUP(M674,{12.5,15,20,30,45,60,75,105,115,150,200,225,250,600,1000},{50,55,60,62,65,68,70,72,75,80,82,85,87,90,95})+(M674-LOOKUP(M674,{12.5,15,20,30,45,60,75,105,115,150,200,225,250,600},{12.5,15,20,30,45,60,75,105,115,150,200,225,250,600}))/(LOOKUP(M674,{12.5,15,20,30,45,60,75,105,115,150,200,225,250,600,1000},{15,20,30,45,60,75,105,115,150,200,225,250,600,1000,1000})-LOOKUP(M674,{12.5,15,20,30,45,60,75,105,115,150,200,225,250,600},{12.5,15,20,30,45,60,75,105,115,150,200,225,250,600}))*(LOOKUP(M674,{12.5,15,20,30,45,60,75,105,115,150,200,225,250,600,1000},{55,60,62,65,68,70,72,75,80,82,85,87,90,95,95})-LOOKUP(M674,{12.5,15,20,30,45,60,75,105,115,150,200,225,250,600,1000},{50,55,60,62,65,68,70,72,75,80,82,85,87,90,95})))))</f>
        <v>65</v>
      </c>
      <c r="P674" s="2">
        <f t="shared" si="53"/>
        <v>1</v>
      </c>
      <c r="Q674" s="2">
        <f t="shared" si="54"/>
        <v>0.5</v>
      </c>
    </row>
    <row r="675" customHeight="1" spans="1:17">
      <c r="A675" s="2">
        <v>2026</v>
      </c>
      <c r="B675" s="2">
        <v>674</v>
      </c>
      <c r="C675" s="17">
        <f t="shared" si="52"/>
        <v>64.5</v>
      </c>
      <c r="D675" s="2" t="s">
        <v>1052</v>
      </c>
      <c r="E675" s="12">
        <v>65</v>
      </c>
      <c r="F675" s="12">
        <v>60</v>
      </c>
      <c r="G675" s="2">
        <v>55</v>
      </c>
      <c r="H675" s="2" t="s">
        <v>54</v>
      </c>
      <c r="I675" s="2" t="s">
        <v>63</v>
      </c>
      <c r="J675" s="4" t="s">
        <v>88</v>
      </c>
      <c r="M675" s="2">
        <f t="shared" si="50"/>
        <v>30</v>
      </c>
      <c r="N675" s="2">
        <f t="shared" si="51"/>
        <v>63</v>
      </c>
      <c r="O675" s="2">
        <f>IF(M675="","",IF(M675&gt;=1000,95,IF(M675&lt;=12.5,50,LOOKUP(M675,{12.5,15,20,30,45,60,75,105,115,150,200,225,250,600,1000},{50,55,60,62,65,68,70,72,75,80,82,85,87,90,95})+(M675-LOOKUP(M675,{12.5,15,20,30,45,60,75,105,115,150,200,225,250,600},{12.5,15,20,30,45,60,75,105,115,150,200,225,250,600}))/(LOOKUP(M675,{12.5,15,20,30,45,60,75,105,115,150,200,225,250,600,1000},{15,20,30,45,60,75,105,115,150,200,225,250,600,1000,1000})-LOOKUP(M675,{12.5,15,20,30,45,60,75,105,115,150,200,225,250,600},{12.5,15,20,30,45,60,75,105,115,150,200,225,250,600}))*(LOOKUP(M675,{12.5,15,20,30,45,60,75,105,115,150,200,225,250,600,1000},{55,60,62,65,68,70,72,75,80,82,85,87,90,95,95})-LOOKUP(M675,{12.5,15,20,30,45,60,75,105,115,150,200,225,250,600,1000},{50,55,60,62,65,68,70,72,75,80,82,85,87,90,95})))))</f>
        <v>62</v>
      </c>
      <c r="P675" s="2">
        <f t="shared" si="53"/>
        <v>3</v>
      </c>
      <c r="Q675" s="2">
        <f t="shared" si="54"/>
        <v>1.5</v>
      </c>
    </row>
    <row r="676" customHeight="1" spans="1:17">
      <c r="B676" s="2">
        <v>675</v>
      </c>
      <c r="C676" s="17">
        <f t="shared" si="52"/>
        <v>64.5</v>
      </c>
      <c r="D676" s="2" t="s">
        <v>1053</v>
      </c>
      <c r="E676" s="12">
        <v>67</v>
      </c>
      <c r="F676" s="2">
        <v>58</v>
      </c>
      <c r="G676" s="2">
        <v>50</v>
      </c>
      <c r="H676" s="2" t="s">
        <v>41</v>
      </c>
      <c r="I676" s="2" t="s">
        <v>28</v>
      </c>
      <c r="J676" s="4" t="s">
        <v>38</v>
      </c>
      <c r="M676" s="2">
        <f t="shared" si="50"/>
        <v>45</v>
      </c>
      <c r="N676" s="2">
        <f t="shared" si="51"/>
        <v>63.5</v>
      </c>
      <c r="O676" s="2">
        <f>IF(M676="","",IF(M676&gt;=1000,95,IF(M676&lt;=12.5,50,LOOKUP(M676,{12.5,15,20,30,45,60,75,105,115,150,200,225,250,600,1000},{50,55,60,62,65,68,70,72,75,80,82,85,87,90,95})+(M676-LOOKUP(M676,{12.5,15,20,30,45,60,75,105,115,150,200,225,250,600},{12.5,15,20,30,45,60,75,105,115,150,200,225,250,600}))/(LOOKUP(M676,{12.5,15,20,30,45,60,75,105,115,150,200,225,250,600,1000},{15,20,30,45,60,75,105,115,150,200,225,250,600,1000,1000})-LOOKUP(M676,{12.5,15,20,30,45,60,75,105,115,150,200,225,250,600},{12.5,15,20,30,45,60,75,105,115,150,200,225,250,600}))*(LOOKUP(M676,{12.5,15,20,30,45,60,75,105,115,150,200,225,250,600,1000},{55,60,62,65,68,70,72,75,80,82,85,87,90,95,95})-LOOKUP(M676,{12.5,15,20,30,45,60,75,105,115,150,200,225,250,600,1000},{50,55,60,62,65,68,70,72,75,80,82,85,87,90,95})))))</f>
        <v>65</v>
      </c>
      <c r="P676" s="2">
        <f t="shared" si="53"/>
        <v>2</v>
      </c>
      <c r="Q676" s="2">
        <f t="shared" si="54"/>
        <v>1</v>
      </c>
    </row>
    <row r="677" customHeight="1" spans="1:17">
      <c r="B677" s="2">
        <v>676</v>
      </c>
      <c r="C677" s="17">
        <f t="shared" si="52"/>
        <v>64.5</v>
      </c>
      <c r="D677" s="2" t="s">
        <v>1054</v>
      </c>
      <c r="E677" s="9">
        <v>76</v>
      </c>
      <c r="F677" s="2">
        <v>53</v>
      </c>
      <c r="G677" s="2">
        <v>52</v>
      </c>
      <c r="H677" s="2" t="s">
        <v>848</v>
      </c>
      <c r="I677" s="2" t="s">
        <v>1055</v>
      </c>
      <c r="J677" s="4" t="s">
        <v>19</v>
      </c>
      <c r="K677" s="2" t="s">
        <v>1056</v>
      </c>
      <c r="M677" s="2">
        <f t="shared" si="50"/>
        <v>225</v>
      </c>
      <c r="N677" s="2">
        <f t="shared" si="51"/>
        <v>69</v>
      </c>
      <c r="O677" s="2">
        <f>IF(M677="","",IF(M677&gt;=1000,95,IF(M677&lt;=12.5,50,LOOKUP(M677,{12.5,15,20,30,45,60,75,105,115,150,200,225,250,600,1000},{50,55,60,62,65,68,70,72,75,80,82,85,87,90,95})+(M677-LOOKUP(M677,{12.5,15,20,30,45,60,75,105,115,150,200,225,250,600},{12.5,15,20,30,45,60,75,105,115,150,200,225,250,600}))/(LOOKUP(M677,{12.5,15,20,30,45,60,75,105,115,150,200,225,250,600,1000},{15,20,30,45,60,75,105,115,150,200,225,250,600,1000,1000})-LOOKUP(M677,{12.5,15,20,30,45,60,75,105,115,150,200,225,250,600},{12.5,15,20,30,45,60,75,105,115,150,200,225,250,600}))*(LOOKUP(M677,{12.5,15,20,30,45,60,75,105,115,150,200,225,250,600,1000},{55,60,62,65,68,70,72,75,80,82,85,87,90,95,95})-LOOKUP(M677,{12.5,15,20,30,45,60,75,105,115,150,200,225,250,600,1000},{50,55,60,62,65,68,70,72,75,80,82,85,87,90,95})))))</f>
        <v>85</v>
      </c>
      <c r="P677" s="2">
        <f t="shared" si="53"/>
        <v>-9</v>
      </c>
      <c r="Q677" s="2">
        <f t="shared" si="54"/>
        <v>-4.5</v>
      </c>
    </row>
    <row r="678" customHeight="1" spans="1:17">
      <c r="B678" s="2">
        <v>677</v>
      </c>
      <c r="C678" s="17">
        <f t="shared" si="52"/>
        <v>64.46</v>
      </c>
      <c r="D678" s="2" t="s">
        <v>1057</v>
      </c>
      <c r="E678" s="9">
        <v>73</v>
      </c>
      <c r="F678" s="12">
        <v>67</v>
      </c>
      <c r="G678" s="12">
        <v>63</v>
      </c>
      <c r="H678" s="2" t="s">
        <v>1058</v>
      </c>
      <c r="I678" s="2" t="s">
        <v>852</v>
      </c>
      <c r="J678" s="4" t="s">
        <v>123</v>
      </c>
      <c r="M678" s="2">
        <f t="shared" si="50"/>
        <v>250</v>
      </c>
      <c r="N678" s="2">
        <f t="shared" si="51"/>
        <v>70.8</v>
      </c>
      <c r="O678" s="2">
        <f>IF(M678="","",IF(M678&gt;=1000,95,IF(M678&lt;=12.5,50,LOOKUP(M678,{12.5,15,20,30,45,60,75,105,115,150,200,225,250,600,1000},{50,55,60,62,65,68,70,72,75,80,82,85,87,90,95})+(M678-LOOKUP(M678,{12.5,15,20,30,45,60,75,105,115,150,200,225,250,600},{12.5,15,20,30,45,60,75,105,115,150,200,225,250,600}))/(LOOKUP(M678,{12.5,15,20,30,45,60,75,105,115,150,200,225,250,600,1000},{15,20,30,45,60,75,105,115,150,200,225,250,600,1000,1000})-LOOKUP(M678,{12.5,15,20,30,45,60,75,105,115,150,200,225,250,600},{12.5,15,20,30,45,60,75,105,115,150,200,225,250,600}))*(LOOKUP(M678,{12.5,15,20,30,45,60,75,105,115,150,200,225,250,600,1000},{55,60,62,65,68,70,72,75,80,82,85,87,90,95,95})-LOOKUP(M678,{12.5,15,20,30,45,60,75,105,115,150,200,225,250,600,1000},{50,55,60,62,65,68,70,72,75,80,82,85,87,90,95})))))</f>
        <v>87</v>
      </c>
      <c r="P678" s="2">
        <f t="shared" si="53"/>
        <v>-14</v>
      </c>
      <c r="Q678" s="2">
        <f t="shared" si="54"/>
        <v>-6.34</v>
      </c>
    </row>
    <row r="679" customHeight="1" spans="1:17">
      <c r="B679" s="2">
        <v>678</v>
      </c>
      <c r="C679" s="17">
        <f t="shared" si="52"/>
        <v>64.4</v>
      </c>
      <c r="D679" s="2" t="s">
        <v>1059</v>
      </c>
      <c r="E679" s="12">
        <v>66</v>
      </c>
      <c r="F679" s="12">
        <v>69</v>
      </c>
      <c r="G679" s="9">
        <v>74</v>
      </c>
      <c r="H679" s="2" t="s">
        <v>41</v>
      </c>
      <c r="I679" s="2" t="s">
        <v>58</v>
      </c>
      <c r="J679" s="4" t="s">
        <v>105</v>
      </c>
      <c r="M679" s="2">
        <f t="shared" si="50"/>
        <v>105</v>
      </c>
      <c r="N679" s="2">
        <f t="shared" si="51"/>
        <v>67.4</v>
      </c>
      <c r="O679" s="2">
        <f>IF(M679="","",IF(M679&gt;=1000,95,IF(M679&lt;=12.5,50,LOOKUP(M679,{12.5,15,20,30,45,60,75,105,115,150,200,225,250,600,1000},{50,55,60,62,65,68,70,72,75,80,82,85,87,90,95})+(M679-LOOKUP(M679,{12.5,15,20,30,45,60,75,105,115,150,200,225,250,600},{12.5,15,20,30,45,60,75,105,115,150,200,225,250,600}))/(LOOKUP(M679,{12.5,15,20,30,45,60,75,105,115,150,200,225,250,600,1000},{15,20,30,45,60,75,105,115,150,200,225,250,600,1000,1000})-LOOKUP(M679,{12.5,15,20,30,45,60,75,105,115,150,200,225,250,600},{12.5,15,20,30,45,60,75,105,115,150,200,225,250,600}))*(LOOKUP(M679,{12.5,15,20,30,45,60,75,105,115,150,200,225,250,600,1000},{55,60,62,65,68,70,72,75,80,82,85,87,90,95,95})-LOOKUP(M679,{12.5,15,20,30,45,60,75,105,115,150,200,225,250,600,1000},{50,55,60,62,65,68,70,72,75,80,82,85,87,90,95})))))</f>
        <v>72</v>
      </c>
      <c r="P679" s="2">
        <f t="shared" si="53"/>
        <v>-6</v>
      </c>
      <c r="Q679" s="2">
        <f t="shared" si="54"/>
        <v>-3</v>
      </c>
    </row>
    <row r="680" customHeight="1" spans="1:17">
      <c r="B680" s="2">
        <v>679</v>
      </c>
      <c r="C680" s="17">
        <f t="shared" si="52"/>
        <v>64.4</v>
      </c>
      <c r="D680" s="2" t="s">
        <v>1060</v>
      </c>
      <c r="E680" s="12">
        <v>69</v>
      </c>
      <c r="F680" s="12">
        <v>64</v>
      </c>
      <c r="G680" s="12">
        <v>63</v>
      </c>
      <c r="H680" s="2" t="s">
        <v>37</v>
      </c>
      <c r="I680" s="2" t="s">
        <v>104</v>
      </c>
      <c r="J680" s="4" t="s">
        <v>148</v>
      </c>
      <c r="M680" s="2">
        <f t="shared" si="50"/>
        <v>115</v>
      </c>
      <c r="N680" s="2">
        <f t="shared" si="51"/>
        <v>67.4</v>
      </c>
      <c r="O680" s="2">
        <f>IF(M680="","",IF(M680&gt;=1000,95,IF(M680&lt;=12.5,50,LOOKUP(M680,{12.5,15,20,30,45,60,75,105,115,150,200,225,250,600,1000},{50,55,60,62,65,68,70,72,75,80,82,85,87,90,95})+(M680-LOOKUP(M680,{12.5,15,20,30,45,60,75,105,115,150,200,225,250,600},{12.5,15,20,30,45,60,75,105,115,150,200,225,250,600}))/(LOOKUP(M680,{12.5,15,20,30,45,60,75,105,115,150,200,225,250,600,1000},{15,20,30,45,60,75,105,115,150,200,225,250,600,1000,1000})-LOOKUP(M680,{12.5,15,20,30,45,60,75,105,115,150,200,225,250,600},{12.5,15,20,30,45,60,75,105,115,150,200,225,250,600}))*(LOOKUP(M680,{12.5,15,20,30,45,60,75,105,115,150,200,225,250,600,1000},{55,60,62,65,68,70,72,75,80,82,85,87,90,95,95})-LOOKUP(M680,{12.5,15,20,30,45,60,75,105,115,150,200,225,250,600,1000},{50,55,60,62,65,68,70,72,75,80,82,85,87,90,95})))))</f>
        <v>75</v>
      </c>
      <c r="P680" s="2">
        <f t="shared" si="53"/>
        <v>-6</v>
      </c>
      <c r="Q680" s="2">
        <f t="shared" si="54"/>
        <v>-3</v>
      </c>
    </row>
    <row r="681" customHeight="1" spans="1:17">
      <c r="B681" s="2">
        <v>680</v>
      </c>
      <c r="C681" s="17">
        <f t="shared" si="52"/>
        <v>64.4</v>
      </c>
      <c r="D681" s="2" t="s">
        <v>1061</v>
      </c>
      <c r="E681" s="12">
        <v>69</v>
      </c>
      <c r="F681" s="2">
        <v>53</v>
      </c>
      <c r="G681" s="2">
        <v>50</v>
      </c>
      <c r="H681" s="2" t="s">
        <v>37</v>
      </c>
      <c r="I681" s="2" t="s">
        <v>23</v>
      </c>
      <c r="J681" s="4" t="s">
        <v>34</v>
      </c>
      <c r="M681" s="2">
        <f t="shared" si="50"/>
        <v>60</v>
      </c>
      <c r="N681" s="2">
        <f t="shared" si="51"/>
        <v>63.9</v>
      </c>
      <c r="O681" s="2">
        <f>IF(M681="","",IF(M681&gt;=1000,95,IF(M681&lt;=12.5,50,LOOKUP(M681,{12.5,15,20,30,45,60,75,105,115,150,200,225,250,600,1000},{50,55,60,62,65,68,70,72,75,80,82,85,87,90,95})+(M681-LOOKUP(M681,{12.5,15,20,30,45,60,75,105,115,150,200,225,250,600},{12.5,15,20,30,45,60,75,105,115,150,200,225,250,600}))/(LOOKUP(M681,{12.5,15,20,30,45,60,75,105,115,150,200,225,250,600,1000},{15,20,30,45,60,75,105,115,150,200,225,250,600,1000,1000})-LOOKUP(M681,{12.5,15,20,30,45,60,75,105,115,150,200,225,250,600},{12.5,15,20,30,45,60,75,105,115,150,200,225,250,600}))*(LOOKUP(M681,{12.5,15,20,30,45,60,75,105,115,150,200,225,250,600,1000},{55,60,62,65,68,70,72,75,80,82,85,87,90,95,95})-LOOKUP(M681,{12.5,15,20,30,45,60,75,105,115,150,200,225,250,600,1000},{50,55,60,62,65,68,70,72,75,80,82,85,87,90,95})))))</f>
        <v>68</v>
      </c>
      <c r="P681" s="2">
        <f t="shared" si="53"/>
        <v>1</v>
      </c>
      <c r="Q681" s="2">
        <f t="shared" si="54"/>
        <v>0.5</v>
      </c>
    </row>
    <row r="682" customHeight="1" spans="1:17">
      <c r="B682" s="2">
        <v>681</v>
      </c>
      <c r="C682" s="17">
        <f t="shared" si="52"/>
        <v>64.4</v>
      </c>
      <c r="D682" s="2" t="s">
        <v>1062</v>
      </c>
      <c r="E682" s="12">
        <v>67</v>
      </c>
      <c r="F682" s="2">
        <v>48</v>
      </c>
      <c r="G682" s="2">
        <v>44</v>
      </c>
      <c r="H682" s="2" t="s">
        <v>37</v>
      </c>
      <c r="I682" s="2" t="s">
        <v>503</v>
      </c>
      <c r="J682" s="4" t="s">
        <v>140</v>
      </c>
      <c r="K682" s="2" t="s">
        <v>1063</v>
      </c>
      <c r="M682" s="2">
        <f t="shared" si="50"/>
        <v>20</v>
      </c>
      <c r="N682" s="2">
        <f t="shared" si="51"/>
        <v>60.9</v>
      </c>
      <c r="O682" s="2">
        <f>IF(M682="","",IF(M682&gt;=1000,95,IF(M682&lt;=12.5,50,LOOKUP(M682,{12.5,15,20,30,45,60,75,105,115,150,200,225,250,600,1000},{50,55,60,62,65,68,70,72,75,80,82,85,87,90,95})+(M682-LOOKUP(M682,{12.5,15,20,30,45,60,75,105,115,150,200,225,250,600},{12.5,15,20,30,45,60,75,105,115,150,200,225,250,600}))/(LOOKUP(M682,{12.5,15,20,30,45,60,75,105,115,150,200,225,250,600,1000},{15,20,30,45,60,75,105,115,150,200,225,250,600,1000,1000})-LOOKUP(M682,{12.5,15,20,30,45,60,75,105,115,150,200,225,250,600},{12.5,15,20,30,45,60,75,105,115,150,200,225,250,600}))*(LOOKUP(M682,{12.5,15,20,30,45,60,75,105,115,150,200,225,250,600,1000},{55,60,62,65,68,70,72,75,80,82,85,87,90,95,95})-LOOKUP(M682,{12.5,15,20,30,45,60,75,105,115,150,200,225,250,600,1000},{50,55,60,62,65,68,70,72,75,80,82,85,87,90,95})))))</f>
        <v>60</v>
      </c>
      <c r="P682" s="2">
        <f t="shared" si="53"/>
        <v>7</v>
      </c>
      <c r="Q682" s="2">
        <f t="shared" si="54"/>
        <v>3.5</v>
      </c>
    </row>
    <row r="683" customHeight="1" spans="1:17">
      <c r="B683" s="2">
        <v>682</v>
      </c>
      <c r="C683" s="17">
        <f t="shared" si="52"/>
        <v>64.4</v>
      </c>
      <c r="D683" s="2" t="s">
        <v>1064</v>
      </c>
      <c r="E683" s="12">
        <v>67</v>
      </c>
      <c r="F683" s="2">
        <v>50</v>
      </c>
      <c r="G683" s="2">
        <v>40</v>
      </c>
      <c r="H683" s="2" t="s">
        <v>41</v>
      </c>
      <c r="I683" s="2" t="s">
        <v>63</v>
      </c>
      <c r="J683" s="4" t="s">
        <v>140</v>
      </c>
      <c r="M683" s="2">
        <f t="shared" si="50"/>
        <v>20</v>
      </c>
      <c r="N683" s="2">
        <f t="shared" si="51"/>
        <v>60.9</v>
      </c>
      <c r="O683" s="2">
        <f>IF(M683="","",IF(M683&gt;=1000,95,IF(M683&lt;=12.5,50,LOOKUP(M683,{12.5,15,20,30,45,60,75,105,115,150,200,225,250,600,1000},{50,55,60,62,65,68,70,72,75,80,82,85,87,90,95})+(M683-LOOKUP(M683,{12.5,15,20,30,45,60,75,105,115,150,200,225,250,600},{12.5,15,20,30,45,60,75,105,115,150,200,225,250,600}))/(LOOKUP(M683,{12.5,15,20,30,45,60,75,105,115,150,200,225,250,600,1000},{15,20,30,45,60,75,105,115,150,200,225,250,600,1000,1000})-LOOKUP(M683,{12.5,15,20,30,45,60,75,105,115,150,200,225,250,600},{12.5,15,20,30,45,60,75,105,115,150,200,225,250,600}))*(LOOKUP(M683,{12.5,15,20,30,45,60,75,105,115,150,200,225,250,600,1000},{55,60,62,65,68,70,72,75,80,82,85,87,90,95,95})-LOOKUP(M683,{12.5,15,20,30,45,60,75,105,115,150,200,225,250,600,1000},{50,55,60,62,65,68,70,72,75,80,82,85,87,90,95})))))</f>
        <v>60</v>
      </c>
      <c r="P683" s="2">
        <f t="shared" si="53"/>
        <v>7</v>
      </c>
      <c r="Q683" s="2">
        <f t="shared" si="54"/>
        <v>3.5</v>
      </c>
    </row>
    <row r="684" customHeight="1" spans="1:17">
      <c r="A684" s="2">
        <v>2026</v>
      </c>
      <c r="B684" s="2">
        <v>683</v>
      </c>
      <c r="C684" s="17">
        <f t="shared" si="52"/>
        <v>64.3</v>
      </c>
      <c r="D684" s="2" t="s">
        <v>1065</v>
      </c>
      <c r="E684" s="12">
        <v>67</v>
      </c>
      <c r="F684" s="2">
        <v>51</v>
      </c>
      <c r="G684" s="2">
        <v>47</v>
      </c>
      <c r="H684" s="2" t="s">
        <v>41</v>
      </c>
      <c r="I684" s="2" t="s">
        <v>63</v>
      </c>
      <c r="J684" s="4" t="s">
        <v>88</v>
      </c>
      <c r="M684" s="2">
        <f t="shared" si="50"/>
        <v>30</v>
      </c>
      <c r="N684" s="2">
        <f t="shared" si="51"/>
        <v>61.8</v>
      </c>
      <c r="O684" s="2">
        <f>IF(M684="","",IF(M684&gt;=1000,95,IF(M684&lt;=12.5,50,LOOKUP(M684,{12.5,15,20,30,45,60,75,105,115,150,200,225,250,600,1000},{50,55,60,62,65,68,70,72,75,80,82,85,87,90,95})+(M684-LOOKUP(M684,{12.5,15,20,30,45,60,75,105,115,150,200,225,250,600},{12.5,15,20,30,45,60,75,105,115,150,200,225,250,600}))/(LOOKUP(M684,{12.5,15,20,30,45,60,75,105,115,150,200,225,250,600,1000},{15,20,30,45,60,75,105,115,150,200,225,250,600,1000,1000})-LOOKUP(M684,{12.5,15,20,30,45,60,75,105,115,150,200,225,250,600},{12.5,15,20,30,45,60,75,105,115,150,200,225,250,600}))*(LOOKUP(M684,{12.5,15,20,30,45,60,75,105,115,150,200,225,250,600,1000},{55,60,62,65,68,70,72,75,80,82,85,87,90,95,95})-LOOKUP(M684,{12.5,15,20,30,45,60,75,105,115,150,200,225,250,600,1000},{50,55,60,62,65,68,70,72,75,80,82,85,87,90,95})))))</f>
        <v>62</v>
      </c>
      <c r="P684" s="2">
        <f t="shared" si="53"/>
        <v>5</v>
      </c>
      <c r="Q684" s="2">
        <f t="shared" si="54"/>
        <v>2.5</v>
      </c>
    </row>
    <row r="685" customHeight="1" spans="1:17">
      <c r="B685" s="2">
        <v>684</v>
      </c>
      <c r="C685" s="17">
        <f t="shared" si="52"/>
        <v>64.3</v>
      </c>
      <c r="D685" s="2" t="s">
        <v>1066</v>
      </c>
      <c r="E685" s="9">
        <v>71</v>
      </c>
      <c r="F685" s="9">
        <v>74</v>
      </c>
      <c r="G685" s="12">
        <v>68</v>
      </c>
      <c r="H685" s="2" t="s">
        <v>444</v>
      </c>
      <c r="I685" s="2" t="s">
        <v>1067</v>
      </c>
      <c r="J685" s="4" t="s">
        <v>123</v>
      </c>
      <c r="M685" s="2">
        <f t="shared" si="50"/>
        <v>250</v>
      </c>
      <c r="N685" s="2">
        <f t="shared" si="51"/>
        <v>71.3</v>
      </c>
      <c r="O685" s="2">
        <f>IF(M685="","",IF(M685&gt;=1000,95,IF(M685&lt;=12.5,50,LOOKUP(M685,{12.5,15,20,30,45,60,75,105,115,150,200,225,250,600,1000},{50,55,60,62,65,68,70,72,75,80,82,85,87,90,95})+(M685-LOOKUP(M685,{12.5,15,20,30,45,60,75,105,115,150,200,225,250,600},{12.5,15,20,30,45,60,75,105,115,150,200,225,250,600}))/(LOOKUP(M685,{12.5,15,20,30,45,60,75,105,115,150,200,225,250,600,1000},{15,20,30,45,60,75,105,115,150,200,225,250,600,1000,1000})-LOOKUP(M685,{12.5,15,20,30,45,60,75,105,115,150,200,225,250,600},{12.5,15,20,30,45,60,75,105,115,150,200,225,250,600}))*(LOOKUP(M685,{12.5,15,20,30,45,60,75,105,115,150,200,225,250,600,1000},{55,60,62,65,68,70,72,75,80,82,85,87,90,95,95})-LOOKUP(M685,{12.5,15,20,30,45,60,75,105,115,150,200,225,250,600,1000},{50,55,60,62,65,68,70,72,75,80,82,85,87,90,95})))))</f>
        <v>87</v>
      </c>
      <c r="P685" s="2">
        <f t="shared" si="53"/>
        <v>-16</v>
      </c>
      <c r="Q685" s="2">
        <f t="shared" si="54"/>
        <v>-7</v>
      </c>
    </row>
    <row r="686" customHeight="1" spans="1:17">
      <c r="A686" s="2">
        <v>2026</v>
      </c>
      <c r="B686" s="2">
        <v>685</v>
      </c>
      <c r="C686" s="17">
        <f t="shared" si="52"/>
        <v>64.3</v>
      </c>
      <c r="D686" s="2" t="s">
        <v>1068</v>
      </c>
      <c r="E686" s="12">
        <v>67</v>
      </c>
      <c r="F686" s="12">
        <v>63</v>
      </c>
      <c r="G686" s="2">
        <v>53</v>
      </c>
      <c r="H686" s="2" t="s">
        <v>54</v>
      </c>
      <c r="I686" s="2" t="s">
        <v>104</v>
      </c>
      <c r="J686" s="4" t="s">
        <v>34</v>
      </c>
      <c r="K686" s="2" t="s">
        <v>1069</v>
      </c>
      <c r="M686" s="2">
        <f t="shared" si="50"/>
        <v>60</v>
      </c>
      <c r="N686" s="2">
        <f t="shared" si="51"/>
        <v>64.8</v>
      </c>
      <c r="O686" s="2">
        <f>IF(M686="","",IF(M686&gt;=1000,95,IF(M686&lt;=12.5,50,LOOKUP(M686,{12.5,15,20,30,45,60,75,105,115,150,200,225,250,600,1000},{50,55,60,62,65,68,70,72,75,80,82,85,87,90,95})+(M686-LOOKUP(M686,{12.5,15,20,30,45,60,75,105,115,150,200,225,250,600},{12.5,15,20,30,45,60,75,105,115,150,200,225,250,600}))/(LOOKUP(M686,{12.5,15,20,30,45,60,75,105,115,150,200,225,250,600,1000},{15,20,30,45,60,75,105,115,150,200,225,250,600,1000,1000})-LOOKUP(M686,{12.5,15,20,30,45,60,75,105,115,150,200,225,250,600},{12.5,15,20,30,45,60,75,105,115,150,200,225,250,600}))*(LOOKUP(M686,{12.5,15,20,30,45,60,75,105,115,150,200,225,250,600,1000},{55,60,62,65,68,70,72,75,80,82,85,87,90,95,95})-LOOKUP(M686,{12.5,15,20,30,45,60,75,105,115,150,200,225,250,600,1000},{50,55,60,62,65,68,70,72,75,80,82,85,87,90,95})))))</f>
        <v>68</v>
      </c>
      <c r="P686" s="2">
        <f t="shared" si="53"/>
        <v>-1</v>
      </c>
      <c r="Q686" s="2">
        <f t="shared" si="54"/>
        <v>-0.5</v>
      </c>
    </row>
    <row r="687" customHeight="1" spans="1:17">
      <c r="A687" s="2">
        <v>2026</v>
      </c>
      <c r="B687" s="2">
        <v>686</v>
      </c>
      <c r="C687" s="17">
        <f t="shared" si="52"/>
        <v>64.3</v>
      </c>
      <c r="D687" s="2" t="s">
        <v>1070</v>
      </c>
      <c r="E687" s="9">
        <v>71</v>
      </c>
      <c r="F687" s="2">
        <v>59</v>
      </c>
      <c r="G687" s="2">
        <v>23</v>
      </c>
      <c r="H687" s="2" t="s">
        <v>54</v>
      </c>
      <c r="I687" s="2" t="s">
        <v>63</v>
      </c>
      <c r="J687" s="4" t="s">
        <v>24</v>
      </c>
      <c r="M687" s="2">
        <f t="shared" si="50"/>
        <v>75</v>
      </c>
      <c r="N687" s="2">
        <f t="shared" si="51"/>
        <v>63.8</v>
      </c>
      <c r="O687" s="2">
        <f>IF(M687="","",IF(M687&gt;=1000,95,IF(M687&lt;=12.5,50,LOOKUP(M687,{12.5,15,20,30,45,60,75,105,115,150,200,225,250,600,1000},{50,55,60,62,65,68,70,72,75,80,82,85,87,90,95})+(M687-LOOKUP(M687,{12.5,15,20,30,45,60,75,105,115,150,200,225,250,600},{12.5,15,20,30,45,60,75,105,115,150,200,225,250,600}))/(LOOKUP(M687,{12.5,15,20,30,45,60,75,105,115,150,200,225,250,600,1000},{15,20,30,45,60,75,105,115,150,200,225,250,600,1000,1000})-LOOKUP(M687,{12.5,15,20,30,45,60,75,105,115,150,200,225,250,600},{12.5,15,20,30,45,60,75,105,115,150,200,225,250,600}))*(LOOKUP(M687,{12.5,15,20,30,45,60,75,105,115,150,200,225,250,600,1000},{55,60,62,65,68,70,72,75,80,82,85,87,90,95,95})-LOOKUP(M687,{12.5,15,20,30,45,60,75,105,115,150,200,225,250,600,1000},{50,55,60,62,65,68,70,72,75,80,82,85,87,90,95})))))</f>
        <v>70</v>
      </c>
      <c r="P687" s="2">
        <f t="shared" si="53"/>
        <v>1</v>
      </c>
      <c r="Q687" s="2">
        <f t="shared" si="54"/>
        <v>0.5</v>
      </c>
    </row>
    <row r="688" customHeight="1" spans="1:17">
      <c r="A688" s="2">
        <v>2026</v>
      </c>
      <c r="B688" s="2">
        <v>687</v>
      </c>
      <c r="C688" s="17">
        <f t="shared" si="52"/>
        <v>64.3</v>
      </c>
      <c r="D688" s="2" t="s">
        <v>1071</v>
      </c>
      <c r="E688" s="9">
        <v>74</v>
      </c>
      <c r="F688" s="2">
        <v>52</v>
      </c>
      <c r="G688" s="2">
        <v>51</v>
      </c>
      <c r="H688" s="2" t="s">
        <v>37</v>
      </c>
      <c r="I688" s="2" t="s">
        <v>435</v>
      </c>
      <c r="J688" s="4" t="s">
        <v>59</v>
      </c>
      <c r="M688" s="2">
        <f t="shared" si="50"/>
        <v>150</v>
      </c>
      <c r="N688" s="2">
        <f t="shared" si="51"/>
        <v>67.3</v>
      </c>
      <c r="O688" s="2">
        <f>IF(M688="","",IF(M688&gt;=1000,95,IF(M688&lt;=12.5,50,LOOKUP(M688,{12.5,15,20,30,45,60,75,105,115,150,200,225,250,600,1000},{50,55,60,62,65,68,70,72,75,80,82,85,87,90,95})+(M688-LOOKUP(M688,{12.5,15,20,30,45,60,75,105,115,150,200,225,250,600},{12.5,15,20,30,45,60,75,105,115,150,200,225,250,600}))/(LOOKUP(M688,{12.5,15,20,30,45,60,75,105,115,150,200,225,250,600,1000},{15,20,30,45,60,75,105,115,150,200,225,250,600,1000,1000})-LOOKUP(M688,{12.5,15,20,30,45,60,75,105,115,150,200,225,250,600},{12.5,15,20,30,45,60,75,105,115,150,200,225,250,600}))*(LOOKUP(M688,{12.5,15,20,30,45,60,75,105,115,150,200,225,250,600,1000},{55,60,62,65,68,70,72,75,80,82,85,87,90,95,95})-LOOKUP(M688,{12.5,15,20,30,45,60,75,105,115,150,200,225,250,600,1000},{50,55,60,62,65,68,70,72,75,80,82,85,87,90,95})))))</f>
        <v>80</v>
      </c>
      <c r="P688" s="2">
        <f t="shared" si="53"/>
        <v>-6</v>
      </c>
      <c r="Q688" s="2">
        <f t="shared" si="54"/>
        <v>-3</v>
      </c>
    </row>
    <row r="689" customHeight="1" spans="1:17">
      <c r="B689" s="2">
        <v>688</v>
      </c>
      <c r="C689" s="17">
        <f t="shared" si="52"/>
        <v>64.26</v>
      </c>
      <c r="D689" s="2" t="s">
        <v>1072</v>
      </c>
      <c r="E689" s="9">
        <v>71</v>
      </c>
      <c r="F689" s="9">
        <v>71</v>
      </c>
      <c r="G689" s="12">
        <v>67</v>
      </c>
      <c r="H689" s="2" t="s">
        <v>244</v>
      </c>
      <c r="I689" s="2" t="s">
        <v>239</v>
      </c>
      <c r="J689" s="4" t="s">
        <v>19</v>
      </c>
      <c r="K689" s="2" t="s">
        <v>1073</v>
      </c>
      <c r="M689" s="2">
        <f t="shared" si="50"/>
        <v>225</v>
      </c>
      <c r="N689" s="2">
        <f t="shared" si="51"/>
        <v>70.6</v>
      </c>
      <c r="O689" s="2">
        <f>IF(M689="","",IF(M689&gt;=1000,95,IF(M689&lt;=12.5,50,LOOKUP(M689,{12.5,15,20,30,45,60,75,105,115,150,200,225,250,600,1000},{50,55,60,62,65,68,70,72,75,80,82,85,87,90,95})+(M689-LOOKUP(M689,{12.5,15,20,30,45,60,75,105,115,150,200,225,250,600},{12.5,15,20,30,45,60,75,105,115,150,200,225,250,600}))/(LOOKUP(M689,{12.5,15,20,30,45,60,75,105,115,150,200,225,250,600,1000},{15,20,30,45,60,75,105,115,150,200,225,250,600,1000,1000})-LOOKUP(M689,{12.5,15,20,30,45,60,75,105,115,150,200,225,250,600},{12.5,15,20,30,45,60,75,105,115,150,200,225,250,600}))*(LOOKUP(M689,{12.5,15,20,30,45,60,75,105,115,150,200,225,250,600,1000},{55,60,62,65,68,70,72,75,80,82,85,87,90,95,95})-LOOKUP(M689,{12.5,15,20,30,45,60,75,105,115,150,200,225,250,600,1000},{50,55,60,62,65,68,70,72,75,80,82,85,87,90,95})))))</f>
        <v>85</v>
      </c>
      <c r="P689" s="2">
        <f t="shared" si="53"/>
        <v>-14</v>
      </c>
      <c r="Q689" s="2">
        <f t="shared" si="54"/>
        <v>-6.34</v>
      </c>
    </row>
    <row r="690" customHeight="1" spans="1:17">
      <c r="B690" s="2">
        <v>689</v>
      </c>
      <c r="C690" s="17">
        <f t="shared" si="52"/>
        <v>64.23</v>
      </c>
      <c r="D690" s="2" t="s">
        <v>1074</v>
      </c>
      <c r="E690" s="9">
        <v>72</v>
      </c>
      <c r="F690" s="9">
        <v>70</v>
      </c>
      <c r="G690" s="9">
        <v>75</v>
      </c>
      <c r="H690" s="2" t="s">
        <v>611</v>
      </c>
      <c r="I690" s="2" t="s">
        <v>577</v>
      </c>
      <c r="J690" s="4" t="s">
        <v>73</v>
      </c>
      <c r="M690" s="2">
        <f t="shared" si="50"/>
        <v>600</v>
      </c>
      <c r="N690" s="2">
        <f t="shared" si="51"/>
        <v>71.9</v>
      </c>
      <c r="O690" s="2">
        <f>IF(M690="","",IF(M690&gt;=1000,95,IF(M690&lt;=12.5,50,LOOKUP(M690,{12.5,15,20,30,45,60,75,105,115,150,200,225,250,600,1000},{50,55,60,62,65,68,70,72,75,80,82,85,87,90,95})+(M690-LOOKUP(M690,{12.5,15,20,30,45,60,75,105,115,150,200,225,250,600},{12.5,15,20,30,45,60,75,105,115,150,200,225,250,600}))/(LOOKUP(M690,{12.5,15,20,30,45,60,75,105,115,150,200,225,250,600,1000},{15,20,30,45,60,75,105,115,150,200,225,250,600,1000,1000})-LOOKUP(M690,{12.5,15,20,30,45,60,75,105,115,150,200,225,250,600},{12.5,15,20,30,45,60,75,105,115,150,200,225,250,600}))*(LOOKUP(M690,{12.5,15,20,30,45,60,75,105,115,150,200,225,250,600,1000},{55,60,62,65,68,70,72,75,80,82,85,87,90,95,95})-LOOKUP(M690,{12.5,15,20,30,45,60,75,105,115,150,200,225,250,600,1000},{50,55,60,62,65,68,70,72,75,80,82,85,87,90,95})))))</f>
        <v>90</v>
      </c>
      <c r="P690" s="2">
        <f t="shared" si="53"/>
        <v>-18</v>
      </c>
      <c r="Q690" s="2">
        <f t="shared" si="54"/>
        <v>-7.67</v>
      </c>
    </row>
    <row r="691" customHeight="1" spans="1:17">
      <c r="B691" s="2">
        <v>690</v>
      </c>
      <c r="C691" s="17">
        <f t="shared" si="52"/>
        <v>64.2</v>
      </c>
      <c r="D691" s="2" t="s">
        <v>1075</v>
      </c>
      <c r="E691" s="12">
        <v>65</v>
      </c>
      <c r="F691" s="9">
        <v>73</v>
      </c>
      <c r="G691" s="2">
        <v>56</v>
      </c>
      <c r="H691" s="2" t="s">
        <v>41</v>
      </c>
      <c r="I691" s="2" t="s">
        <v>992</v>
      </c>
      <c r="J691" s="4" t="s">
        <v>34</v>
      </c>
      <c r="M691" s="2">
        <f t="shared" si="50"/>
        <v>60</v>
      </c>
      <c r="N691" s="2">
        <f t="shared" si="51"/>
        <v>65.7</v>
      </c>
      <c r="O691" s="2">
        <f>IF(M691="","",IF(M691&gt;=1000,95,IF(M691&lt;=12.5,50,LOOKUP(M691,{12.5,15,20,30,45,60,75,105,115,150,200,225,250,600,1000},{50,55,60,62,65,68,70,72,75,80,82,85,87,90,95})+(M691-LOOKUP(M691,{12.5,15,20,30,45,60,75,105,115,150,200,225,250,600},{12.5,15,20,30,45,60,75,105,115,150,200,225,250,600}))/(LOOKUP(M691,{12.5,15,20,30,45,60,75,105,115,150,200,225,250,600,1000},{15,20,30,45,60,75,105,115,150,200,225,250,600,1000,1000})-LOOKUP(M691,{12.5,15,20,30,45,60,75,105,115,150,200,225,250,600},{12.5,15,20,30,45,60,75,105,115,150,200,225,250,600}))*(LOOKUP(M691,{12.5,15,20,30,45,60,75,105,115,150,200,225,250,600,1000},{55,60,62,65,68,70,72,75,80,82,85,87,90,95,95})-LOOKUP(M691,{12.5,15,20,30,45,60,75,105,115,150,200,225,250,600,1000},{50,55,60,62,65,68,70,72,75,80,82,85,87,90,95})))))</f>
        <v>68</v>
      </c>
      <c r="P691" s="2">
        <f t="shared" si="53"/>
        <v>-3</v>
      </c>
      <c r="Q691" s="2">
        <f t="shared" si="54"/>
        <v>-1.5</v>
      </c>
    </row>
    <row r="692" customHeight="1" spans="1:17">
      <c r="B692" s="2">
        <v>691</v>
      </c>
      <c r="C692" s="17">
        <f t="shared" si="52"/>
        <v>64.2</v>
      </c>
      <c r="D692" s="2" t="s">
        <v>1076</v>
      </c>
      <c r="E692" s="12">
        <v>67</v>
      </c>
      <c r="F692" s="12">
        <v>66</v>
      </c>
      <c r="G692" s="12">
        <v>66</v>
      </c>
      <c r="H692" s="2" t="s">
        <v>66</v>
      </c>
      <c r="I692" s="2" t="s">
        <v>154</v>
      </c>
      <c r="J692" s="4" t="s">
        <v>105</v>
      </c>
      <c r="M692" s="2">
        <f t="shared" si="50"/>
        <v>105</v>
      </c>
      <c r="N692" s="2">
        <f t="shared" si="51"/>
        <v>66.7</v>
      </c>
      <c r="O692" s="2">
        <f>IF(M692="","",IF(M692&gt;=1000,95,IF(M692&lt;=12.5,50,LOOKUP(M692,{12.5,15,20,30,45,60,75,105,115,150,200,225,250,600,1000},{50,55,60,62,65,68,70,72,75,80,82,85,87,90,95})+(M692-LOOKUP(M692,{12.5,15,20,30,45,60,75,105,115,150,200,225,250,600},{12.5,15,20,30,45,60,75,105,115,150,200,225,250,600}))/(LOOKUP(M692,{12.5,15,20,30,45,60,75,105,115,150,200,225,250,600,1000},{15,20,30,45,60,75,105,115,150,200,225,250,600,1000,1000})-LOOKUP(M692,{12.5,15,20,30,45,60,75,105,115,150,200,225,250,600},{12.5,15,20,30,45,60,75,105,115,150,200,225,250,600}))*(LOOKUP(M692,{12.5,15,20,30,45,60,75,105,115,150,200,225,250,600,1000},{55,60,62,65,68,70,72,75,80,82,85,87,90,95,95})-LOOKUP(M692,{12.5,15,20,30,45,60,75,105,115,150,200,225,250,600,1000},{50,55,60,62,65,68,70,72,75,80,82,85,87,90,95})))))</f>
        <v>72</v>
      </c>
      <c r="P692" s="2">
        <f t="shared" si="53"/>
        <v>-5</v>
      </c>
      <c r="Q692" s="2">
        <f t="shared" si="54"/>
        <v>-2.5</v>
      </c>
    </row>
    <row r="693" customHeight="1" spans="1:17">
      <c r="B693" s="2">
        <v>692</v>
      </c>
      <c r="C693" s="17">
        <f t="shared" si="52"/>
        <v>64.2</v>
      </c>
      <c r="D693" s="2" t="s">
        <v>1077</v>
      </c>
      <c r="E693" s="12">
        <v>67</v>
      </c>
      <c r="F693" s="2">
        <v>55</v>
      </c>
      <c r="G693" s="12">
        <v>68</v>
      </c>
      <c r="H693" s="2" t="s">
        <v>1017</v>
      </c>
      <c r="I693" s="2" t="s">
        <v>63</v>
      </c>
      <c r="J693" s="4" t="s">
        <v>34</v>
      </c>
      <c r="M693" s="2">
        <f t="shared" si="50"/>
        <v>60</v>
      </c>
      <c r="N693" s="2">
        <f t="shared" si="51"/>
        <v>64.7</v>
      </c>
      <c r="O693" s="2">
        <f>IF(M693="","",IF(M693&gt;=1000,95,IF(M693&lt;=12.5,50,LOOKUP(M693,{12.5,15,20,30,45,60,75,105,115,150,200,225,250,600,1000},{50,55,60,62,65,68,70,72,75,80,82,85,87,90,95})+(M693-LOOKUP(M693,{12.5,15,20,30,45,60,75,105,115,150,200,225,250,600},{12.5,15,20,30,45,60,75,105,115,150,200,225,250,600}))/(LOOKUP(M693,{12.5,15,20,30,45,60,75,105,115,150,200,225,250,600,1000},{15,20,30,45,60,75,105,115,150,200,225,250,600,1000,1000})-LOOKUP(M693,{12.5,15,20,30,45,60,75,105,115,150,200,225,250,600},{12.5,15,20,30,45,60,75,105,115,150,200,225,250,600}))*(LOOKUP(M693,{12.5,15,20,30,45,60,75,105,115,150,200,225,250,600,1000},{55,60,62,65,68,70,72,75,80,82,85,87,90,95,95})-LOOKUP(M693,{12.5,15,20,30,45,60,75,105,115,150,200,225,250,600,1000},{50,55,60,62,65,68,70,72,75,80,82,85,87,90,95})))))</f>
        <v>68</v>
      </c>
      <c r="P693" s="2">
        <f t="shared" si="53"/>
        <v>-1</v>
      </c>
      <c r="Q693" s="2">
        <f t="shared" si="54"/>
        <v>-0.5</v>
      </c>
    </row>
    <row r="694" customHeight="1" spans="1:17">
      <c r="A694" s="2">
        <v>2026</v>
      </c>
      <c r="B694" s="2">
        <v>693</v>
      </c>
      <c r="C694" s="17">
        <f t="shared" si="52"/>
        <v>64.2</v>
      </c>
      <c r="D694" s="2" t="s">
        <v>1078</v>
      </c>
      <c r="E694" s="12">
        <v>67</v>
      </c>
      <c r="F694" s="12">
        <v>60</v>
      </c>
      <c r="G694" s="2">
        <v>58</v>
      </c>
      <c r="H694" s="2" t="s">
        <v>37</v>
      </c>
      <c r="I694" s="2" t="s">
        <v>803</v>
      </c>
      <c r="J694" s="4" t="s">
        <v>34</v>
      </c>
      <c r="M694" s="2">
        <f t="shared" si="50"/>
        <v>60</v>
      </c>
      <c r="N694" s="2">
        <f t="shared" si="51"/>
        <v>64.7</v>
      </c>
      <c r="O694" s="2">
        <f>IF(M694="","",IF(M694&gt;=1000,95,IF(M694&lt;=12.5,50,LOOKUP(M694,{12.5,15,20,30,45,60,75,105,115,150,200,225,250,600,1000},{50,55,60,62,65,68,70,72,75,80,82,85,87,90,95})+(M694-LOOKUP(M694,{12.5,15,20,30,45,60,75,105,115,150,200,225,250,600},{12.5,15,20,30,45,60,75,105,115,150,200,225,250,600}))/(LOOKUP(M694,{12.5,15,20,30,45,60,75,105,115,150,200,225,250,600,1000},{15,20,30,45,60,75,105,115,150,200,225,250,600,1000,1000})-LOOKUP(M694,{12.5,15,20,30,45,60,75,105,115,150,200,225,250,600},{12.5,15,20,30,45,60,75,105,115,150,200,225,250,600}))*(LOOKUP(M694,{12.5,15,20,30,45,60,75,105,115,150,200,225,250,600,1000},{55,60,62,65,68,70,72,75,80,82,85,87,90,95,95})-LOOKUP(M694,{12.5,15,20,30,45,60,75,105,115,150,200,225,250,600,1000},{50,55,60,62,65,68,70,72,75,80,82,85,87,90,95})))))</f>
        <v>68</v>
      </c>
      <c r="P694" s="2">
        <f t="shared" si="53"/>
        <v>-1</v>
      </c>
      <c r="Q694" s="2">
        <f t="shared" si="54"/>
        <v>-0.5</v>
      </c>
    </row>
    <row r="695" customHeight="1" spans="1:17">
      <c r="A695" s="2">
        <v>2026</v>
      </c>
      <c r="B695" s="2">
        <v>694</v>
      </c>
      <c r="C695" s="17">
        <f t="shared" si="52"/>
        <v>64.2</v>
      </c>
      <c r="D695" s="2" t="s">
        <v>1079</v>
      </c>
      <c r="E695" s="12">
        <v>65</v>
      </c>
      <c r="F695" s="12">
        <v>60</v>
      </c>
      <c r="G695" s="2">
        <v>52</v>
      </c>
      <c r="H695" s="2" t="s">
        <v>54</v>
      </c>
      <c r="I695" s="2" t="s">
        <v>28</v>
      </c>
      <c r="J695" s="4" t="s">
        <v>88</v>
      </c>
      <c r="M695" s="2">
        <f t="shared" si="50"/>
        <v>30</v>
      </c>
      <c r="N695" s="2">
        <f t="shared" si="51"/>
        <v>62.7</v>
      </c>
      <c r="O695" s="2">
        <f>IF(M695="","",IF(M695&gt;=1000,95,IF(M695&lt;=12.5,50,LOOKUP(M695,{12.5,15,20,30,45,60,75,105,115,150,200,225,250,600,1000},{50,55,60,62,65,68,70,72,75,80,82,85,87,90,95})+(M695-LOOKUP(M695,{12.5,15,20,30,45,60,75,105,115,150,200,225,250,600},{12.5,15,20,30,45,60,75,105,115,150,200,225,250,600}))/(LOOKUP(M695,{12.5,15,20,30,45,60,75,105,115,150,200,225,250,600,1000},{15,20,30,45,60,75,105,115,150,200,225,250,600,1000,1000})-LOOKUP(M695,{12.5,15,20,30,45,60,75,105,115,150,200,225,250,600},{12.5,15,20,30,45,60,75,105,115,150,200,225,250,600}))*(LOOKUP(M695,{12.5,15,20,30,45,60,75,105,115,150,200,225,250,600,1000},{55,60,62,65,68,70,72,75,80,82,85,87,90,95,95})-LOOKUP(M695,{12.5,15,20,30,45,60,75,105,115,150,200,225,250,600,1000},{50,55,60,62,65,68,70,72,75,80,82,85,87,90,95})))))</f>
        <v>62</v>
      </c>
      <c r="P695" s="2">
        <f t="shared" si="53"/>
        <v>3</v>
      </c>
      <c r="Q695" s="2">
        <f t="shared" si="54"/>
        <v>1.5</v>
      </c>
    </row>
    <row r="696" customHeight="1" spans="1:17">
      <c r="A696" s="2">
        <v>2026</v>
      </c>
      <c r="B696" s="2">
        <v>695</v>
      </c>
      <c r="C696" s="17">
        <f t="shared" si="52"/>
        <v>64.2</v>
      </c>
      <c r="D696" s="2" t="s">
        <v>1080</v>
      </c>
      <c r="E696" s="12">
        <v>68</v>
      </c>
      <c r="F696" s="2">
        <v>50</v>
      </c>
      <c r="G696" s="2">
        <v>51</v>
      </c>
      <c r="H696" s="2" t="s">
        <v>41</v>
      </c>
      <c r="I696" s="2" t="s">
        <v>28</v>
      </c>
      <c r="J696" s="4" t="s">
        <v>38</v>
      </c>
      <c r="M696" s="2">
        <f t="shared" si="50"/>
        <v>45</v>
      </c>
      <c r="N696" s="2">
        <f t="shared" si="51"/>
        <v>62.7</v>
      </c>
      <c r="O696" s="2">
        <f>IF(M696="","",IF(M696&gt;=1000,95,IF(M696&lt;=12.5,50,LOOKUP(M696,{12.5,15,20,30,45,60,75,105,115,150,200,225,250,600,1000},{50,55,60,62,65,68,70,72,75,80,82,85,87,90,95})+(M696-LOOKUP(M696,{12.5,15,20,30,45,60,75,105,115,150,200,225,250,600},{12.5,15,20,30,45,60,75,105,115,150,200,225,250,600}))/(LOOKUP(M696,{12.5,15,20,30,45,60,75,105,115,150,200,225,250,600,1000},{15,20,30,45,60,75,105,115,150,200,225,250,600,1000,1000})-LOOKUP(M696,{12.5,15,20,30,45,60,75,105,115,150,200,225,250,600},{12.5,15,20,30,45,60,75,105,115,150,200,225,250,600}))*(LOOKUP(M696,{12.5,15,20,30,45,60,75,105,115,150,200,225,250,600,1000},{55,60,62,65,68,70,72,75,80,82,85,87,90,95,95})-LOOKUP(M696,{12.5,15,20,30,45,60,75,105,115,150,200,225,250,600,1000},{50,55,60,62,65,68,70,72,75,80,82,85,87,90,95})))))</f>
        <v>65</v>
      </c>
      <c r="P696" s="2">
        <f t="shared" si="53"/>
        <v>3</v>
      </c>
      <c r="Q696" s="2">
        <f t="shared" si="54"/>
        <v>1.5</v>
      </c>
    </row>
    <row r="697" customHeight="1" spans="1:17">
      <c r="A697" s="2">
        <v>2026</v>
      </c>
      <c r="B697" s="2">
        <v>696</v>
      </c>
      <c r="C697" s="17">
        <f t="shared" si="52"/>
        <v>64.1</v>
      </c>
      <c r="D697" s="2" t="s">
        <v>1081</v>
      </c>
      <c r="E697" s="12">
        <v>68</v>
      </c>
      <c r="F697" s="2">
        <v>59</v>
      </c>
      <c r="G697" s="12">
        <v>67</v>
      </c>
      <c r="H697" s="2" t="s">
        <v>54</v>
      </c>
      <c r="I697" s="2" t="s">
        <v>104</v>
      </c>
      <c r="J697" s="4" t="s">
        <v>105</v>
      </c>
      <c r="M697" s="2">
        <f t="shared" si="50"/>
        <v>105</v>
      </c>
      <c r="N697" s="2">
        <f t="shared" si="51"/>
        <v>66.1</v>
      </c>
      <c r="O697" s="2">
        <f>IF(M697="","",IF(M697&gt;=1000,95,IF(M697&lt;=12.5,50,LOOKUP(M697,{12.5,15,20,30,45,60,75,105,115,150,200,225,250,600,1000},{50,55,60,62,65,68,70,72,75,80,82,85,87,90,95})+(M697-LOOKUP(M697,{12.5,15,20,30,45,60,75,105,115,150,200,225,250,600},{12.5,15,20,30,45,60,75,105,115,150,200,225,250,600}))/(LOOKUP(M697,{12.5,15,20,30,45,60,75,105,115,150,200,225,250,600,1000},{15,20,30,45,60,75,105,115,150,200,225,250,600,1000,1000})-LOOKUP(M697,{12.5,15,20,30,45,60,75,105,115,150,200,225,250,600},{12.5,15,20,30,45,60,75,105,115,150,200,225,250,600}))*(LOOKUP(M697,{12.5,15,20,30,45,60,75,105,115,150,200,225,250,600,1000},{55,60,62,65,68,70,72,75,80,82,85,87,90,95,95})-LOOKUP(M697,{12.5,15,20,30,45,60,75,105,115,150,200,225,250,600,1000},{50,55,60,62,65,68,70,72,75,80,82,85,87,90,95})))))</f>
        <v>72</v>
      </c>
      <c r="P697" s="2">
        <f t="shared" si="53"/>
        <v>-4</v>
      </c>
      <c r="Q697" s="2">
        <f t="shared" si="54"/>
        <v>-2</v>
      </c>
    </row>
    <row r="698" customHeight="1" spans="1:17">
      <c r="A698" s="2">
        <v>2026</v>
      </c>
      <c r="B698" s="2">
        <v>697</v>
      </c>
      <c r="C698" s="17">
        <f t="shared" si="52"/>
        <v>64.1</v>
      </c>
      <c r="D698" s="2" t="s">
        <v>1082</v>
      </c>
      <c r="E698" s="12">
        <v>67</v>
      </c>
      <c r="F698" s="12">
        <v>67</v>
      </c>
      <c r="G698" s="12">
        <v>63</v>
      </c>
      <c r="H698" s="2" t="s">
        <v>41</v>
      </c>
      <c r="I698" s="2" t="s">
        <v>63</v>
      </c>
      <c r="J698" s="4" t="s">
        <v>105</v>
      </c>
      <c r="M698" s="2">
        <f t="shared" si="50"/>
        <v>105</v>
      </c>
      <c r="N698" s="2">
        <f t="shared" si="51"/>
        <v>66.6</v>
      </c>
      <c r="O698" s="2">
        <f>IF(M698="","",IF(M698&gt;=1000,95,IF(M698&lt;=12.5,50,LOOKUP(M698,{12.5,15,20,30,45,60,75,105,115,150,200,225,250,600,1000},{50,55,60,62,65,68,70,72,75,80,82,85,87,90,95})+(M698-LOOKUP(M698,{12.5,15,20,30,45,60,75,105,115,150,200,225,250,600},{12.5,15,20,30,45,60,75,105,115,150,200,225,250,600}))/(LOOKUP(M698,{12.5,15,20,30,45,60,75,105,115,150,200,225,250,600,1000},{15,20,30,45,60,75,105,115,150,200,225,250,600,1000,1000})-LOOKUP(M698,{12.5,15,20,30,45,60,75,105,115,150,200,225,250,600},{12.5,15,20,30,45,60,75,105,115,150,200,225,250,600}))*(LOOKUP(M698,{12.5,15,20,30,45,60,75,105,115,150,200,225,250,600,1000},{55,60,62,65,68,70,72,75,80,82,85,87,90,95,95})-LOOKUP(M698,{12.5,15,20,30,45,60,75,105,115,150,200,225,250,600,1000},{50,55,60,62,65,68,70,72,75,80,82,85,87,90,95})))))</f>
        <v>72</v>
      </c>
      <c r="P698" s="2">
        <f t="shared" si="53"/>
        <v>-5</v>
      </c>
      <c r="Q698" s="2">
        <f t="shared" si="54"/>
        <v>-2.5</v>
      </c>
    </row>
    <row r="699" customHeight="1" spans="1:17">
      <c r="B699" s="2">
        <v>698</v>
      </c>
      <c r="C699" s="17">
        <f t="shared" si="52"/>
        <v>64.1</v>
      </c>
      <c r="D699" s="2" t="s">
        <v>1083</v>
      </c>
      <c r="E699" s="9">
        <v>72</v>
      </c>
      <c r="F699" s="12">
        <v>62</v>
      </c>
      <c r="G699" s="9">
        <v>73</v>
      </c>
      <c r="H699" s="2" t="s">
        <v>175</v>
      </c>
      <c r="I699" s="2" t="s">
        <v>239</v>
      </c>
      <c r="J699" s="4" t="s">
        <v>19</v>
      </c>
      <c r="M699" s="2">
        <f t="shared" si="50"/>
        <v>225</v>
      </c>
      <c r="N699" s="2">
        <f t="shared" si="51"/>
        <v>70.1</v>
      </c>
      <c r="O699" s="2">
        <f>IF(M699="","",IF(M699&gt;=1000,95,IF(M699&lt;=12.5,50,LOOKUP(M699,{12.5,15,20,30,45,60,75,105,115,150,200,225,250,600,1000},{50,55,60,62,65,68,70,72,75,80,82,85,87,90,95})+(M699-LOOKUP(M699,{12.5,15,20,30,45,60,75,105,115,150,200,225,250,600},{12.5,15,20,30,45,60,75,105,115,150,200,225,250,600}))/(LOOKUP(M699,{12.5,15,20,30,45,60,75,105,115,150,200,225,250,600,1000},{15,20,30,45,60,75,105,115,150,200,225,250,600,1000,1000})-LOOKUP(M699,{12.5,15,20,30,45,60,75,105,115,150,200,225,250,600},{12.5,15,20,30,45,60,75,105,115,150,200,225,250,600}))*(LOOKUP(M699,{12.5,15,20,30,45,60,75,105,115,150,200,225,250,600,1000},{55,60,62,65,68,70,72,75,80,82,85,87,90,95,95})-LOOKUP(M699,{12.5,15,20,30,45,60,75,105,115,150,200,225,250,600,1000},{50,55,60,62,65,68,70,72,75,80,82,85,87,90,95})))))</f>
        <v>85</v>
      </c>
      <c r="P699" s="2">
        <f t="shared" si="53"/>
        <v>-13</v>
      </c>
      <c r="Q699" s="2">
        <f t="shared" si="54"/>
        <v>-6</v>
      </c>
    </row>
    <row r="700" customHeight="1" spans="1:17">
      <c r="B700" s="2">
        <v>699</v>
      </c>
      <c r="C700" s="17">
        <f t="shared" si="52"/>
        <v>64.1</v>
      </c>
      <c r="D700" s="2" t="s">
        <v>1084</v>
      </c>
      <c r="E700" s="12">
        <v>68</v>
      </c>
      <c r="F700" s="12">
        <v>60</v>
      </c>
      <c r="G700" s="12">
        <v>65</v>
      </c>
      <c r="H700" s="2" t="s">
        <v>37</v>
      </c>
      <c r="I700" s="2" t="s">
        <v>435</v>
      </c>
      <c r="J700" s="4" t="s">
        <v>105</v>
      </c>
      <c r="M700" s="2">
        <f t="shared" si="50"/>
        <v>105</v>
      </c>
      <c r="N700" s="2">
        <f t="shared" si="51"/>
        <v>66.1</v>
      </c>
      <c r="O700" s="2">
        <f>IF(M700="","",IF(M700&gt;=1000,95,IF(M700&lt;=12.5,50,LOOKUP(M700,{12.5,15,20,30,45,60,75,105,115,150,200,225,250,600,1000},{50,55,60,62,65,68,70,72,75,80,82,85,87,90,95})+(M700-LOOKUP(M700,{12.5,15,20,30,45,60,75,105,115,150,200,225,250,600},{12.5,15,20,30,45,60,75,105,115,150,200,225,250,600}))/(LOOKUP(M700,{12.5,15,20,30,45,60,75,105,115,150,200,225,250,600,1000},{15,20,30,45,60,75,105,115,150,200,225,250,600,1000,1000})-LOOKUP(M700,{12.5,15,20,30,45,60,75,105,115,150,200,225,250,600},{12.5,15,20,30,45,60,75,105,115,150,200,225,250,600}))*(LOOKUP(M700,{12.5,15,20,30,45,60,75,105,115,150,200,225,250,600,1000},{55,60,62,65,68,70,72,75,80,82,85,87,90,95,95})-LOOKUP(M700,{12.5,15,20,30,45,60,75,105,115,150,200,225,250,600,1000},{50,55,60,62,65,68,70,72,75,80,82,85,87,90,95})))))</f>
        <v>72</v>
      </c>
      <c r="P700" s="2">
        <f t="shared" si="53"/>
        <v>-4</v>
      </c>
      <c r="Q700" s="2">
        <f t="shared" si="54"/>
        <v>-2</v>
      </c>
    </row>
    <row r="701" customHeight="1" spans="1:17">
      <c r="B701" s="2">
        <v>700</v>
      </c>
      <c r="C701" s="17">
        <f t="shared" si="52"/>
        <v>64.1</v>
      </c>
      <c r="D701" s="2" t="s">
        <v>1085</v>
      </c>
      <c r="E701" s="9">
        <v>72</v>
      </c>
      <c r="F701" s="2">
        <v>56</v>
      </c>
      <c r="G701" s="12">
        <v>65</v>
      </c>
      <c r="H701" s="2" t="s">
        <v>175</v>
      </c>
      <c r="I701" s="2" t="s">
        <v>128</v>
      </c>
      <c r="J701" s="4" t="s">
        <v>59</v>
      </c>
      <c r="K701" s="2" t="s">
        <v>1086</v>
      </c>
      <c r="M701" s="2">
        <f t="shared" si="50"/>
        <v>150</v>
      </c>
      <c r="N701" s="2">
        <f t="shared" si="51"/>
        <v>68.1</v>
      </c>
      <c r="O701" s="2">
        <f>IF(M701="","",IF(M701&gt;=1000,95,IF(M701&lt;=12.5,50,LOOKUP(M701,{12.5,15,20,30,45,60,75,105,115,150,200,225,250,600,1000},{50,55,60,62,65,68,70,72,75,80,82,85,87,90,95})+(M701-LOOKUP(M701,{12.5,15,20,30,45,60,75,105,115,150,200,225,250,600},{12.5,15,20,30,45,60,75,105,115,150,200,225,250,600}))/(LOOKUP(M701,{12.5,15,20,30,45,60,75,105,115,150,200,225,250,600,1000},{15,20,30,45,60,75,105,115,150,200,225,250,600,1000,1000})-LOOKUP(M701,{12.5,15,20,30,45,60,75,105,115,150,200,225,250,600},{12.5,15,20,30,45,60,75,105,115,150,200,225,250,600}))*(LOOKUP(M701,{12.5,15,20,30,45,60,75,105,115,150,200,225,250,600,1000},{55,60,62,65,68,70,72,75,80,82,85,87,90,95,95})-LOOKUP(M701,{12.5,15,20,30,45,60,75,105,115,150,200,225,250,600,1000},{50,55,60,62,65,68,70,72,75,80,82,85,87,90,95})))))</f>
        <v>80</v>
      </c>
      <c r="P701" s="2">
        <f t="shared" si="53"/>
        <v>-8</v>
      </c>
      <c r="Q701" s="2">
        <f t="shared" si="54"/>
        <v>-4</v>
      </c>
    </row>
    <row r="702" customHeight="1" spans="1:17">
      <c r="B702" s="2">
        <v>701</v>
      </c>
      <c r="C702" s="17">
        <f t="shared" si="52"/>
        <v>64.1</v>
      </c>
      <c r="D702" s="2" t="s">
        <v>1087</v>
      </c>
      <c r="E702" s="12">
        <v>65</v>
      </c>
      <c r="F702" s="2">
        <v>49</v>
      </c>
      <c r="G702" s="2">
        <v>38</v>
      </c>
      <c r="H702" s="2" t="s">
        <v>27</v>
      </c>
      <c r="I702" s="2" t="s">
        <v>28</v>
      </c>
      <c r="J702" s="4" t="s">
        <v>29</v>
      </c>
      <c r="M702" s="2">
        <f t="shared" si="50"/>
        <v>15</v>
      </c>
      <c r="N702" s="2">
        <f t="shared" si="51"/>
        <v>59.1</v>
      </c>
      <c r="O702" s="2">
        <f>IF(M702="","",IF(M702&gt;=1000,95,IF(M702&lt;=12.5,50,LOOKUP(M702,{12.5,15,20,30,45,60,75,105,115,150,200,225,250,600,1000},{50,55,60,62,65,68,70,72,75,80,82,85,87,90,95})+(M702-LOOKUP(M702,{12.5,15,20,30,45,60,75,105,115,150,200,225,250,600},{12.5,15,20,30,45,60,75,105,115,150,200,225,250,600}))/(LOOKUP(M702,{12.5,15,20,30,45,60,75,105,115,150,200,225,250,600,1000},{15,20,30,45,60,75,105,115,150,200,225,250,600,1000,1000})-LOOKUP(M702,{12.5,15,20,30,45,60,75,105,115,150,200,225,250,600},{12.5,15,20,30,45,60,75,105,115,150,200,225,250,600}))*(LOOKUP(M702,{12.5,15,20,30,45,60,75,105,115,150,200,225,250,600,1000},{55,60,62,65,68,70,72,75,80,82,85,87,90,95,95})-LOOKUP(M702,{12.5,15,20,30,45,60,75,105,115,150,200,225,250,600,1000},{50,55,60,62,65,68,70,72,75,80,82,85,87,90,95})))))</f>
        <v>55</v>
      </c>
      <c r="P702" s="2">
        <f t="shared" si="53"/>
        <v>10</v>
      </c>
      <c r="Q702" s="2">
        <f t="shared" si="54"/>
        <v>5</v>
      </c>
    </row>
    <row r="703" customHeight="1" spans="1:17">
      <c r="B703" s="2">
        <v>702</v>
      </c>
      <c r="C703" s="17">
        <f t="shared" si="52"/>
        <v>64</v>
      </c>
      <c r="D703" s="2" t="s">
        <v>1088</v>
      </c>
      <c r="E703" s="12">
        <v>66</v>
      </c>
      <c r="F703" s="9">
        <v>71</v>
      </c>
      <c r="G703" s="2">
        <v>56</v>
      </c>
      <c r="H703" s="2" t="s">
        <v>37</v>
      </c>
      <c r="I703" s="2" t="s">
        <v>128</v>
      </c>
      <c r="J703" s="4" t="s">
        <v>24</v>
      </c>
      <c r="M703" s="2">
        <f t="shared" si="50"/>
        <v>75</v>
      </c>
      <c r="N703" s="2">
        <f t="shared" si="51"/>
        <v>66</v>
      </c>
      <c r="O703" s="2">
        <f>IF(M703="","",IF(M703&gt;=1000,95,IF(M703&lt;=12.5,50,LOOKUP(M703,{12.5,15,20,30,45,60,75,105,115,150,200,225,250,600,1000},{50,55,60,62,65,68,70,72,75,80,82,85,87,90,95})+(M703-LOOKUP(M703,{12.5,15,20,30,45,60,75,105,115,150,200,225,250,600},{12.5,15,20,30,45,60,75,105,115,150,200,225,250,600}))/(LOOKUP(M703,{12.5,15,20,30,45,60,75,105,115,150,200,225,250,600,1000},{15,20,30,45,60,75,105,115,150,200,225,250,600,1000,1000})-LOOKUP(M703,{12.5,15,20,30,45,60,75,105,115,150,200,225,250,600},{12.5,15,20,30,45,60,75,105,115,150,200,225,250,600}))*(LOOKUP(M703,{12.5,15,20,30,45,60,75,105,115,150,200,225,250,600,1000},{55,60,62,65,68,70,72,75,80,82,85,87,90,95,95})-LOOKUP(M703,{12.5,15,20,30,45,60,75,105,115,150,200,225,250,600,1000},{50,55,60,62,65,68,70,72,75,80,82,85,87,90,95})))))</f>
        <v>70</v>
      </c>
      <c r="P703" s="2">
        <f t="shared" si="53"/>
        <v>-4</v>
      </c>
      <c r="Q703" s="2">
        <f t="shared" si="54"/>
        <v>-2</v>
      </c>
    </row>
    <row r="704" customHeight="1" spans="1:17">
      <c r="A704" s="2">
        <v>2026</v>
      </c>
      <c r="B704" s="2">
        <v>703</v>
      </c>
      <c r="C704" s="17">
        <f t="shared" si="52"/>
        <v>64</v>
      </c>
      <c r="D704" s="2" t="s">
        <v>1089</v>
      </c>
      <c r="E704" s="12">
        <v>67</v>
      </c>
      <c r="F704" s="12">
        <v>63</v>
      </c>
      <c r="G704" s="9">
        <v>70</v>
      </c>
      <c r="H704" s="2" t="s">
        <v>54</v>
      </c>
      <c r="I704" s="2" t="s">
        <v>449</v>
      </c>
      <c r="J704" s="4" t="s">
        <v>105</v>
      </c>
      <c r="M704" s="2">
        <f t="shared" si="50"/>
        <v>105</v>
      </c>
      <c r="N704" s="2">
        <f t="shared" si="51"/>
        <v>66.5</v>
      </c>
      <c r="O704" s="2">
        <f>IF(M704="","",IF(M704&gt;=1000,95,IF(M704&lt;=12.5,50,LOOKUP(M704,{12.5,15,20,30,45,60,75,105,115,150,200,225,250,600,1000},{50,55,60,62,65,68,70,72,75,80,82,85,87,90,95})+(M704-LOOKUP(M704,{12.5,15,20,30,45,60,75,105,115,150,200,225,250,600},{12.5,15,20,30,45,60,75,105,115,150,200,225,250,600}))/(LOOKUP(M704,{12.5,15,20,30,45,60,75,105,115,150,200,225,250,600,1000},{15,20,30,45,60,75,105,115,150,200,225,250,600,1000,1000})-LOOKUP(M704,{12.5,15,20,30,45,60,75,105,115,150,200,225,250,600},{12.5,15,20,30,45,60,75,105,115,150,200,225,250,600}))*(LOOKUP(M704,{12.5,15,20,30,45,60,75,105,115,150,200,225,250,600,1000},{55,60,62,65,68,70,72,75,80,82,85,87,90,95,95})-LOOKUP(M704,{12.5,15,20,30,45,60,75,105,115,150,200,225,250,600,1000},{50,55,60,62,65,68,70,72,75,80,82,85,87,90,95})))))</f>
        <v>72</v>
      </c>
      <c r="P704" s="2">
        <f t="shared" si="53"/>
        <v>-5</v>
      </c>
      <c r="Q704" s="2">
        <f t="shared" si="54"/>
        <v>-2.5</v>
      </c>
    </row>
    <row r="705" customHeight="1" spans="1:17">
      <c r="B705" s="2">
        <v>704</v>
      </c>
      <c r="C705" s="17">
        <f t="shared" si="52"/>
        <v>64</v>
      </c>
      <c r="D705" s="2" t="s">
        <v>1090</v>
      </c>
      <c r="E705" s="12">
        <v>67</v>
      </c>
      <c r="F705" s="12">
        <v>60</v>
      </c>
      <c r="G705" s="2">
        <v>56</v>
      </c>
      <c r="H705" s="2" t="s">
        <v>573</v>
      </c>
      <c r="I705" s="2" t="s">
        <v>612</v>
      </c>
      <c r="J705" s="4" t="s">
        <v>34</v>
      </c>
      <c r="K705" s="2" t="s">
        <v>1091</v>
      </c>
      <c r="M705" s="2">
        <f t="shared" si="50"/>
        <v>60</v>
      </c>
      <c r="N705" s="2">
        <f t="shared" si="51"/>
        <v>64.5</v>
      </c>
      <c r="O705" s="2">
        <f>IF(M705="","",IF(M705&gt;=1000,95,IF(M705&lt;=12.5,50,LOOKUP(M705,{12.5,15,20,30,45,60,75,105,115,150,200,225,250,600,1000},{50,55,60,62,65,68,70,72,75,80,82,85,87,90,95})+(M705-LOOKUP(M705,{12.5,15,20,30,45,60,75,105,115,150,200,225,250,600},{12.5,15,20,30,45,60,75,105,115,150,200,225,250,600}))/(LOOKUP(M705,{12.5,15,20,30,45,60,75,105,115,150,200,225,250,600,1000},{15,20,30,45,60,75,105,115,150,200,225,250,600,1000,1000})-LOOKUP(M705,{12.5,15,20,30,45,60,75,105,115,150,200,225,250,600},{12.5,15,20,30,45,60,75,105,115,150,200,225,250,600}))*(LOOKUP(M705,{12.5,15,20,30,45,60,75,105,115,150,200,225,250,600,1000},{55,60,62,65,68,70,72,75,80,82,85,87,90,95,95})-LOOKUP(M705,{12.5,15,20,30,45,60,75,105,115,150,200,225,250,600,1000},{50,55,60,62,65,68,70,72,75,80,82,85,87,90,95})))))</f>
        <v>68</v>
      </c>
      <c r="P705" s="2">
        <f t="shared" si="53"/>
        <v>-1</v>
      </c>
      <c r="Q705" s="2">
        <f t="shared" si="54"/>
        <v>-0.5</v>
      </c>
    </row>
    <row r="706" customHeight="1" spans="1:17">
      <c r="B706" s="2">
        <v>705</v>
      </c>
      <c r="C706" s="17">
        <f t="shared" si="52"/>
        <v>64</v>
      </c>
      <c r="D706" s="2" t="s">
        <v>1092</v>
      </c>
      <c r="E706" s="12">
        <v>66</v>
      </c>
      <c r="F706" s="2">
        <v>59</v>
      </c>
      <c r="G706" s="2">
        <v>55</v>
      </c>
      <c r="H706" s="2" t="s">
        <v>591</v>
      </c>
      <c r="I706" s="2" t="s">
        <v>28</v>
      </c>
      <c r="J706" s="4" t="s">
        <v>38</v>
      </c>
      <c r="M706" s="2">
        <f t="shared" ref="M706:M769" si="55">IF(J706="1000+",1000,(LEFT(J706,FIND("-",J706)-1)+RIGHT(J706,LEN(J706)-FIND("-",J706)))/2)</f>
        <v>45</v>
      </c>
      <c r="N706" s="2">
        <f t="shared" ref="N706:N769" si="56">ROUND(E706*0.7+F706*0.2+G706*0.1,2)</f>
        <v>63.5</v>
      </c>
      <c r="O706" s="2">
        <f>IF(M706="","",IF(M706&gt;=1000,95,IF(M706&lt;=12.5,50,LOOKUP(M706,{12.5,15,20,30,45,60,75,105,115,150,200,225,250,600,1000},{50,55,60,62,65,68,70,72,75,80,82,85,87,90,95})+(M706-LOOKUP(M706,{12.5,15,20,30,45,60,75,105,115,150,200,225,250,600},{12.5,15,20,30,45,60,75,105,115,150,200,225,250,600}))/(LOOKUP(M706,{12.5,15,20,30,45,60,75,105,115,150,200,225,250,600,1000},{15,20,30,45,60,75,105,115,150,200,225,250,600,1000,1000})-LOOKUP(M706,{12.5,15,20,30,45,60,75,105,115,150,200,225,250,600},{12.5,15,20,30,45,60,75,105,115,150,200,225,250,600}))*(LOOKUP(M706,{12.5,15,20,30,45,60,75,105,115,150,200,225,250,600,1000},{55,60,62,65,68,70,72,75,80,82,85,87,90,95,95})-LOOKUP(M706,{12.5,15,20,30,45,60,75,105,115,150,200,225,250,600,1000},{50,55,60,62,65,68,70,72,75,80,82,85,87,90,95})))))</f>
        <v>65</v>
      </c>
      <c r="P706" s="2">
        <f t="shared" si="53"/>
        <v>1</v>
      </c>
      <c r="Q706" s="2">
        <f t="shared" si="54"/>
        <v>0.5</v>
      </c>
    </row>
    <row r="707" customHeight="1" spans="1:17">
      <c r="B707" s="2">
        <v>706</v>
      </c>
      <c r="C707" s="17">
        <f t="shared" si="52"/>
        <v>64</v>
      </c>
      <c r="D707" s="2" t="s">
        <v>1093</v>
      </c>
      <c r="E707" s="12">
        <v>69</v>
      </c>
      <c r="F707" s="2">
        <v>54</v>
      </c>
      <c r="G707" s="2">
        <v>54</v>
      </c>
      <c r="H707" s="2" t="s">
        <v>1013</v>
      </c>
      <c r="I707" s="2" t="s">
        <v>63</v>
      </c>
      <c r="J707" s="4" t="s">
        <v>24</v>
      </c>
      <c r="M707" s="2">
        <f t="shared" si="55"/>
        <v>75</v>
      </c>
      <c r="N707" s="2">
        <f t="shared" si="56"/>
        <v>64.5</v>
      </c>
      <c r="O707" s="2">
        <f>IF(M707="","",IF(M707&gt;=1000,95,IF(M707&lt;=12.5,50,LOOKUP(M707,{12.5,15,20,30,45,60,75,105,115,150,200,225,250,600,1000},{50,55,60,62,65,68,70,72,75,80,82,85,87,90,95})+(M707-LOOKUP(M707,{12.5,15,20,30,45,60,75,105,115,150,200,225,250,600},{12.5,15,20,30,45,60,75,105,115,150,200,225,250,600}))/(LOOKUP(M707,{12.5,15,20,30,45,60,75,105,115,150,200,225,250,600,1000},{15,20,30,45,60,75,105,115,150,200,225,250,600,1000,1000})-LOOKUP(M707,{12.5,15,20,30,45,60,75,105,115,150,200,225,250,600},{12.5,15,20,30,45,60,75,105,115,150,200,225,250,600}))*(LOOKUP(M707,{12.5,15,20,30,45,60,75,105,115,150,200,225,250,600,1000},{55,60,62,65,68,70,72,75,80,82,85,87,90,95,95})-LOOKUP(M707,{12.5,15,20,30,45,60,75,105,115,150,200,225,250,600,1000},{50,55,60,62,65,68,70,72,75,80,82,85,87,90,95})))))</f>
        <v>70</v>
      </c>
      <c r="P707" s="2">
        <f t="shared" si="53"/>
        <v>-1</v>
      </c>
      <c r="Q707" s="2">
        <f t="shared" si="54"/>
        <v>-0.5</v>
      </c>
    </row>
    <row r="708" customHeight="1" spans="1:17">
      <c r="B708" s="2">
        <v>707</v>
      </c>
      <c r="C708" s="17">
        <f t="shared" si="52"/>
        <v>64</v>
      </c>
      <c r="D708" s="2" t="s">
        <v>1094</v>
      </c>
      <c r="E708" s="12">
        <v>65</v>
      </c>
      <c r="F708" s="12">
        <v>50</v>
      </c>
      <c r="G708" s="2">
        <v>35</v>
      </c>
      <c r="H708" s="2" t="s">
        <v>41</v>
      </c>
      <c r="I708" s="2" t="s">
        <v>28</v>
      </c>
      <c r="J708" s="4" t="s">
        <v>29</v>
      </c>
      <c r="K708" s="2" t="s">
        <v>1095</v>
      </c>
      <c r="M708" s="2">
        <f t="shared" si="55"/>
        <v>15</v>
      </c>
      <c r="N708" s="2">
        <f t="shared" si="56"/>
        <v>59</v>
      </c>
      <c r="O708" s="2">
        <f>IF(M708="","",IF(M708&gt;=1000,95,IF(M708&lt;=12.5,50,LOOKUP(M708,{12.5,15,20,30,45,60,75,105,115,150,200,225,250,600,1000},{50,55,60,62,65,68,70,72,75,80,82,85,87,90,95})+(M708-LOOKUP(M708,{12.5,15,20,30,45,60,75,105,115,150,200,225,250,600},{12.5,15,20,30,45,60,75,105,115,150,200,225,250,600}))/(LOOKUP(M708,{12.5,15,20,30,45,60,75,105,115,150,200,225,250,600,1000},{15,20,30,45,60,75,105,115,150,200,225,250,600,1000,1000})-LOOKUP(M708,{12.5,15,20,30,45,60,75,105,115,150,200,225,250,600},{12.5,15,20,30,45,60,75,105,115,150,200,225,250,600}))*(LOOKUP(M708,{12.5,15,20,30,45,60,75,105,115,150,200,225,250,600,1000},{55,60,62,65,68,70,72,75,80,82,85,87,90,95,95})-LOOKUP(M708,{12.5,15,20,30,45,60,75,105,115,150,200,225,250,600,1000},{50,55,60,62,65,68,70,72,75,80,82,85,87,90,95})))))</f>
        <v>55</v>
      </c>
      <c r="P708" s="2">
        <f t="shared" si="53"/>
        <v>10</v>
      </c>
      <c r="Q708" s="2">
        <f t="shared" si="54"/>
        <v>5</v>
      </c>
    </row>
    <row r="709" customHeight="1" spans="1:17">
      <c r="A709" s="2">
        <v>2026</v>
      </c>
      <c r="B709" s="2">
        <v>708</v>
      </c>
      <c r="C709" s="17">
        <f t="shared" si="52"/>
        <v>64</v>
      </c>
      <c r="D709" s="2" t="s">
        <v>1096</v>
      </c>
      <c r="E709" s="12">
        <v>65</v>
      </c>
      <c r="F709" s="2">
        <v>50</v>
      </c>
      <c r="G709" s="2">
        <v>35</v>
      </c>
      <c r="H709" s="2" t="s">
        <v>54</v>
      </c>
      <c r="I709" s="2" t="s">
        <v>28</v>
      </c>
      <c r="J709" s="4" t="s">
        <v>29</v>
      </c>
      <c r="M709" s="2">
        <f t="shared" si="55"/>
        <v>15</v>
      </c>
      <c r="N709" s="2">
        <f t="shared" si="56"/>
        <v>59</v>
      </c>
      <c r="O709" s="2">
        <f>IF(M709="","",IF(M709&gt;=1000,95,IF(M709&lt;=12.5,50,LOOKUP(M709,{12.5,15,20,30,45,60,75,105,115,150,200,225,250,600,1000},{50,55,60,62,65,68,70,72,75,80,82,85,87,90,95})+(M709-LOOKUP(M709,{12.5,15,20,30,45,60,75,105,115,150,200,225,250,600},{12.5,15,20,30,45,60,75,105,115,150,200,225,250,600}))/(LOOKUP(M709,{12.5,15,20,30,45,60,75,105,115,150,200,225,250,600,1000},{15,20,30,45,60,75,105,115,150,200,225,250,600,1000,1000})-LOOKUP(M709,{12.5,15,20,30,45,60,75,105,115,150,200,225,250,600},{12.5,15,20,30,45,60,75,105,115,150,200,225,250,600}))*(LOOKUP(M709,{12.5,15,20,30,45,60,75,105,115,150,200,225,250,600,1000},{55,60,62,65,68,70,72,75,80,82,85,87,90,95,95})-LOOKUP(M709,{12.5,15,20,30,45,60,75,105,115,150,200,225,250,600,1000},{50,55,60,62,65,68,70,72,75,80,82,85,87,90,95})))))</f>
        <v>55</v>
      </c>
      <c r="P709" s="2">
        <f t="shared" si="53"/>
        <v>10</v>
      </c>
      <c r="Q709" s="2">
        <f t="shared" si="54"/>
        <v>5</v>
      </c>
    </row>
    <row r="710" customHeight="1" spans="1:17">
      <c r="B710" s="2">
        <v>709</v>
      </c>
      <c r="C710" s="17">
        <f t="shared" ref="C710:C773" si="57">ROUND(MAX(MIN(N710+Q710,100),0),2)</f>
        <v>64</v>
      </c>
      <c r="D710" s="2" t="s">
        <v>1097</v>
      </c>
      <c r="E710" s="9">
        <v>70</v>
      </c>
      <c r="F710" s="2">
        <v>50</v>
      </c>
      <c r="G710" s="2">
        <v>40</v>
      </c>
      <c r="H710" s="2" t="s">
        <v>189</v>
      </c>
      <c r="I710" s="2" t="s">
        <v>128</v>
      </c>
      <c r="J710" s="4" t="s">
        <v>34</v>
      </c>
      <c r="M710" s="2">
        <f t="shared" si="55"/>
        <v>60</v>
      </c>
      <c r="N710" s="2">
        <f t="shared" si="56"/>
        <v>63</v>
      </c>
      <c r="O710" s="2">
        <f>IF(M710="","",IF(M710&gt;=1000,95,IF(M710&lt;=12.5,50,LOOKUP(M710,{12.5,15,20,30,45,60,75,105,115,150,200,225,250,600,1000},{50,55,60,62,65,68,70,72,75,80,82,85,87,90,95})+(M710-LOOKUP(M710,{12.5,15,20,30,45,60,75,105,115,150,200,225,250,600},{12.5,15,20,30,45,60,75,105,115,150,200,225,250,600}))/(LOOKUP(M710,{12.5,15,20,30,45,60,75,105,115,150,200,225,250,600,1000},{15,20,30,45,60,75,105,115,150,200,225,250,600,1000,1000})-LOOKUP(M710,{12.5,15,20,30,45,60,75,105,115,150,200,225,250,600},{12.5,15,20,30,45,60,75,105,115,150,200,225,250,600}))*(LOOKUP(M710,{12.5,15,20,30,45,60,75,105,115,150,200,225,250,600,1000},{55,60,62,65,68,70,72,75,80,82,85,87,90,95,95})-LOOKUP(M710,{12.5,15,20,30,45,60,75,105,115,150,200,225,250,600,1000},{50,55,60,62,65,68,70,72,75,80,82,85,87,90,95})))))</f>
        <v>68</v>
      </c>
      <c r="P710" s="2">
        <f t="shared" ref="P710:P773" si="58">E710-O710</f>
        <v>2</v>
      </c>
      <c r="Q710" s="2">
        <f t="shared" ref="Q710:Q773" si="59">ROUND(SIGN(P710)*IF(ABS(P710)&lt;=10,ABS(P710)*0.5,IF(ABS(P710)&lt;=15,5+(ABS(P710)-10)*(1.67/5),6.67+(ABS(P710)-15)*0.333)),2)</f>
        <v>1</v>
      </c>
    </row>
    <row r="711" customHeight="1" spans="1:17">
      <c r="B711" s="2">
        <v>710</v>
      </c>
      <c r="C711" s="17">
        <f t="shared" si="57"/>
        <v>63.97</v>
      </c>
      <c r="D711" s="2" t="s">
        <v>1098</v>
      </c>
      <c r="E711" s="12">
        <v>62</v>
      </c>
      <c r="F711" s="2">
        <v>51</v>
      </c>
      <c r="G711" s="2">
        <v>47</v>
      </c>
      <c r="H711" s="2" t="s">
        <v>91</v>
      </c>
      <c r="I711" s="2" t="s">
        <v>28</v>
      </c>
      <c r="J711" s="4" t="s">
        <v>77</v>
      </c>
      <c r="M711" s="2">
        <f t="shared" si="55"/>
        <v>12.5</v>
      </c>
      <c r="N711" s="2">
        <f t="shared" si="56"/>
        <v>58.3</v>
      </c>
      <c r="O711" s="2">
        <f>IF(M711="","",IF(M711&gt;=1000,95,IF(M711&lt;=12.5,50,LOOKUP(M711,{12.5,15,20,30,45,60,75,105,115,150,200,225,250,600,1000},{50,55,60,62,65,68,70,72,75,80,82,85,87,90,95})+(M711-LOOKUP(M711,{12.5,15,20,30,45,60,75,105,115,150,200,225,250,600},{12.5,15,20,30,45,60,75,105,115,150,200,225,250,600}))/(LOOKUP(M711,{12.5,15,20,30,45,60,75,105,115,150,200,225,250,600,1000},{15,20,30,45,60,75,105,115,150,200,225,250,600,1000,1000})-LOOKUP(M711,{12.5,15,20,30,45,60,75,105,115,150,200,225,250,600},{12.5,15,20,30,45,60,75,105,115,150,200,225,250,600}))*(LOOKUP(M711,{12.5,15,20,30,45,60,75,105,115,150,200,225,250,600,1000},{55,60,62,65,68,70,72,75,80,82,85,87,90,95,95})-LOOKUP(M711,{12.5,15,20,30,45,60,75,105,115,150,200,225,250,600,1000},{50,55,60,62,65,68,70,72,75,80,82,85,87,90,95})))))</f>
        <v>50</v>
      </c>
      <c r="P711" s="2">
        <f t="shared" si="58"/>
        <v>12</v>
      </c>
      <c r="Q711" s="2">
        <f t="shared" si="59"/>
        <v>5.67</v>
      </c>
    </row>
    <row r="712" customHeight="1" spans="1:17">
      <c r="B712" s="2">
        <v>711</v>
      </c>
      <c r="C712" s="17">
        <f t="shared" si="57"/>
        <v>63.9</v>
      </c>
      <c r="D712" s="2" t="s">
        <v>1099</v>
      </c>
      <c r="E712" s="12">
        <v>66</v>
      </c>
      <c r="F712" s="9">
        <v>74</v>
      </c>
      <c r="G712" s="9">
        <v>74</v>
      </c>
      <c r="H712" s="2" t="s">
        <v>41</v>
      </c>
      <c r="I712" s="2" t="s">
        <v>58</v>
      </c>
      <c r="J712" s="4" t="s">
        <v>148</v>
      </c>
      <c r="M712" s="2">
        <f t="shared" si="55"/>
        <v>115</v>
      </c>
      <c r="N712" s="2">
        <f t="shared" si="56"/>
        <v>68.4</v>
      </c>
      <c r="O712" s="2">
        <f>IF(M712="","",IF(M712&gt;=1000,95,IF(M712&lt;=12.5,50,LOOKUP(M712,{12.5,15,20,30,45,60,75,105,115,150,200,225,250,600,1000},{50,55,60,62,65,68,70,72,75,80,82,85,87,90,95})+(M712-LOOKUP(M712,{12.5,15,20,30,45,60,75,105,115,150,200,225,250,600},{12.5,15,20,30,45,60,75,105,115,150,200,225,250,600}))/(LOOKUP(M712,{12.5,15,20,30,45,60,75,105,115,150,200,225,250,600,1000},{15,20,30,45,60,75,105,115,150,200,225,250,600,1000,1000})-LOOKUP(M712,{12.5,15,20,30,45,60,75,105,115,150,200,225,250,600},{12.5,15,20,30,45,60,75,105,115,150,200,225,250,600}))*(LOOKUP(M712,{12.5,15,20,30,45,60,75,105,115,150,200,225,250,600,1000},{55,60,62,65,68,70,72,75,80,82,85,87,90,95,95})-LOOKUP(M712,{12.5,15,20,30,45,60,75,105,115,150,200,225,250,600,1000},{50,55,60,62,65,68,70,72,75,80,82,85,87,90,95})))))</f>
        <v>75</v>
      </c>
      <c r="P712" s="2">
        <f t="shared" si="58"/>
        <v>-9</v>
      </c>
      <c r="Q712" s="2">
        <f t="shared" si="59"/>
        <v>-4.5</v>
      </c>
    </row>
    <row r="713" customHeight="1" spans="1:17">
      <c r="B713" s="2">
        <v>712</v>
      </c>
      <c r="C713" s="17">
        <f t="shared" si="57"/>
        <v>63.9</v>
      </c>
      <c r="D713" s="2" t="s">
        <v>1100</v>
      </c>
      <c r="E713" s="9">
        <v>71</v>
      </c>
      <c r="F713" s="9">
        <v>76</v>
      </c>
      <c r="G713" s="9">
        <v>70</v>
      </c>
      <c r="H713" s="2" t="s">
        <v>1101</v>
      </c>
      <c r="I713" s="2" t="s">
        <v>183</v>
      </c>
      <c r="J713" s="4" t="s">
        <v>73</v>
      </c>
      <c r="M713" s="2">
        <f t="shared" si="55"/>
        <v>600</v>
      </c>
      <c r="N713" s="2">
        <f t="shared" si="56"/>
        <v>71.9</v>
      </c>
      <c r="O713" s="2">
        <f>IF(M713="","",IF(M713&gt;=1000,95,IF(M713&lt;=12.5,50,LOOKUP(M713,{12.5,15,20,30,45,60,75,105,115,150,200,225,250,600,1000},{50,55,60,62,65,68,70,72,75,80,82,85,87,90,95})+(M713-LOOKUP(M713,{12.5,15,20,30,45,60,75,105,115,150,200,225,250,600},{12.5,15,20,30,45,60,75,105,115,150,200,225,250,600}))/(LOOKUP(M713,{12.5,15,20,30,45,60,75,105,115,150,200,225,250,600,1000},{15,20,30,45,60,75,105,115,150,200,225,250,600,1000,1000})-LOOKUP(M713,{12.5,15,20,30,45,60,75,105,115,150,200,225,250,600},{12.5,15,20,30,45,60,75,105,115,150,200,225,250,600}))*(LOOKUP(M713,{12.5,15,20,30,45,60,75,105,115,150,200,225,250,600,1000},{55,60,62,65,68,70,72,75,80,82,85,87,90,95,95})-LOOKUP(M713,{12.5,15,20,30,45,60,75,105,115,150,200,225,250,600,1000},{50,55,60,62,65,68,70,72,75,80,82,85,87,90,95})))))</f>
        <v>90</v>
      </c>
      <c r="P713" s="2">
        <f t="shared" si="58"/>
        <v>-19</v>
      </c>
      <c r="Q713" s="2">
        <f t="shared" si="59"/>
        <v>-8</v>
      </c>
    </row>
    <row r="714" customHeight="1" spans="1:17">
      <c r="B714" s="2">
        <v>713</v>
      </c>
      <c r="C714" s="17">
        <f t="shared" si="57"/>
        <v>63.9</v>
      </c>
      <c r="D714" s="2" t="s">
        <v>1102</v>
      </c>
      <c r="E714" s="12">
        <v>68</v>
      </c>
      <c r="F714" s="12">
        <v>66</v>
      </c>
      <c r="G714" s="12">
        <v>66</v>
      </c>
      <c r="H714" s="2" t="s">
        <v>743</v>
      </c>
      <c r="I714" s="2" t="s">
        <v>55</v>
      </c>
      <c r="J714" s="4" t="s">
        <v>148</v>
      </c>
      <c r="M714" s="2">
        <f t="shared" si="55"/>
        <v>115</v>
      </c>
      <c r="N714" s="2">
        <f t="shared" si="56"/>
        <v>67.4</v>
      </c>
      <c r="O714" s="2">
        <f>IF(M714="","",IF(M714&gt;=1000,95,IF(M714&lt;=12.5,50,LOOKUP(M714,{12.5,15,20,30,45,60,75,105,115,150,200,225,250,600,1000},{50,55,60,62,65,68,70,72,75,80,82,85,87,90,95})+(M714-LOOKUP(M714,{12.5,15,20,30,45,60,75,105,115,150,200,225,250,600},{12.5,15,20,30,45,60,75,105,115,150,200,225,250,600}))/(LOOKUP(M714,{12.5,15,20,30,45,60,75,105,115,150,200,225,250,600,1000},{15,20,30,45,60,75,105,115,150,200,225,250,600,1000,1000})-LOOKUP(M714,{12.5,15,20,30,45,60,75,105,115,150,200,225,250,600},{12.5,15,20,30,45,60,75,105,115,150,200,225,250,600}))*(LOOKUP(M714,{12.5,15,20,30,45,60,75,105,115,150,200,225,250,600,1000},{55,60,62,65,68,70,72,75,80,82,85,87,90,95,95})-LOOKUP(M714,{12.5,15,20,30,45,60,75,105,115,150,200,225,250,600,1000},{50,55,60,62,65,68,70,72,75,80,82,85,87,90,95})))))</f>
        <v>75</v>
      </c>
      <c r="P714" s="2">
        <f t="shared" si="58"/>
        <v>-7</v>
      </c>
      <c r="Q714" s="2">
        <f t="shared" si="59"/>
        <v>-3.5</v>
      </c>
    </row>
    <row r="715" customHeight="1" spans="1:17">
      <c r="B715" s="2">
        <v>714</v>
      </c>
      <c r="C715" s="17">
        <f t="shared" si="57"/>
        <v>63.9</v>
      </c>
      <c r="D715" s="2" t="s">
        <v>1103</v>
      </c>
      <c r="E715" s="12">
        <v>66</v>
      </c>
      <c r="F715" s="12">
        <v>60</v>
      </c>
      <c r="G715" s="2">
        <v>52</v>
      </c>
      <c r="H715" s="2" t="s">
        <v>41</v>
      </c>
      <c r="I715" s="2" t="s">
        <v>28</v>
      </c>
      <c r="J715" s="4" t="s">
        <v>38</v>
      </c>
      <c r="M715" s="2">
        <f t="shared" si="55"/>
        <v>45</v>
      </c>
      <c r="N715" s="2">
        <f t="shared" si="56"/>
        <v>63.4</v>
      </c>
      <c r="O715" s="2">
        <f>IF(M715="","",IF(M715&gt;=1000,95,IF(M715&lt;=12.5,50,LOOKUP(M715,{12.5,15,20,30,45,60,75,105,115,150,200,225,250,600,1000},{50,55,60,62,65,68,70,72,75,80,82,85,87,90,95})+(M715-LOOKUP(M715,{12.5,15,20,30,45,60,75,105,115,150,200,225,250,600},{12.5,15,20,30,45,60,75,105,115,150,200,225,250,600}))/(LOOKUP(M715,{12.5,15,20,30,45,60,75,105,115,150,200,225,250,600,1000},{15,20,30,45,60,75,105,115,150,200,225,250,600,1000,1000})-LOOKUP(M715,{12.5,15,20,30,45,60,75,105,115,150,200,225,250,600},{12.5,15,20,30,45,60,75,105,115,150,200,225,250,600}))*(LOOKUP(M715,{12.5,15,20,30,45,60,75,105,115,150,200,225,250,600,1000},{55,60,62,65,68,70,72,75,80,82,85,87,90,95,95})-LOOKUP(M715,{12.5,15,20,30,45,60,75,105,115,150,200,225,250,600,1000},{50,55,60,62,65,68,70,72,75,80,82,85,87,90,95})))))</f>
        <v>65</v>
      </c>
      <c r="P715" s="2">
        <f t="shared" si="58"/>
        <v>1</v>
      </c>
      <c r="Q715" s="2">
        <f t="shared" si="59"/>
        <v>0.5</v>
      </c>
    </row>
    <row r="716" customHeight="1" spans="1:17">
      <c r="A716" s="2">
        <v>2026</v>
      </c>
      <c r="B716" s="2">
        <v>715</v>
      </c>
      <c r="C716" s="17">
        <f t="shared" si="57"/>
        <v>63.9</v>
      </c>
      <c r="D716" s="2" t="s">
        <v>1104</v>
      </c>
      <c r="E716" s="12">
        <v>65</v>
      </c>
      <c r="F716" s="2">
        <v>54</v>
      </c>
      <c r="G716" s="2">
        <v>51</v>
      </c>
      <c r="H716" s="2" t="s">
        <v>41</v>
      </c>
      <c r="I716" s="2" t="s">
        <v>63</v>
      </c>
      <c r="J716" s="4" t="s">
        <v>140</v>
      </c>
      <c r="M716" s="2">
        <f t="shared" si="55"/>
        <v>20</v>
      </c>
      <c r="N716" s="2">
        <f t="shared" si="56"/>
        <v>61.4</v>
      </c>
      <c r="O716" s="2">
        <f>IF(M716="","",IF(M716&gt;=1000,95,IF(M716&lt;=12.5,50,LOOKUP(M716,{12.5,15,20,30,45,60,75,105,115,150,200,225,250,600,1000},{50,55,60,62,65,68,70,72,75,80,82,85,87,90,95})+(M716-LOOKUP(M716,{12.5,15,20,30,45,60,75,105,115,150,200,225,250,600},{12.5,15,20,30,45,60,75,105,115,150,200,225,250,600}))/(LOOKUP(M716,{12.5,15,20,30,45,60,75,105,115,150,200,225,250,600,1000},{15,20,30,45,60,75,105,115,150,200,225,250,600,1000,1000})-LOOKUP(M716,{12.5,15,20,30,45,60,75,105,115,150,200,225,250,600},{12.5,15,20,30,45,60,75,105,115,150,200,225,250,600}))*(LOOKUP(M716,{12.5,15,20,30,45,60,75,105,115,150,200,225,250,600,1000},{55,60,62,65,68,70,72,75,80,82,85,87,90,95,95})-LOOKUP(M716,{12.5,15,20,30,45,60,75,105,115,150,200,225,250,600,1000},{50,55,60,62,65,68,70,72,75,80,82,85,87,90,95})))))</f>
        <v>60</v>
      </c>
      <c r="P716" s="2">
        <f t="shared" si="58"/>
        <v>5</v>
      </c>
      <c r="Q716" s="2">
        <f t="shared" si="59"/>
        <v>2.5</v>
      </c>
    </row>
    <row r="717" customHeight="1" spans="1:17">
      <c r="A717" s="2">
        <v>2026</v>
      </c>
      <c r="B717" s="2">
        <v>716</v>
      </c>
      <c r="C717" s="17">
        <f t="shared" si="57"/>
        <v>63.9</v>
      </c>
      <c r="D717" s="2" t="s">
        <v>1105</v>
      </c>
      <c r="E717" s="9">
        <v>76</v>
      </c>
      <c r="F717" s="2">
        <v>42</v>
      </c>
      <c r="G717" s="12">
        <v>68</v>
      </c>
      <c r="H717" s="2" t="s">
        <v>54</v>
      </c>
      <c r="I717" s="2" t="s">
        <v>422</v>
      </c>
      <c r="J717" s="4" t="s">
        <v>19</v>
      </c>
      <c r="K717" s="2" t="s">
        <v>423</v>
      </c>
      <c r="M717" s="2">
        <f t="shared" si="55"/>
        <v>225</v>
      </c>
      <c r="N717" s="2">
        <f t="shared" si="56"/>
        <v>68.4</v>
      </c>
      <c r="O717" s="2">
        <f>IF(M717="","",IF(M717&gt;=1000,95,IF(M717&lt;=12.5,50,LOOKUP(M717,{12.5,15,20,30,45,60,75,105,115,150,200,225,250,600,1000},{50,55,60,62,65,68,70,72,75,80,82,85,87,90,95})+(M717-LOOKUP(M717,{12.5,15,20,30,45,60,75,105,115,150,200,225,250,600},{12.5,15,20,30,45,60,75,105,115,150,200,225,250,600}))/(LOOKUP(M717,{12.5,15,20,30,45,60,75,105,115,150,200,225,250,600,1000},{15,20,30,45,60,75,105,115,150,200,225,250,600,1000,1000})-LOOKUP(M717,{12.5,15,20,30,45,60,75,105,115,150,200,225,250,600},{12.5,15,20,30,45,60,75,105,115,150,200,225,250,600}))*(LOOKUP(M717,{12.5,15,20,30,45,60,75,105,115,150,200,225,250,600,1000},{55,60,62,65,68,70,72,75,80,82,85,87,90,95,95})-LOOKUP(M717,{12.5,15,20,30,45,60,75,105,115,150,200,225,250,600,1000},{50,55,60,62,65,68,70,72,75,80,82,85,87,90,95})))))</f>
        <v>85</v>
      </c>
      <c r="P717" s="2">
        <f t="shared" si="58"/>
        <v>-9</v>
      </c>
      <c r="Q717" s="2">
        <f t="shared" si="59"/>
        <v>-4.5</v>
      </c>
    </row>
    <row r="718" customHeight="1" spans="1:17">
      <c r="A718" s="2">
        <v>2026</v>
      </c>
      <c r="B718" s="2">
        <v>717</v>
      </c>
      <c r="C718" s="17">
        <f t="shared" si="57"/>
        <v>63.9</v>
      </c>
      <c r="D718" s="2" t="s">
        <v>1106</v>
      </c>
      <c r="E718" s="12">
        <v>67</v>
      </c>
      <c r="F718" s="2">
        <v>50</v>
      </c>
      <c r="G718" s="2">
        <v>45</v>
      </c>
      <c r="H718" s="2" t="s">
        <v>41</v>
      </c>
      <c r="I718" s="2" t="s">
        <v>63</v>
      </c>
      <c r="J718" s="4" t="s">
        <v>88</v>
      </c>
      <c r="M718" s="2">
        <f t="shared" si="55"/>
        <v>30</v>
      </c>
      <c r="N718" s="2">
        <f t="shared" si="56"/>
        <v>61.4</v>
      </c>
      <c r="O718" s="2">
        <f>IF(M718="","",IF(M718&gt;=1000,95,IF(M718&lt;=12.5,50,LOOKUP(M718,{12.5,15,20,30,45,60,75,105,115,150,200,225,250,600,1000},{50,55,60,62,65,68,70,72,75,80,82,85,87,90,95})+(M718-LOOKUP(M718,{12.5,15,20,30,45,60,75,105,115,150,200,225,250,600},{12.5,15,20,30,45,60,75,105,115,150,200,225,250,600}))/(LOOKUP(M718,{12.5,15,20,30,45,60,75,105,115,150,200,225,250,600,1000},{15,20,30,45,60,75,105,115,150,200,225,250,600,1000,1000})-LOOKUP(M718,{12.5,15,20,30,45,60,75,105,115,150,200,225,250,600},{12.5,15,20,30,45,60,75,105,115,150,200,225,250,600}))*(LOOKUP(M718,{12.5,15,20,30,45,60,75,105,115,150,200,225,250,600,1000},{55,60,62,65,68,70,72,75,80,82,85,87,90,95,95})-LOOKUP(M718,{12.5,15,20,30,45,60,75,105,115,150,200,225,250,600,1000},{50,55,60,62,65,68,70,72,75,80,82,85,87,90,95})))))</f>
        <v>62</v>
      </c>
      <c r="P718" s="2">
        <f t="shared" si="58"/>
        <v>5</v>
      </c>
      <c r="Q718" s="2">
        <f t="shared" si="59"/>
        <v>2.5</v>
      </c>
    </row>
    <row r="719" customHeight="1" spans="1:17">
      <c r="A719" s="2">
        <v>2026</v>
      </c>
      <c r="B719" s="2">
        <v>718</v>
      </c>
      <c r="C719" s="17">
        <f t="shared" si="57"/>
        <v>63.8</v>
      </c>
      <c r="D719" s="2" t="s">
        <v>1107</v>
      </c>
      <c r="E719" s="12">
        <v>66</v>
      </c>
      <c r="F719" s="12">
        <v>65</v>
      </c>
      <c r="G719" s="12">
        <v>66</v>
      </c>
      <c r="H719" s="2" t="s">
        <v>54</v>
      </c>
      <c r="I719" s="2" t="s">
        <v>104</v>
      </c>
      <c r="J719" s="4" t="s">
        <v>24</v>
      </c>
      <c r="M719" s="2">
        <f t="shared" si="55"/>
        <v>75</v>
      </c>
      <c r="N719" s="2">
        <f t="shared" si="56"/>
        <v>65.8</v>
      </c>
      <c r="O719" s="2">
        <f>IF(M719="","",IF(M719&gt;=1000,95,IF(M719&lt;=12.5,50,LOOKUP(M719,{12.5,15,20,30,45,60,75,105,115,150,200,225,250,600,1000},{50,55,60,62,65,68,70,72,75,80,82,85,87,90,95})+(M719-LOOKUP(M719,{12.5,15,20,30,45,60,75,105,115,150,200,225,250,600},{12.5,15,20,30,45,60,75,105,115,150,200,225,250,600}))/(LOOKUP(M719,{12.5,15,20,30,45,60,75,105,115,150,200,225,250,600,1000},{15,20,30,45,60,75,105,115,150,200,225,250,600,1000,1000})-LOOKUP(M719,{12.5,15,20,30,45,60,75,105,115,150,200,225,250,600},{12.5,15,20,30,45,60,75,105,115,150,200,225,250,600}))*(LOOKUP(M719,{12.5,15,20,30,45,60,75,105,115,150,200,225,250,600,1000},{55,60,62,65,68,70,72,75,80,82,85,87,90,95,95})-LOOKUP(M719,{12.5,15,20,30,45,60,75,105,115,150,200,225,250,600,1000},{50,55,60,62,65,68,70,72,75,80,82,85,87,90,95})))))</f>
        <v>70</v>
      </c>
      <c r="P719" s="2">
        <f t="shared" si="58"/>
        <v>-4</v>
      </c>
      <c r="Q719" s="2">
        <f t="shared" si="59"/>
        <v>-2</v>
      </c>
    </row>
    <row r="720" customHeight="1" spans="1:17">
      <c r="B720" s="2">
        <v>719</v>
      </c>
      <c r="C720" s="17">
        <f t="shared" si="57"/>
        <v>63.8</v>
      </c>
      <c r="D720" s="2" t="s">
        <v>1108</v>
      </c>
      <c r="E720" s="12">
        <v>67</v>
      </c>
      <c r="F720" s="12">
        <v>66</v>
      </c>
      <c r="G720" s="12">
        <v>62</v>
      </c>
      <c r="H720" s="2" t="s">
        <v>480</v>
      </c>
      <c r="I720" s="2" t="s">
        <v>354</v>
      </c>
      <c r="J720" s="4" t="s">
        <v>105</v>
      </c>
      <c r="M720" s="2">
        <f t="shared" si="55"/>
        <v>105</v>
      </c>
      <c r="N720" s="2">
        <f t="shared" si="56"/>
        <v>66.3</v>
      </c>
      <c r="O720" s="2">
        <f>IF(M720="","",IF(M720&gt;=1000,95,IF(M720&lt;=12.5,50,LOOKUP(M720,{12.5,15,20,30,45,60,75,105,115,150,200,225,250,600,1000},{50,55,60,62,65,68,70,72,75,80,82,85,87,90,95})+(M720-LOOKUP(M720,{12.5,15,20,30,45,60,75,105,115,150,200,225,250,600},{12.5,15,20,30,45,60,75,105,115,150,200,225,250,600}))/(LOOKUP(M720,{12.5,15,20,30,45,60,75,105,115,150,200,225,250,600,1000},{15,20,30,45,60,75,105,115,150,200,225,250,600,1000,1000})-LOOKUP(M720,{12.5,15,20,30,45,60,75,105,115,150,200,225,250,600},{12.5,15,20,30,45,60,75,105,115,150,200,225,250,600}))*(LOOKUP(M720,{12.5,15,20,30,45,60,75,105,115,150,200,225,250,600,1000},{55,60,62,65,68,70,72,75,80,82,85,87,90,95,95})-LOOKUP(M720,{12.5,15,20,30,45,60,75,105,115,150,200,225,250,600,1000},{50,55,60,62,65,68,70,72,75,80,82,85,87,90,95})))))</f>
        <v>72</v>
      </c>
      <c r="P720" s="2">
        <f t="shared" si="58"/>
        <v>-5</v>
      </c>
      <c r="Q720" s="2">
        <f t="shared" si="59"/>
        <v>-2.5</v>
      </c>
    </row>
    <row r="721" customHeight="1" spans="1:17">
      <c r="B721" s="2">
        <v>720</v>
      </c>
      <c r="C721" s="17">
        <f t="shared" si="57"/>
        <v>63.8</v>
      </c>
      <c r="D721" s="2" t="s">
        <v>1109</v>
      </c>
      <c r="E721" s="12">
        <v>67</v>
      </c>
      <c r="F721" s="12">
        <v>65</v>
      </c>
      <c r="G721" s="2">
        <v>54</v>
      </c>
      <c r="H721" s="2" t="s">
        <v>591</v>
      </c>
      <c r="I721" s="2" t="s">
        <v>592</v>
      </c>
      <c r="J721" s="4" t="s">
        <v>24</v>
      </c>
      <c r="M721" s="2">
        <f t="shared" si="55"/>
        <v>75</v>
      </c>
      <c r="N721" s="2">
        <f t="shared" si="56"/>
        <v>65.3</v>
      </c>
      <c r="O721" s="2">
        <f>IF(M721="","",IF(M721&gt;=1000,95,IF(M721&lt;=12.5,50,LOOKUP(M721,{12.5,15,20,30,45,60,75,105,115,150,200,225,250,600,1000},{50,55,60,62,65,68,70,72,75,80,82,85,87,90,95})+(M721-LOOKUP(M721,{12.5,15,20,30,45,60,75,105,115,150,200,225,250,600},{12.5,15,20,30,45,60,75,105,115,150,200,225,250,600}))/(LOOKUP(M721,{12.5,15,20,30,45,60,75,105,115,150,200,225,250,600,1000},{15,20,30,45,60,75,105,115,150,200,225,250,600,1000,1000})-LOOKUP(M721,{12.5,15,20,30,45,60,75,105,115,150,200,225,250,600},{12.5,15,20,30,45,60,75,105,115,150,200,225,250,600}))*(LOOKUP(M721,{12.5,15,20,30,45,60,75,105,115,150,200,225,250,600,1000},{55,60,62,65,68,70,72,75,80,82,85,87,90,95,95})-LOOKUP(M721,{12.5,15,20,30,45,60,75,105,115,150,200,225,250,600,1000},{50,55,60,62,65,68,70,72,75,80,82,85,87,90,95})))))</f>
        <v>70</v>
      </c>
      <c r="P721" s="2">
        <f t="shared" si="58"/>
        <v>-3</v>
      </c>
      <c r="Q721" s="2">
        <f t="shared" si="59"/>
        <v>-1.5</v>
      </c>
    </row>
    <row r="722" customHeight="1" spans="1:17">
      <c r="A722" s="2">
        <v>2026</v>
      </c>
      <c r="B722" s="2">
        <v>721</v>
      </c>
      <c r="C722" s="17">
        <f t="shared" si="57"/>
        <v>63.8</v>
      </c>
      <c r="D722" s="2" t="s">
        <v>1110</v>
      </c>
      <c r="E722" s="12">
        <v>65</v>
      </c>
      <c r="F722" s="2">
        <v>56</v>
      </c>
      <c r="G722" s="2">
        <v>46</v>
      </c>
      <c r="H722" s="2" t="s">
        <v>54</v>
      </c>
      <c r="I722" s="2" t="s">
        <v>28</v>
      </c>
      <c r="J722" s="4" t="s">
        <v>140</v>
      </c>
      <c r="M722" s="2">
        <f t="shared" si="55"/>
        <v>20</v>
      </c>
      <c r="N722" s="2">
        <f t="shared" si="56"/>
        <v>61.3</v>
      </c>
      <c r="O722" s="2">
        <f>IF(M722="","",IF(M722&gt;=1000,95,IF(M722&lt;=12.5,50,LOOKUP(M722,{12.5,15,20,30,45,60,75,105,115,150,200,225,250,600,1000},{50,55,60,62,65,68,70,72,75,80,82,85,87,90,95})+(M722-LOOKUP(M722,{12.5,15,20,30,45,60,75,105,115,150,200,225,250,600},{12.5,15,20,30,45,60,75,105,115,150,200,225,250,600}))/(LOOKUP(M722,{12.5,15,20,30,45,60,75,105,115,150,200,225,250,600,1000},{15,20,30,45,60,75,105,115,150,200,225,250,600,1000,1000})-LOOKUP(M722,{12.5,15,20,30,45,60,75,105,115,150,200,225,250,600},{12.5,15,20,30,45,60,75,105,115,150,200,225,250,600}))*(LOOKUP(M722,{12.5,15,20,30,45,60,75,105,115,150,200,225,250,600,1000},{55,60,62,65,68,70,72,75,80,82,85,87,90,95,95})-LOOKUP(M722,{12.5,15,20,30,45,60,75,105,115,150,200,225,250,600,1000},{50,55,60,62,65,68,70,72,75,80,82,85,87,90,95})))))</f>
        <v>60</v>
      </c>
      <c r="P722" s="2">
        <f t="shared" si="58"/>
        <v>5</v>
      </c>
      <c r="Q722" s="2">
        <f t="shared" si="59"/>
        <v>2.5</v>
      </c>
    </row>
    <row r="723" customHeight="1" spans="1:17">
      <c r="A723" s="2">
        <v>2026</v>
      </c>
      <c r="B723" s="2">
        <v>722</v>
      </c>
      <c r="C723" s="17">
        <f t="shared" si="57"/>
        <v>63.8</v>
      </c>
      <c r="D723" s="2" t="s">
        <v>1111</v>
      </c>
      <c r="E723" s="12">
        <v>68</v>
      </c>
      <c r="F723" s="2">
        <v>57</v>
      </c>
      <c r="G723" s="2">
        <v>48</v>
      </c>
      <c r="H723" s="2" t="s">
        <v>41</v>
      </c>
      <c r="I723" s="2" t="s">
        <v>321</v>
      </c>
      <c r="J723" s="4" t="s">
        <v>34</v>
      </c>
      <c r="M723" s="2">
        <f t="shared" si="55"/>
        <v>60</v>
      </c>
      <c r="N723" s="2">
        <f t="shared" si="56"/>
        <v>63.8</v>
      </c>
      <c r="O723" s="2">
        <f>IF(M723="","",IF(M723&gt;=1000,95,IF(M723&lt;=12.5,50,LOOKUP(M723,{12.5,15,20,30,45,60,75,105,115,150,200,225,250,600,1000},{50,55,60,62,65,68,70,72,75,80,82,85,87,90,95})+(M723-LOOKUP(M723,{12.5,15,20,30,45,60,75,105,115,150,200,225,250,600},{12.5,15,20,30,45,60,75,105,115,150,200,225,250,600}))/(LOOKUP(M723,{12.5,15,20,30,45,60,75,105,115,150,200,225,250,600,1000},{15,20,30,45,60,75,105,115,150,200,225,250,600,1000,1000})-LOOKUP(M723,{12.5,15,20,30,45,60,75,105,115,150,200,225,250,600},{12.5,15,20,30,45,60,75,105,115,150,200,225,250,600}))*(LOOKUP(M723,{12.5,15,20,30,45,60,75,105,115,150,200,225,250,600,1000},{55,60,62,65,68,70,72,75,80,82,85,87,90,95,95})-LOOKUP(M723,{12.5,15,20,30,45,60,75,105,115,150,200,225,250,600,1000},{50,55,60,62,65,68,70,72,75,80,82,85,87,90,95})))))</f>
        <v>68</v>
      </c>
      <c r="P723" s="2">
        <f t="shared" si="58"/>
        <v>0</v>
      </c>
      <c r="Q723" s="2">
        <f t="shared" si="59"/>
        <v>0</v>
      </c>
    </row>
    <row r="724" customHeight="1" spans="1:17">
      <c r="B724" s="2">
        <v>723</v>
      </c>
      <c r="C724" s="17">
        <f t="shared" si="57"/>
        <v>63.8</v>
      </c>
      <c r="D724" s="2" t="s">
        <v>1112</v>
      </c>
      <c r="E724" s="9">
        <v>70</v>
      </c>
      <c r="F724" s="2">
        <v>49</v>
      </c>
      <c r="G724" s="2">
        <v>40</v>
      </c>
      <c r="H724" s="2" t="s">
        <v>1113</v>
      </c>
      <c r="I724" s="2" t="s">
        <v>63</v>
      </c>
      <c r="J724" s="4" t="s">
        <v>34</v>
      </c>
      <c r="M724" s="2">
        <f t="shared" si="55"/>
        <v>60</v>
      </c>
      <c r="N724" s="2">
        <f t="shared" si="56"/>
        <v>62.8</v>
      </c>
      <c r="O724" s="2">
        <f>IF(M724="","",IF(M724&gt;=1000,95,IF(M724&lt;=12.5,50,LOOKUP(M724,{12.5,15,20,30,45,60,75,105,115,150,200,225,250,600,1000},{50,55,60,62,65,68,70,72,75,80,82,85,87,90,95})+(M724-LOOKUP(M724,{12.5,15,20,30,45,60,75,105,115,150,200,225,250,600},{12.5,15,20,30,45,60,75,105,115,150,200,225,250,600}))/(LOOKUP(M724,{12.5,15,20,30,45,60,75,105,115,150,200,225,250,600,1000},{15,20,30,45,60,75,105,115,150,200,225,250,600,1000,1000})-LOOKUP(M724,{12.5,15,20,30,45,60,75,105,115,150,200,225,250,600},{12.5,15,20,30,45,60,75,105,115,150,200,225,250,600}))*(LOOKUP(M724,{12.5,15,20,30,45,60,75,105,115,150,200,225,250,600,1000},{55,60,62,65,68,70,72,75,80,82,85,87,90,95,95})-LOOKUP(M724,{12.5,15,20,30,45,60,75,105,115,150,200,225,250,600,1000},{50,55,60,62,65,68,70,72,75,80,82,85,87,90,95})))))</f>
        <v>68</v>
      </c>
      <c r="P724" s="2">
        <f t="shared" si="58"/>
        <v>2</v>
      </c>
      <c r="Q724" s="2">
        <f t="shared" si="59"/>
        <v>1</v>
      </c>
    </row>
    <row r="725" customHeight="1" spans="1:17">
      <c r="B725" s="2">
        <v>724</v>
      </c>
      <c r="C725" s="17">
        <f t="shared" si="57"/>
        <v>63.7</v>
      </c>
      <c r="D725" s="2" t="s">
        <v>1114</v>
      </c>
      <c r="E725" s="12">
        <v>65</v>
      </c>
      <c r="F725" s="9">
        <v>70</v>
      </c>
      <c r="G725" s="2">
        <v>57</v>
      </c>
      <c r="H725" s="2" t="s">
        <v>1013</v>
      </c>
      <c r="I725" s="2" t="s">
        <v>63</v>
      </c>
      <c r="J725" s="4" t="s">
        <v>34</v>
      </c>
      <c r="M725" s="2">
        <f t="shared" si="55"/>
        <v>60</v>
      </c>
      <c r="N725" s="2">
        <f t="shared" si="56"/>
        <v>65.2</v>
      </c>
      <c r="O725" s="2">
        <f>IF(M725="","",IF(M725&gt;=1000,95,IF(M725&lt;=12.5,50,LOOKUP(M725,{12.5,15,20,30,45,60,75,105,115,150,200,225,250,600,1000},{50,55,60,62,65,68,70,72,75,80,82,85,87,90,95})+(M725-LOOKUP(M725,{12.5,15,20,30,45,60,75,105,115,150,200,225,250,600},{12.5,15,20,30,45,60,75,105,115,150,200,225,250,600}))/(LOOKUP(M725,{12.5,15,20,30,45,60,75,105,115,150,200,225,250,600,1000},{15,20,30,45,60,75,105,115,150,200,225,250,600,1000,1000})-LOOKUP(M725,{12.5,15,20,30,45,60,75,105,115,150,200,225,250,600},{12.5,15,20,30,45,60,75,105,115,150,200,225,250,600}))*(LOOKUP(M725,{12.5,15,20,30,45,60,75,105,115,150,200,225,250,600,1000},{55,60,62,65,68,70,72,75,80,82,85,87,90,95,95})-LOOKUP(M725,{12.5,15,20,30,45,60,75,105,115,150,200,225,250,600,1000},{50,55,60,62,65,68,70,72,75,80,82,85,87,90,95})))))</f>
        <v>68</v>
      </c>
      <c r="P725" s="2">
        <f t="shared" si="58"/>
        <v>-3</v>
      </c>
      <c r="Q725" s="2">
        <f t="shared" si="59"/>
        <v>-1.5</v>
      </c>
    </row>
    <row r="726" customHeight="1" spans="1:17">
      <c r="A726" s="2">
        <v>2026</v>
      </c>
      <c r="B726" s="2">
        <v>725</v>
      </c>
      <c r="C726" s="17">
        <f t="shared" si="57"/>
        <v>63.7</v>
      </c>
      <c r="D726" s="2" t="s">
        <v>1115</v>
      </c>
      <c r="E726" s="12">
        <v>64</v>
      </c>
      <c r="F726" s="12">
        <v>65</v>
      </c>
      <c r="G726" s="2">
        <v>49</v>
      </c>
      <c r="H726" s="2" t="s">
        <v>37</v>
      </c>
      <c r="I726" s="2" t="s">
        <v>63</v>
      </c>
      <c r="J726" s="4" t="s">
        <v>88</v>
      </c>
      <c r="M726" s="2">
        <f t="shared" si="55"/>
        <v>30</v>
      </c>
      <c r="N726" s="2">
        <f t="shared" si="56"/>
        <v>62.7</v>
      </c>
      <c r="O726" s="2">
        <f>IF(M726="","",IF(M726&gt;=1000,95,IF(M726&lt;=12.5,50,LOOKUP(M726,{12.5,15,20,30,45,60,75,105,115,150,200,225,250,600,1000},{50,55,60,62,65,68,70,72,75,80,82,85,87,90,95})+(M726-LOOKUP(M726,{12.5,15,20,30,45,60,75,105,115,150,200,225,250,600},{12.5,15,20,30,45,60,75,105,115,150,200,225,250,600}))/(LOOKUP(M726,{12.5,15,20,30,45,60,75,105,115,150,200,225,250,600,1000},{15,20,30,45,60,75,105,115,150,200,225,250,600,1000,1000})-LOOKUP(M726,{12.5,15,20,30,45,60,75,105,115,150,200,225,250,600},{12.5,15,20,30,45,60,75,105,115,150,200,225,250,600}))*(LOOKUP(M726,{12.5,15,20,30,45,60,75,105,115,150,200,225,250,600,1000},{55,60,62,65,68,70,72,75,80,82,85,87,90,95,95})-LOOKUP(M726,{12.5,15,20,30,45,60,75,105,115,150,200,225,250,600,1000},{50,55,60,62,65,68,70,72,75,80,82,85,87,90,95})))))</f>
        <v>62</v>
      </c>
      <c r="P726" s="2">
        <f t="shared" si="58"/>
        <v>2</v>
      </c>
      <c r="Q726" s="2">
        <f t="shared" si="59"/>
        <v>1</v>
      </c>
    </row>
    <row r="727" customHeight="1" spans="1:17">
      <c r="A727" s="2">
        <v>2026</v>
      </c>
      <c r="B727" s="2">
        <v>726</v>
      </c>
      <c r="C727" s="17">
        <f t="shared" si="57"/>
        <v>63.7</v>
      </c>
      <c r="D727" s="2" t="s">
        <v>1116</v>
      </c>
      <c r="E727" s="12">
        <v>65</v>
      </c>
      <c r="F727" s="2">
        <v>57</v>
      </c>
      <c r="G727" s="2">
        <v>53</v>
      </c>
      <c r="H727" s="2" t="s">
        <v>87</v>
      </c>
      <c r="I727" s="2" t="s">
        <v>63</v>
      </c>
      <c r="J727" s="4" t="s">
        <v>88</v>
      </c>
      <c r="M727" s="2">
        <f t="shared" si="55"/>
        <v>30</v>
      </c>
      <c r="N727" s="2">
        <f t="shared" si="56"/>
        <v>62.2</v>
      </c>
      <c r="O727" s="2">
        <f>IF(M727="","",IF(M727&gt;=1000,95,IF(M727&lt;=12.5,50,LOOKUP(M727,{12.5,15,20,30,45,60,75,105,115,150,200,225,250,600,1000},{50,55,60,62,65,68,70,72,75,80,82,85,87,90,95})+(M727-LOOKUP(M727,{12.5,15,20,30,45,60,75,105,115,150,200,225,250,600},{12.5,15,20,30,45,60,75,105,115,150,200,225,250,600}))/(LOOKUP(M727,{12.5,15,20,30,45,60,75,105,115,150,200,225,250,600,1000},{15,20,30,45,60,75,105,115,150,200,225,250,600,1000,1000})-LOOKUP(M727,{12.5,15,20,30,45,60,75,105,115,150,200,225,250,600},{12.5,15,20,30,45,60,75,105,115,150,200,225,250,600}))*(LOOKUP(M727,{12.5,15,20,30,45,60,75,105,115,150,200,225,250,600,1000},{55,60,62,65,68,70,72,75,80,82,85,87,90,95,95})-LOOKUP(M727,{12.5,15,20,30,45,60,75,105,115,150,200,225,250,600,1000},{50,55,60,62,65,68,70,72,75,80,82,85,87,90,95})))))</f>
        <v>62</v>
      </c>
      <c r="P727" s="2">
        <f t="shared" si="58"/>
        <v>3</v>
      </c>
      <c r="Q727" s="2">
        <f t="shared" si="59"/>
        <v>1.5</v>
      </c>
    </row>
    <row r="728" customHeight="1" spans="1:17">
      <c r="B728" s="2">
        <v>727</v>
      </c>
      <c r="C728" s="17">
        <f t="shared" si="57"/>
        <v>63.7</v>
      </c>
      <c r="D728" s="2" t="s">
        <v>1117</v>
      </c>
      <c r="E728" s="12">
        <v>66</v>
      </c>
      <c r="F728" s="2">
        <v>55</v>
      </c>
      <c r="G728" s="2">
        <v>45</v>
      </c>
      <c r="H728" s="2" t="s">
        <v>41</v>
      </c>
      <c r="I728" s="2" t="s">
        <v>63</v>
      </c>
      <c r="J728" s="4" t="s">
        <v>88</v>
      </c>
      <c r="M728" s="2">
        <f t="shared" si="55"/>
        <v>30</v>
      </c>
      <c r="N728" s="2">
        <f t="shared" si="56"/>
        <v>61.7</v>
      </c>
      <c r="O728" s="2">
        <f>IF(M728="","",IF(M728&gt;=1000,95,IF(M728&lt;=12.5,50,LOOKUP(M728,{12.5,15,20,30,45,60,75,105,115,150,200,225,250,600,1000},{50,55,60,62,65,68,70,72,75,80,82,85,87,90,95})+(M728-LOOKUP(M728,{12.5,15,20,30,45,60,75,105,115,150,200,225,250,600},{12.5,15,20,30,45,60,75,105,115,150,200,225,250,600}))/(LOOKUP(M728,{12.5,15,20,30,45,60,75,105,115,150,200,225,250,600,1000},{15,20,30,45,60,75,105,115,150,200,225,250,600,1000,1000})-LOOKUP(M728,{12.5,15,20,30,45,60,75,105,115,150,200,225,250,600},{12.5,15,20,30,45,60,75,105,115,150,200,225,250,600}))*(LOOKUP(M728,{12.5,15,20,30,45,60,75,105,115,150,200,225,250,600,1000},{55,60,62,65,68,70,72,75,80,82,85,87,90,95,95})-LOOKUP(M728,{12.5,15,20,30,45,60,75,105,115,150,200,225,250,600,1000},{50,55,60,62,65,68,70,72,75,80,82,85,87,90,95})))))</f>
        <v>62</v>
      </c>
      <c r="P728" s="2">
        <f t="shared" si="58"/>
        <v>4</v>
      </c>
      <c r="Q728" s="2">
        <f t="shared" si="59"/>
        <v>2</v>
      </c>
    </row>
    <row r="729" customHeight="1" spans="1:17">
      <c r="A729" s="2">
        <v>2026</v>
      </c>
      <c r="B729" s="2">
        <v>728</v>
      </c>
      <c r="C729" s="17">
        <f t="shared" si="57"/>
        <v>63.7</v>
      </c>
      <c r="D729" s="2" t="s">
        <v>1118</v>
      </c>
      <c r="E729" s="9">
        <v>70</v>
      </c>
      <c r="F729" s="2">
        <v>50</v>
      </c>
      <c r="G729" s="2">
        <v>57</v>
      </c>
      <c r="H729" s="2" t="s">
        <v>94</v>
      </c>
      <c r="I729" s="2" t="s">
        <v>63</v>
      </c>
      <c r="J729" s="4" t="s">
        <v>105</v>
      </c>
      <c r="M729" s="2">
        <f t="shared" si="55"/>
        <v>105</v>
      </c>
      <c r="N729" s="2">
        <f t="shared" si="56"/>
        <v>64.7</v>
      </c>
      <c r="O729" s="2">
        <f>IF(M729="","",IF(M729&gt;=1000,95,IF(M729&lt;=12.5,50,LOOKUP(M729,{12.5,15,20,30,45,60,75,105,115,150,200,225,250,600,1000},{50,55,60,62,65,68,70,72,75,80,82,85,87,90,95})+(M729-LOOKUP(M729,{12.5,15,20,30,45,60,75,105,115,150,200,225,250,600},{12.5,15,20,30,45,60,75,105,115,150,200,225,250,600}))/(LOOKUP(M729,{12.5,15,20,30,45,60,75,105,115,150,200,225,250,600,1000},{15,20,30,45,60,75,105,115,150,200,225,250,600,1000,1000})-LOOKUP(M729,{12.5,15,20,30,45,60,75,105,115,150,200,225,250,600},{12.5,15,20,30,45,60,75,105,115,150,200,225,250,600}))*(LOOKUP(M729,{12.5,15,20,30,45,60,75,105,115,150,200,225,250,600,1000},{55,60,62,65,68,70,72,75,80,82,85,87,90,95,95})-LOOKUP(M729,{12.5,15,20,30,45,60,75,105,115,150,200,225,250,600,1000},{50,55,60,62,65,68,70,72,75,80,82,85,87,90,95})))))</f>
        <v>72</v>
      </c>
      <c r="P729" s="2">
        <f t="shared" si="58"/>
        <v>-2</v>
      </c>
      <c r="Q729" s="2">
        <f t="shared" si="59"/>
        <v>-1</v>
      </c>
    </row>
    <row r="730" customHeight="1" spans="1:17">
      <c r="B730" s="2">
        <v>729</v>
      </c>
      <c r="C730" s="17">
        <f t="shared" si="57"/>
        <v>63.6</v>
      </c>
      <c r="D730" s="2" t="s">
        <v>1119</v>
      </c>
      <c r="E730" s="12">
        <v>66</v>
      </c>
      <c r="F730" s="12">
        <v>65</v>
      </c>
      <c r="G730" s="12">
        <v>64</v>
      </c>
      <c r="H730" s="2" t="s">
        <v>41</v>
      </c>
      <c r="I730" s="2" t="s">
        <v>104</v>
      </c>
      <c r="J730" s="4" t="s">
        <v>24</v>
      </c>
      <c r="M730" s="2">
        <f t="shared" si="55"/>
        <v>75</v>
      </c>
      <c r="N730" s="2">
        <f t="shared" si="56"/>
        <v>65.6</v>
      </c>
      <c r="O730" s="2">
        <f>IF(M730="","",IF(M730&gt;=1000,95,IF(M730&lt;=12.5,50,LOOKUP(M730,{12.5,15,20,30,45,60,75,105,115,150,200,225,250,600,1000},{50,55,60,62,65,68,70,72,75,80,82,85,87,90,95})+(M730-LOOKUP(M730,{12.5,15,20,30,45,60,75,105,115,150,200,225,250,600},{12.5,15,20,30,45,60,75,105,115,150,200,225,250,600}))/(LOOKUP(M730,{12.5,15,20,30,45,60,75,105,115,150,200,225,250,600,1000},{15,20,30,45,60,75,105,115,150,200,225,250,600,1000,1000})-LOOKUP(M730,{12.5,15,20,30,45,60,75,105,115,150,200,225,250,600},{12.5,15,20,30,45,60,75,105,115,150,200,225,250,600}))*(LOOKUP(M730,{12.5,15,20,30,45,60,75,105,115,150,200,225,250,600,1000},{55,60,62,65,68,70,72,75,80,82,85,87,90,95,95})-LOOKUP(M730,{12.5,15,20,30,45,60,75,105,115,150,200,225,250,600,1000},{50,55,60,62,65,68,70,72,75,80,82,85,87,90,95})))))</f>
        <v>70</v>
      </c>
      <c r="P730" s="2">
        <f t="shared" si="58"/>
        <v>-4</v>
      </c>
      <c r="Q730" s="2">
        <f t="shared" si="59"/>
        <v>-2</v>
      </c>
    </row>
    <row r="731" customHeight="1" spans="1:17">
      <c r="B731" s="2">
        <v>730</v>
      </c>
      <c r="C731" s="17">
        <f t="shared" si="57"/>
        <v>63.6</v>
      </c>
      <c r="D731" s="2" t="s">
        <v>1120</v>
      </c>
      <c r="E731" s="12">
        <v>68</v>
      </c>
      <c r="F731" s="12">
        <v>65</v>
      </c>
      <c r="G731" s="12">
        <v>65</v>
      </c>
      <c r="H731" s="2" t="s">
        <v>41</v>
      </c>
      <c r="I731" s="2" t="s">
        <v>104</v>
      </c>
      <c r="J731" s="4" t="s">
        <v>148</v>
      </c>
      <c r="M731" s="2">
        <f t="shared" si="55"/>
        <v>115</v>
      </c>
      <c r="N731" s="2">
        <f t="shared" si="56"/>
        <v>67.1</v>
      </c>
      <c r="O731" s="2">
        <f>IF(M731="","",IF(M731&gt;=1000,95,IF(M731&lt;=12.5,50,LOOKUP(M731,{12.5,15,20,30,45,60,75,105,115,150,200,225,250,600,1000},{50,55,60,62,65,68,70,72,75,80,82,85,87,90,95})+(M731-LOOKUP(M731,{12.5,15,20,30,45,60,75,105,115,150,200,225,250,600},{12.5,15,20,30,45,60,75,105,115,150,200,225,250,600}))/(LOOKUP(M731,{12.5,15,20,30,45,60,75,105,115,150,200,225,250,600,1000},{15,20,30,45,60,75,105,115,150,200,225,250,600,1000,1000})-LOOKUP(M731,{12.5,15,20,30,45,60,75,105,115,150,200,225,250,600},{12.5,15,20,30,45,60,75,105,115,150,200,225,250,600}))*(LOOKUP(M731,{12.5,15,20,30,45,60,75,105,115,150,200,225,250,600,1000},{55,60,62,65,68,70,72,75,80,82,85,87,90,95,95})-LOOKUP(M731,{12.5,15,20,30,45,60,75,105,115,150,200,225,250,600,1000},{50,55,60,62,65,68,70,72,75,80,82,85,87,90,95})))))</f>
        <v>75</v>
      </c>
      <c r="P731" s="2">
        <f t="shared" si="58"/>
        <v>-7</v>
      </c>
      <c r="Q731" s="2">
        <f t="shared" si="59"/>
        <v>-3.5</v>
      </c>
    </row>
    <row r="732" customHeight="1" spans="1:17">
      <c r="B732" s="2">
        <v>731</v>
      </c>
      <c r="C732" s="17">
        <f t="shared" si="57"/>
        <v>63.6</v>
      </c>
      <c r="D732" s="2" t="s">
        <v>1121</v>
      </c>
      <c r="E732" s="12">
        <v>65</v>
      </c>
      <c r="F732" s="2">
        <v>52</v>
      </c>
      <c r="G732" s="2">
        <v>52</v>
      </c>
      <c r="H732" s="2" t="s">
        <v>91</v>
      </c>
      <c r="I732" s="2" t="s">
        <v>28</v>
      </c>
      <c r="J732" s="4" t="s">
        <v>140</v>
      </c>
      <c r="M732" s="2">
        <f t="shared" si="55"/>
        <v>20</v>
      </c>
      <c r="N732" s="2">
        <f t="shared" si="56"/>
        <v>61.1</v>
      </c>
      <c r="O732" s="2">
        <f>IF(M732="","",IF(M732&gt;=1000,95,IF(M732&lt;=12.5,50,LOOKUP(M732,{12.5,15,20,30,45,60,75,105,115,150,200,225,250,600,1000},{50,55,60,62,65,68,70,72,75,80,82,85,87,90,95})+(M732-LOOKUP(M732,{12.5,15,20,30,45,60,75,105,115,150,200,225,250,600},{12.5,15,20,30,45,60,75,105,115,150,200,225,250,600}))/(LOOKUP(M732,{12.5,15,20,30,45,60,75,105,115,150,200,225,250,600,1000},{15,20,30,45,60,75,105,115,150,200,225,250,600,1000,1000})-LOOKUP(M732,{12.5,15,20,30,45,60,75,105,115,150,200,225,250,600},{12.5,15,20,30,45,60,75,105,115,150,200,225,250,600}))*(LOOKUP(M732,{12.5,15,20,30,45,60,75,105,115,150,200,225,250,600,1000},{55,60,62,65,68,70,72,75,80,82,85,87,90,95,95})-LOOKUP(M732,{12.5,15,20,30,45,60,75,105,115,150,200,225,250,600,1000},{50,55,60,62,65,68,70,72,75,80,82,85,87,90,95})))))</f>
        <v>60</v>
      </c>
      <c r="P732" s="2">
        <f t="shared" si="58"/>
        <v>5</v>
      </c>
      <c r="Q732" s="2">
        <f t="shared" si="59"/>
        <v>2.5</v>
      </c>
    </row>
    <row r="733" customHeight="1" spans="1:17">
      <c r="A733" s="2">
        <v>2026</v>
      </c>
      <c r="B733" s="2">
        <v>732</v>
      </c>
      <c r="C733" s="17">
        <f t="shared" si="57"/>
        <v>63.6</v>
      </c>
      <c r="D733" s="2" t="s">
        <v>1122</v>
      </c>
      <c r="E733" s="12">
        <v>68</v>
      </c>
      <c r="F733" s="2">
        <v>55</v>
      </c>
      <c r="G733" s="2">
        <v>50</v>
      </c>
      <c r="H733" s="2" t="s">
        <v>41</v>
      </c>
      <c r="I733" s="2" t="s">
        <v>63</v>
      </c>
      <c r="J733" s="4" t="s">
        <v>34</v>
      </c>
      <c r="M733" s="2">
        <f t="shared" si="55"/>
        <v>60</v>
      </c>
      <c r="N733" s="2">
        <f t="shared" si="56"/>
        <v>63.6</v>
      </c>
      <c r="O733" s="2">
        <f>IF(M733="","",IF(M733&gt;=1000,95,IF(M733&lt;=12.5,50,LOOKUP(M733,{12.5,15,20,30,45,60,75,105,115,150,200,225,250,600,1000},{50,55,60,62,65,68,70,72,75,80,82,85,87,90,95})+(M733-LOOKUP(M733,{12.5,15,20,30,45,60,75,105,115,150,200,225,250,600},{12.5,15,20,30,45,60,75,105,115,150,200,225,250,600}))/(LOOKUP(M733,{12.5,15,20,30,45,60,75,105,115,150,200,225,250,600,1000},{15,20,30,45,60,75,105,115,150,200,225,250,600,1000,1000})-LOOKUP(M733,{12.5,15,20,30,45,60,75,105,115,150,200,225,250,600},{12.5,15,20,30,45,60,75,105,115,150,200,225,250,600}))*(LOOKUP(M733,{12.5,15,20,30,45,60,75,105,115,150,200,225,250,600,1000},{55,60,62,65,68,70,72,75,80,82,85,87,90,95,95})-LOOKUP(M733,{12.5,15,20,30,45,60,75,105,115,150,200,225,250,600,1000},{50,55,60,62,65,68,70,72,75,80,82,85,87,90,95})))))</f>
        <v>68</v>
      </c>
      <c r="P733" s="2">
        <f t="shared" si="58"/>
        <v>0</v>
      </c>
      <c r="Q733" s="2">
        <f t="shared" si="59"/>
        <v>0</v>
      </c>
    </row>
    <row r="734" customHeight="1" spans="1:17">
      <c r="A734" s="2">
        <v>2026</v>
      </c>
      <c r="B734" s="2">
        <v>733</v>
      </c>
      <c r="C734" s="17">
        <f t="shared" si="57"/>
        <v>63.6</v>
      </c>
      <c r="D734" s="2" t="s">
        <v>1123</v>
      </c>
      <c r="E734" s="12">
        <v>68</v>
      </c>
      <c r="F734" s="2">
        <v>50</v>
      </c>
      <c r="G734" s="2">
        <v>45</v>
      </c>
      <c r="H734" s="2" t="s">
        <v>41</v>
      </c>
      <c r="I734" s="2" t="s">
        <v>63</v>
      </c>
      <c r="J734" s="4" t="s">
        <v>38</v>
      </c>
      <c r="M734" s="2">
        <f t="shared" si="55"/>
        <v>45</v>
      </c>
      <c r="N734" s="2">
        <f t="shared" si="56"/>
        <v>62.1</v>
      </c>
      <c r="O734" s="2">
        <f>IF(M734="","",IF(M734&gt;=1000,95,IF(M734&lt;=12.5,50,LOOKUP(M734,{12.5,15,20,30,45,60,75,105,115,150,200,225,250,600,1000},{50,55,60,62,65,68,70,72,75,80,82,85,87,90,95})+(M734-LOOKUP(M734,{12.5,15,20,30,45,60,75,105,115,150,200,225,250,600},{12.5,15,20,30,45,60,75,105,115,150,200,225,250,600}))/(LOOKUP(M734,{12.5,15,20,30,45,60,75,105,115,150,200,225,250,600,1000},{15,20,30,45,60,75,105,115,150,200,225,250,600,1000,1000})-LOOKUP(M734,{12.5,15,20,30,45,60,75,105,115,150,200,225,250,600},{12.5,15,20,30,45,60,75,105,115,150,200,225,250,600}))*(LOOKUP(M734,{12.5,15,20,30,45,60,75,105,115,150,200,225,250,600,1000},{55,60,62,65,68,70,72,75,80,82,85,87,90,95,95})-LOOKUP(M734,{12.5,15,20,30,45,60,75,105,115,150,200,225,250,600,1000},{50,55,60,62,65,68,70,72,75,80,82,85,87,90,95})))))</f>
        <v>65</v>
      </c>
      <c r="P734" s="2">
        <f t="shared" si="58"/>
        <v>3</v>
      </c>
      <c r="Q734" s="2">
        <f t="shared" si="59"/>
        <v>1.5</v>
      </c>
    </row>
    <row r="735" customHeight="1" spans="1:17">
      <c r="A735" s="2">
        <v>2026</v>
      </c>
      <c r="B735" s="2">
        <v>734</v>
      </c>
      <c r="C735" s="17">
        <f t="shared" si="57"/>
        <v>63.5</v>
      </c>
      <c r="D735" s="2" t="s">
        <v>1124</v>
      </c>
      <c r="E735" s="12">
        <v>66</v>
      </c>
      <c r="F735" s="12">
        <v>63</v>
      </c>
      <c r="G735" s="12">
        <v>67</v>
      </c>
      <c r="H735" s="2" t="s">
        <v>54</v>
      </c>
      <c r="I735" s="2" t="s">
        <v>104</v>
      </c>
      <c r="J735" s="4" t="s">
        <v>24</v>
      </c>
      <c r="M735" s="2">
        <f t="shared" si="55"/>
        <v>75</v>
      </c>
      <c r="N735" s="2">
        <f t="shared" si="56"/>
        <v>65.5</v>
      </c>
      <c r="O735" s="2">
        <f>IF(M735="","",IF(M735&gt;=1000,95,IF(M735&lt;=12.5,50,LOOKUP(M735,{12.5,15,20,30,45,60,75,105,115,150,200,225,250,600,1000},{50,55,60,62,65,68,70,72,75,80,82,85,87,90,95})+(M735-LOOKUP(M735,{12.5,15,20,30,45,60,75,105,115,150,200,225,250,600},{12.5,15,20,30,45,60,75,105,115,150,200,225,250,600}))/(LOOKUP(M735,{12.5,15,20,30,45,60,75,105,115,150,200,225,250,600,1000},{15,20,30,45,60,75,105,115,150,200,225,250,600,1000,1000})-LOOKUP(M735,{12.5,15,20,30,45,60,75,105,115,150,200,225,250,600},{12.5,15,20,30,45,60,75,105,115,150,200,225,250,600}))*(LOOKUP(M735,{12.5,15,20,30,45,60,75,105,115,150,200,225,250,600,1000},{55,60,62,65,68,70,72,75,80,82,85,87,90,95,95})-LOOKUP(M735,{12.5,15,20,30,45,60,75,105,115,150,200,225,250,600,1000},{50,55,60,62,65,68,70,72,75,80,82,85,87,90,95})))))</f>
        <v>70</v>
      </c>
      <c r="P735" s="2">
        <f t="shared" si="58"/>
        <v>-4</v>
      </c>
      <c r="Q735" s="2">
        <f t="shared" si="59"/>
        <v>-2</v>
      </c>
    </row>
    <row r="736" customHeight="1" spans="1:17">
      <c r="A736" s="2">
        <v>2026</v>
      </c>
      <c r="B736" s="2">
        <v>735</v>
      </c>
      <c r="C736" s="17">
        <f t="shared" si="57"/>
        <v>63.5</v>
      </c>
      <c r="D736" s="2" t="s">
        <v>1125</v>
      </c>
      <c r="E736" s="12">
        <v>66</v>
      </c>
      <c r="F736" s="2">
        <v>55</v>
      </c>
      <c r="G736" s="2">
        <v>58</v>
      </c>
      <c r="H736" s="2" t="s">
        <v>41</v>
      </c>
      <c r="I736" s="2" t="s">
        <v>63</v>
      </c>
      <c r="J736" s="4" t="s">
        <v>38</v>
      </c>
      <c r="M736" s="2">
        <f t="shared" si="55"/>
        <v>45</v>
      </c>
      <c r="N736" s="2">
        <f t="shared" si="56"/>
        <v>63</v>
      </c>
      <c r="O736" s="2">
        <f>IF(M736="","",IF(M736&gt;=1000,95,IF(M736&lt;=12.5,50,LOOKUP(M736,{12.5,15,20,30,45,60,75,105,115,150,200,225,250,600,1000},{50,55,60,62,65,68,70,72,75,80,82,85,87,90,95})+(M736-LOOKUP(M736,{12.5,15,20,30,45,60,75,105,115,150,200,225,250,600},{12.5,15,20,30,45,60,75,105,115,150,200,225,250,600}))/(LOOKUP(M736,{12.5,15,20,30,45,60,75,105,115,150,200,225,250,600,1000},{15,20,30,45,60,75,105,115,150,200,225,250,600,1000,1000})-LOOKUP(M736,{12.5,15,20,30,45,60,75,105,115,150,200,225,250,600},{12.5,15,20,30,45,60,75,105,115,150,200,225,250,600}))*(LOOKUP(M736,{12.5,15,20,30,45,60,75,105,115,150,200,225,250,600,1000},{55,60,62,65,68,70,72,75,80,82,85,87,90,95,95})-LOOKUP(M736,{12.5,15,20,30,45,60,75,105,115,150,200,225,250,600,1000},{50,55,60,62,65,68,70,72,75,80,82,85,87,90,95})))))</f>
        <v>65</v>
      </c>
      <c r="P736" s="2">
        <f t="shared" si="58"/>
        <v>1</v>
      </c>
      <c r="Q736" s="2">
        <f t="shared" si="59"/>
        <v>0.5</v>
      </c>
    </row>
    <row r="737" customHeight="1" spans="1:17">
      <c r="B737" s="2">
        <v>736</v>
      </c>
      <c r="C737" s="17">
        <f t="shared" si="57"/>
        <v>63.5</v>
      </c>
      <c r="D737" s="2" t="s">
        <v>1126</v>
      </c>
      <c r="E737" s="12">
        <v>67</v>
      </c>
      <c r="F737" s="2">
        <v>58</v>
      </c>
      <c r="G737" s="2">
        <v>40</v>
      </c>
      <c r="H737" s="2" t="s">
        <v>41</v>
      </c>
      <c r="I737" s="2" t="s">
        <v>28</v>
      </c>
      <c r="J737" s="4" t="s">
        <v>38</v>
      </c>
      <c r="M737" s="2">
        <f t="shared" si="55"/>
        <v>45</v>
      </c>
      <c r="N737" s="2">
        <f t="shared" si="56"/>
        <v>62.5</v>
      </c>
      <c r="O737" s="2">
        <f>IF(M737="","",IF(M737&gt;=1000,95,IF(M737&lt;=12.5,50,LOOKUP(M737,{12.5,15,20,30,45,60,75,105,115,150,200,225,250,600,1000},{50,55,60,62,65,68,70,72,75,80,82,85,87,90,95})+(M737-LOOKUP(M737,{12.5,15,20,30,45,60,75,105,115,150,200,225,250,600},{12.5,15,20,30,45,60,75,105,115,150,200,225,250,600}))/(LOOKUP(M737,{12.5,15,20,30,45,60,75,105,115,150,200,225,250,600,1000},{15,20,30,45,60,75,105,115,150,200,225,250,600,1000,1000})-LOOKUP(M737,{12.5,15,20,30,45,60,75,105,115,150,200,225,250,600},{12.5,15,20,30,45,60,75,105,115,150,200,225,250,600}))*(LOOKUP(M737,{12.5,15,20,30,45,60,75,105,115,150,200,225,250,600,1000},{55,60,62,65,68,70,72,75,80,82,85,87,90,95,95})-LOOKUP(M737,{12.5,15,20,30,45,60,75,105,115,150,200,225,250,600,1000},{50,55,60,62,65,68,70,72,75,80,82,85,87,90,95})))))</f>
        <v>65</v>
      </c>
      <c r="P737" s="2">
        <f t="shared" si="58"/>
        <v>2</v>
      </c>
      <c r="Q737" s="2">
        <f t="shared" si="59"/>
        <v>1</v>
      </c>
    </row>
    <row r="738" customHeight="1" spans="1:17">
      <c r="A738" s="2">
        <v>2026</v>
      </c>
      <c r="B738" s="2">
        <v>737</v>
      </c>
      <c r="C738" s="17">
        <f t="shared" si="57"/>
        <v>63.5</v>
      </c>
      <c r="D738" s="2" t="s">
        <v>1127</v>
      </c>
      <c r="E738" s="12">
        <v>67</v>
      </c>
      <c r="F738" s="2">
        <v>54</v>
      </c>
      <c r="G738" s="2">
        <v>23</v>
      </c>
      <c r="H738" s="2" t="s">
        <v>54</v>
      </c>
      <c r="I738" s="2" t="s">
        <v>28</v>
      </c>
      <c r="J738" s="4" t="s">
        <v>140</v>
      </c>
      <c r="M738" s="2">
        <f t="shared" si="55"/>
        <v>20</v>
      </c>
      <c r="N738" s="2">
        <f t="shared" si="56"/>
        <v>60</v>
      </c>
      <c r="O738" s="2">
        <f>IF(M738="","",IF(M738&gt;=1000,95,IF(M738&lt;=12.5,50,LOOKUP(M738,{12.5,15,20,30,45,60,75,105,115,150,200,225,250,600,1000},{50,55,60,62,65,68,70,72,75,80,82,85,87,90,95})+(M738-LOOKUP(M738,{12.5,15,20,30,45,60,75,105,115,150,200,225,250,600},{12.5,15,20,30,45,60,75,105,115,150,200,225,250,600}))/(LOOKUP(M738,{12.5,15,20,30,45,60,75,105,115,150,200,225,250,600,1000},{15,20,30,45,60,75,105,115,150,200,225,250,600,1000,1000})-LOOKUP(M738,{12.5,15,20,30,45,60,75,105,115,150,200,225,250,600},{12.5,15,20,30,45,60,75,105,115,150,200,225,250,600}))*(LOOKUP(M738,{12.5,15,20,30,45,60,75,105,115,150,200,225,250,600,1000},{55,60,62,65,68,70,72,75,80,82,85,87,90,95,95})-LOOKUP(M738,{12.5,15,20,30,45,60,75,105,115,150,200,225,250,600,1000},{50,55,60,62,65,68,70,72,75,80,82,85,87,90,95})))))</f>
        <v>60</v>
      </c>
      <c r="P738" s="2">
        <f t="shared" si="58"/>
        <v>7</v>
      </c>
      <c r="Q738" s="2">
        <f t="shared" si="59"/>
        <v>3.5</v>
      </c>
    </row>
    <row r="739" customHeight="1" spans="1:17">
      <c r="B739" s="2">
        <v>738</v>
      </c>
      <c r="C739" s="17">
        <f t="shared" si="57"/>
        <v>63.5</v>
      </c>
      <c r="D739" s="2" t="s">
        <v>1128</v>
      </c>
      <c r="E739" s="9">
        <v>72</v>
      </c>
      <c r="F739" s="2">
        <v>47</v>
      </c>
      <c r="G739" s="2">
        <v>37</v>
      </c>
      <c r="H739" s="2" t="s">
        <v>339</v>
      </c>
      <c r="I739" s="2" t="s">
        <v>104</v>
      </c>
      <c r="J739" s="4" t="s">
        <v>105</v>
      </c>
      <c r="M739" s="2">
        <f t="shared" si="55"/>
        <v>105</v>
      </c>
      <c r="N739" s="2">
        <f t="shared" si="56"/>
        <v>63.5</v>
      </c>
      <c r="O739" s="2">
        <f>IF(M739="","",IF(M739&gt;=1000,95,IF(M739&lt;=12.5,50,LOOKUP(M739,{12.5,15,20,30,45,60,75,105,115,150,200,225,250,600,1000},{50,55,60,62,65,68,70,72,75,80,82,85,87,90,95})+(M739-LOOKUP(M739,{12.5,15,20,30,45,60,75,105,115,150,200,225,250,600},{12.5,15,20,30,45,60,75,105,115,150,200,225,250,600}))/(LOOKUP(M739,{12.5,15,20,30,45,60,75,105,115,150,200,225,250,600,1000},{15,20,30,45,60,75,105,115,150,200,225,250,600,1000,1000})-LOOKUP(M739,{12.5,15,20,30,45,60,75,105,115,150,200,225,250,600},{12.5,15,20,30,45,60,75,105,115,150,200,225,250,600}))*(LOOKUP(M739,{12.5,15,20,30,45,60,75,105,115,150,200,225,250,600,1000},{55,60,62,65,68,70,72,75,80,82,85,87,90,95,95})-LOOKUP(M739,{12.5,15,20,30,45,60,75,105,115,150,200,225,250,600,1000},{50,55,60,62,65,68,70,72,75,80,82,85,87,90,95})))))</f>
        <v>72</v>
      </c>
      <c r="P739" s="2">
        <f t="shared" si="58"/>
        <v>0</v>
      </c>
      <c r="Q739" s="2">
        <f t="shared" si="59"/>
        <v>0</v>
      </c>
    </row>
    <row r="740" customHeight="1" spans="1:17">
      <c r="A740" s="2">
        <v>2026</v>
      </c>
      <c r="B740" s="2">
        <v>739</v>
      </c>
      <c r="C740" s="17">
        <f t="shared" si="57"/>
        <v>63.4</v>
      </c>
      <c r="D740" s="2" t="s">
        <v>1129</v>
      </c>
      <c r="E740" s="12">
        <v>62</v>
      </c>
      <c r="F740" s="9">
        <v>73</v>
      </c>
      <c r="G740" s="2">
        <v>54</v>
      </c>
      <c r="H740" s="2" t="s">
        <v>54</v>
      </c>
      <c r="I740" s="2" t="s">
        <v>28</v>
      </c>
      <c r="J740" s="4" t="s">
        <v>88</v>
      </c>
      <c r="M740" s="2">
        <f t="shared" si="55"/>
        <v>30</v>
      </c>
      <c r="N740" s="2">
        <f t="shared" si="56"/>
        <v>63.4</v>
      </c>
      <c r="O740" s="2">
        <f>IF(M740="","",IF(M740&gt;=1000,95,IF(M740&lt;=12.5,50,LOOKUP(M740,{12.5,15,20,30,45,60,75,105,115,150,200,225,250,600,1000},{50,55,60,62,65,68,70,72,75,80,82,85,87,90,95})+(M740-LOOKUP(M740,{12.5,15,20,30,45,60,75,105,115,150,200,225,250,600},{12.5,15,20,30,45,60,75,105,115,150,200,225,250,600}))/(LOOKUP(M740,{12.5,15,20,30,45,60,75,105,115,150,200,225,250,600,1000},{15,20,30,45,60,75,105,115,150,200,225,250,600,1000,1000})-LOOKUP(M740,{12.5,15,20,30,45,60,75,105,115,150,200,225,250,600},{12.5,15,20,30,45,60,75,105,115,150,200,225,250,600}))*(LOOKUP(M740,{12.5,15,20,30,45,60,75,105,115,150,200,225,250,600,1000},{55,60,62,65,68,70,72,75,80,82,85,87,90,95,95})-LOOKUP(M740,{12.5,15,20,30,45,60,75,105,115,150,200,225,250,600,1000},{50,55,60,62,65,68,70,72,75,80,82,85,87,90,95})))))</f>
        <v>62</v>
      </c>
      <c r="P740" s="2">
        <f t="shared" si="58"/>
        <v>0</v>
      </c>
      <c r="Q740" s="2">
        <f t="shared" si="59"/>
        <v>0</v>
      </c>
    </row>
    <row r="741" customHeight="1" spans="1:17">
      <c r="A741" s="2">
        <v>2026</v>
      </c>
      <c r="B741" s="2">
        <v>740</v>
      </c>
      <c r="C741" s="17">
        <f t="shared" si="57"/>
        <v>63.4</v>
      </c>
      <c r="D741" s="2" t="s">
        <v>1130</v>
      </c>
      <c r="E741" s="12">
        <v>66</v>
      </c>
      <c r="F741" s="12">
        <v>65</v>
      </c>
      <c r="G741" s="9">
        <v>72</v>
      </c>
      <c r="H741" s="2" t="s">
        <v>37</v>
      </c>
      <c r="I741" s="2" t="s">
        <v>435</v>
      </c>
      <c r="J741" s="4" t="s">
        <v>105</v>
      </c>
      <c r="M741" s="2">
        <f t="shared" si="55"/>
        <v>105</v>
      </c>
      <c r="N741" s="2">
        <f t="shared" si="56"/>
        <v>66.4</v>
      </c>
      <c r="O741" s="2">
        <f>IF(M741="","",IF(M741&gt;=1000,95,IF(M741&lt;=12.5,50,LOOKUP(M741,{12.5,15,20,30,45,60,75,105,115,150,200,225,250,600,1000},{50,55,60,62,65,68,70,72,75,80,82,85,87,90,95})+(M741-LOOKUP(M741,{12.5,15,20,30,45,60,75,105,115,150,200,225,250,600},{12.5,15,20,30,45,60,75,105,115,150,200,225,250,600}))/(LOOKUP(M741,{12.5,15,20,30,45,60,75,105,115,150,200,225,250,600,1000},{15,20,30,45,60,75,105,115,150,200,225,250,600,1000,1000})-LOOKUP(M741,{12.5,15,20,30,45,60,75,105,115,150,200,225,250,600},{12.5,15,20,30,45,60,75,105,115,150,200,225,250,600}))*(LOOKUP(M741,{12.5,15,20,30,45,60,75,105,115,150,200,225,250,600,1000},{55,60,62,65,68,70,72,75,80,82,85,87,90,95,95})-LOOKUP(M741,{12.5,15,20,30,45,60,75,105,115,150,200,225,250,600,1000},{50,55,60,62,65,68,70,72,75,80,82,85,87,90,95})))))</f>
        <v>72</v>
      </c>
      <c r="P741" s="2">
        <f t="shared" si="58"/>
        <v>-6</v>
      </c>
      <c r="Q741" s="2">
        <f t="shared" si="59"/>
        <v>-3</v>
      </c>
    </row>
    <row r="742" customHeight="1" spans="1:17">
      <c r="B742" s="2">
        <v>741</v>
      </c>
      <c r="C742" s="17">
        <f t="shared" si="57"/>
        <v>63.4</v>
      </c>
      <c r="D742" s="2" t="s">
        <v>1131</v>
      </c>
      <c r="E742" s="12">
        <v>65</v>
      </c>
      <c r="F742" s="12">
        <v>63</v>
      </c>
      <c r="G742" s="2">
        <v>53</v>
      </c>
      <c r="H742" s="2" t="s">
        <v>573</v>
      </c>
      <c r="I742" s="2" t="s">
        <v>265</v>
      </c>
      <c r="J742" s="4" t="s">
        <v>38</v>
      </c>
      <c r="M742" s="2">
        <f t="shared" si="55"/>
        <v>45</v>
      </c>
      <c r="N742" s="2">
        <f t="shared" si="56"/>
        <v>63.4</v>
      </c>
      <c r="O742" s="2">
        <f>IF(M742="","",IF(M742&gt;=1000,95,IF(M742&lt;=12.5,50,LOOKUP(M742,{12.5,15,20,30,45,60,75,105,115,150,200,225,250,600,1000},{50,55,60,62,65,68,70,72,75,80,82,85,87,90,95})+(M742-LOOKUP(M742,{12.5,15,20,30,45,60,75,105,115,150,200,225,250,600},{12.5,15,20,30,45,60,75,105,115,150,200,225,250,600}))/(LOOKUP(M742,{12.5,15,20,30,45,60,75,105,115,150,200,225,250,600,1000},{15,20,30,45,60,75,105,115,150,200,225,250,600,1000,1000})-LOOKUP(M742,{12.5,15,20,30,45,60,75,105,115,150,200,225,250,600},{12.5,15,20,30,45,60,75,105,115,150,200,225,250,600}))*(LOOKUP(M742,{12.5,15,20,30,45,60,75,105,115,150,200,225,250,600,1000},{55,60,62,65,68,70,72,75,80,82,85,87,90,95,95})-LOOKUP(M742,{12.5,15,20,30,45,60,75,105,115,150,200,225,250,600,1000},{50,55,60,62,65,68,70,72,75,80,82,85,87,90,95})))))</f>
        <v>65</v>
      </c>
      <c r="P742" s="2">
        <f t="shared" si="58"/>
        <v>0</v>
      </c>
      <c r="Q742" s="2">
        <f t="shared" si="59"/>
        <v>0</v>
      </c>
    </row>
    <row r="743" customHeight="1" spans="1:17">
      <c r="B743" s="2">
        <v>742</v>
      </c>
      <c r="C743" s="17">
        <f t="shared" si="57"/>
        <v>63.4</v>
      </c>
      <c r="D743" s="2" t="s">
        <v>1132</v>
      </c>
      <c r="E743" s="12">
        <v>65</v>
      </c>
      <c r="F743" s="12">
        <v>63</v>
      </c>
      <c r="G743" s="12">
        <v>53</v>
      </c>
      <c r="H743" s="2" t="s">
        <v>122</v>
      </c>
      <c r="I743" s="2" t="s">
        <v>28</v>
      </c>
      <c r="J743" s="4" t="s">
        <v>38</v>
      </c>
      <c r="M743" s="2">
        <f t="shared" si="55"/>
        <v>45</v>
      </c>
      <c r="N743" s="2">
        <f t="shared" si="56"/>
        <v>63.4</v>
      </c>
      <c r="O743" s="2">
        <f>IF(M743="","",IF(M743&gt;=1000,95,IF(M743&lt;=12.5,50,LOOKUP(M743,{12.5,15,20,30,45,60,75,105,115,150,200,225,250,600,1000},{50,55,60,62,65,68,70,72,75,80,82,85,87,90,95})+(M743-LOOKUP(M743,{12.5,15,20,30,45,60,75,105,115,150,200,225,250,600},{12.5,15,20,30,45,60,75,105,115,150,200,225,250,600}))/(LOOKUP(M743,{12.5,15,20,30,45,60,75,105,115,150,200,225,250,600,1000},{15,20,30,45,60,75,105,115,150,200,225,250,600,1000,1000})-LOOKUP(M743,{12.5,15,20,30,45,60,75,105,115,150,200,225,250,600},{12.5,15,20,30,45,60,75,105,115,150,200,225,250,600}))*(LOOKUP(M743,{12.5,15,20,30,45,60,75,105,115,150,200,225,250,600,1000},{55,60,62,65,68,70,72,75,80,82,85,87,90,95,95})-LOOKUP(M743,{12.5,15,20,30,45,60,75,105,115,150,200,225,250,600,1000},{50,55,60,62,65,68,70,72,75,80,82,85,87,90,95})))))</f>
        <v>65</v>
      </c>
      <c r="P743" s="2">
        <f t="shared" si="58"/>
        <v>0</v>
      </c>
      <c r="Q743" s="2">
        <f t="shared" si="59"/>
        <v>0</v>
      </c>
    </row>
    <row r="744" customHeight="1" spans="1:17">
      <c r="B744" s="2">
        <v>743</v>
      </c>
      <c r="C744" s="17">
        <f t="shared" si="57"/>
        <v>63.4</v>
      </c>
      <c r="D744" s="2" t="s">
        <v>1133</v>
      </c>
      <c r="E744" s="12">
        <v>69</v>
      </c>
      <c r="F744" s="2">
        <v>40</v>
      </c>
      <c r="G744" s="2">
        <v>51</v>
      </c>
      <c r="H744" s="2" t="s">
        <v>991</v>
      </c>
      <c r="I744" s="2" t="s">
        <v>28</v>
      </c>
      <c r="J744" s="4" t="s">
        <v>38</v>
      </c>
      <c r="M744" s="2">
        <f t="shared" si="55"/>
        <v>45</v>
      </c>
      <c r="N744" s="2">
        <f t="shared" si="56"/>
        <v>61.4</v>
      </c>
      <c r="O744" s="2">
        <f>IF(M744="","",IF(M744&gt;=1000,95,IF(M744&lt;=12.5,50,LOOKUP(M744,{12.5,15,20,30,45,60,75,105,115,150,200,225,250,600,1000},{50,55,60,62,65,68,70,72,75,80,82,85,87,90,95})+(M744-LOOKUP(M744,{12.5,15,20,30,45,60,75,105,115,150,200,225,250,600},{12.5,15,20,30,45,60,75,105,115,150,200,225,250,600}))/(LOOKUP(M744,{12.5,15,20,30,45,60,75,105,115,150,200,225,250,600,1000},{15,20,30,45,60,75,105,115,150,200,225,250,600,1000,1000})-LOOKUP(M744,{12.5,15,20,30,45,60,75,105,115,150,200,225,250,600},{12.5,15,20,30,45,60,75,105,115,150,200,225,250,600}))*(LOOKUP(M744,{12.5,15,20,30,45,60,75,105,115,150,200,225,250,600,1000},{55,60,62,65,68,70,72,75,80,82,85,87,90,95,95})-LOOKUP(M744,{12.5,15,20,30,45,60,75,105,115,150,200,225,250,600,1000},{50,55,60,62,65,68,70,72,75,80,82,85,87,90,95})))))</f>
        <v>65</v>
      </c>
      <c r="P744" s="2">
        <f t="shared" si="58"/>
        <v>4</v>
      </c>
      <c r="Q744" s="2">
        <f t="shared" si="59"/>
        <v>2</v>
      </c>
    </row>
    <row r="745" customHeight="1" spans="1:17">
      <c r="B745" s="2">
        <v>744</v>
      </c>
      <c r="C745" s="17">
        <f t="shared" si="57"/>
        <v>63.37</v>
      </c>
      <c r="D745" s="2" t="s">
        <v>1134</v>
      </c>
      <c r="E745" s="12">
        <v>62</v>
      </c>
      <c r="F745" s="2">
        <v>50</v>
      </c>
      <c r="G745" s="2">
        <v>43</v>
      </c>
      <c r="H745" s="2" t="s">
        <v>37</v>
      </c>
      <c r="I745" s="2" t="s">
        <v>503</v>
      </c>
      <c r="J745" s="4" t="s">
        <v>77</v>
      </c>
      <c r="K745" s="2" t="s">
        <v>1135</v>
      </c>
      <c r="M745" s="2">
        <f t="shared" si="55"/>
        <v>12.5</v>
      </c>
      <c r="N745" s="2">
        <f t="shared" si="56"/>
        <v>57.7</v>
      </c>
      <c r="O745" s="2">
        <f>IF(M745="","",IF(M745&gt;=1000,95,IF(M745&lt;=12.5,50,LOOKUP(M745,{12.5,15,20,30,45,60,75,105,115,150,200,225,250,600,1000},{50,55,60,62,65,68,70,72,75,80,82,85,87,90,95})+(M745-LOOKUP(M745,{12.5,15,20,30,45,60,75,105,115,150,200,225,250,600},{12.5,15,20,30,45,60,75,105,115,150,200,225,250,600}))/(LOOKUP(M745,{12.5,15,20,30,45,60,75,105,115,150,200,225,250,600,1000},{15,20,30,45,60,75,105,115,150,200,225,250,600,1000,1000})-LOOKUP(M745,{12.5,15,20,30,45,60,75,105,115,150,200,225,250,600},{12.5,15,20,30,45,60,75,105,115,150,200,225,250,600}))*(LOOKUP(M745,{12.5,15,20,30,45,60,75,105,115,150,200,225,250,600,1000},{55,60,62,65,68,70,72,75,80,82,85,87,90,95,95})-LOOKUP(M745,{12.5,15,20,30,45,60,75,105,115,150,200,225,250,600,1000},{50,55,60,62,65,68,70,72,75,80,82,85,87,90,95})))))</f>
        <v>50</v>
      </c>
      <c r="P745" s="2">
        <f t="shared" si="58"/>
        <v>12</v>
      </c>
      <c r="Q745" s="2">
        <f t="shared" si="59"/>
        <v>5.67</v>
      </c>
    </row>
    <row r="746" customHeight="1" spans="1:17">
      <c r="B746" s="2">
        <v>745</v>
      </c>
      <c r="C746" s="17">
        <f t="shared" si="57"/>
        <v>63.33</v>
      </c>
      <c r="D746" s="2" t="s">
        <v>1136</v>
      </c>
      <c r="E746" s="12">
        <v>69</v>
      </c>
      <c r="F746" s="10">
        <v>84</v>
      </c>
      <c r="G746" s="12">
        <v>69</v>
      </c>
      <c r="H746" s="2" t="s">
        <v>41</v>
      </c>
      <c r="I746" s="2" t="s">
        <v>42</v>
      </c>
      <c r="J746" s="4" t="s">
        <v>73</v>
      </c>
      <c r="M746" s="2">
        <f t="shared" si="55"/>
        <v>600</v>
      </c>
      <c r="N746" s="2">
        <f t="shared" si="56"/>
        <v>72</v>
      </c>
      <c r="O746" s="2">
        <f>IF(M746="","",IF(M746&gt;=1000,95,IF(M746&lt;=12.5,50,LOOKUP(M746,{12.5,15,20,30,45,60,75,105,115,150,200,225,250,600,1000},{50,55,60,62,65,68,70,72,75,80,82,85,87,90,95})+(M746-LOOKUP(M746,{12.5,15,20,30,45,60,75,105,115,150,200,225,250,600},{12.5,15,20,30,45,60,75,105,115,150,200,225,250,600}))/(LOOKUP(M746,{12.5,15,20,30,45,60,75,105,115,150,200,225,250,600,1000},{15,20,30,45,60,75,105,115,150,200,225,250,600,1000,1000})-LOOKUP(M746,{12.5,15,20,30,45,60,75,105,115,150,200,225,250,600},{12.5,15,20,30,45,60,75,105,115,150,200,225,250,600}))*(LOOKUP(M746,{12.5,15,20,30,45,60,75,105,115,150,200,225,250,600,1000},{55,60,62,65,68,70,72,75,80,82,85,87,90,95,95})-LOOKUP(M746,{12.5,15,20,30,45,60,75,105,115,150,200,225,250,600,1000},{50,55,60,62,65,68,70,72,75,80,82,85,87,90,95})))))</f>
        <v>90</v>
      </c>
      <c r="P746" s="2">
        <f t="shared" si="58"/>
        <v>-21</v>
      </c>
      <c r="Q746" s="2">
        <f t="shared" si="59"/>
        <v>-8.67</v>
      </c>
    </row>
    <row r="747" customHeight="1" spans="1:17">
      <c r="A747" s="2">
        <v>2026</v>
      </c>
      <c r="B747" s="2">
        <v>746</v>
      </c>
      <c r="C747" s="17">
        <f t="shared" si="57"/>
        <v>63.3</v>
      </c>
      <c r="D747" s="2" t="s">
        <v>1137</v>
      </c>
      <c r="E747" s="12">
        <v>67</v>
      </c>
      <c r="F747" s="2">
        <v>52</v>
      </c>
      <c r="G747" s="2">
        <v>35</v>
      </c>
      <c r="H747" s="2" t="s">
        <v>135</v>
      </c>
      <c r="I747" s="2" t="s">
        <v>28</v>
      </c>
      <c r="J747" s="4" t="s">
        <v>88</v>
      </c>
      <c r="M747" s="2">
        <f t="shared" si="55"/>
        <v>30</v>
      </c>
      <c r="N747" s="2">
        <f t="shared" si="56"/>
        <v>60.8</v>
      </c>
      <c r="O747" s="2">
        <f>IF(M747="","",IF(M747&gt;=1000,95,IF(M747&lt;=12.5,50,LOOKUP(M747,{12.5,15,20,30,45,60,75,105,115,150,200,225,250,600,1000},{50,55,60,62,65,68,70,72,75,80,82,85,87,90,95})+(M747-LOOKUP(M747,{12.5,15,20,30,45,60,75,105,115,150,200,225,250,600},{12.5,15,20,30,45,60,75,105,115,150,200,225,250,600}))/(LOOKUP(M747,{12.5,15,20,30,45,60,75,105,115,150,200,225,250,600,1000},{15,20,30,45,60,75,105,115,150,200,225,250,600,1000,1000})-LOOKUP(M747,{12.5,15,20,30,45,60,75,105,115,150,200,225,250,600},{12.5,15,20,30,45,60,75,105,115,150,200,225,250,600}))*(LOOKUP(M747,{12.5,15,20,30,45,60,75,105,115,150,200,225,250,600,1000},{55,60,62,65,68,70,72,75,80,82,85,87,90,95,95})-LOOKUP(M747,{12.5,15,20,30,45,60,75,105,115,150,200,225,250,600,1000},{50,55,60,62,65,68,70,72,75,80,82,85,87,90,95})))))</f>
        <v>62</v>
      </c>
      <c r="P747" s="2">
        <f t="shared" si="58"/>
        <v>5</v>
      </c>
      <c r="Q747" s="2">
        <f t="shared" si="59"/>
        <v>2.5</v>
      </c>
    </row>
    <row r="748" customHeight="1" spans="1:17">
      <c r="A748" s="2">
        <v>2026</v>
      </c>
      <c r="B748" s="2">
        <v>747</v>
      </c>
      <c r="C748" s="17">
        <f t="shared" si="57"/>
        <v>63.3</v>
      </c>
      <c r="D748" s="2" t="s">
        <v>1138</v>
      </c>
      <c r="E748" s="12">
        <v>65</v>
      </c>
      <c r="F748" s="2">
        <v>55</v>
      </c>
      <c r="G748" s="2">
        <v>43</v>
      </c>
      <c r="H748" s="2" t="s">
        <v>54</v>
      </c>
      <c r="I748" s="2" t="s">
        <v>28</v>
      </c>
      <c r="J748" s="4" t="s">
        <v>140</v>
      </c>
      <c r="M748" s="2">
        <f t="shared" si="55"/>
        <v>20</v>
      </c>
      <c r="N748" s="2">
        <f t="shared" si="56"/>
        <v>60.8</v>
      </c>
      <c r="O748" s="2">
        <f>IF(M748="","",IF(M748&gt;=1000,95,IF(M748&lt;=12.5,50,LOOKUP(M748,{12.5,15,20,30,45,60,75,105,115,150,200,225,250,600,1000},{50,55,60,62,65,68,70,72,75,80,82,85,87,90,95})+(M748-LOOKUP(M748,{12.5,15,20,30,45,60,75,105,115,150,200,225,250,600},{12.5,15,20,30,45,60,75,105,115,150,200,225,250,600}))/(LOOKUP(M748,{12.5,15,20,30,45,60,75,105,115,150,200,225,250,600,1000},{15,20,30,45,60,75,105,115,150,200,225,250,600,1000,1000})-LOOKUP(M748,{12.5,15,20,30,45,60,75,105,115,150,200,225,250,600},{12.5,15,20,30,45,60,75,105,115,150,200,225,250,600}))*(LOOKUP(M748,{12.5,15,20,30,45,60,75,105,115,150,200,225,250,600,1000},{55,60,62,65,68,70,72,75,80,82,85,87,90,95,95})-LOOKUP(M748,{12.5,15,20,30,45,60,75,105,115,150,200,225,250,600,1000},{50,55,60,62,65,68,70,72,75,80,82,85,87,90,95})))))</f>
        <v>60</v>
      </c>
      <c r="P748" s="2">
        <f t="shared" si="58"/>
        <v>5</v>
      </c>
      <c r="Q748" s="2">
        <f t="shared" si="59"/>
        <v>2.5</v>
      </c>
    </row>
    <row r="749" customHeight="1" spans="1:17">
      <c r="A749" s="2">
        <v>2026</v>
      </c>
      <c r="B749" s="2">
        <v>748</v>
      </c>
      <c r="C749" s="17">
        <f t="shared" si="57"/>
        <v>63.3</v>
      </c>
      <c r="D749" s="2" t="s">
        <v>1139</v>
      </c>
      <c r="E749" s="12">
        <v>69</v>
      </c>
      <c r="F749" s="12">
        <v>62</v>
      </c>
      <c r="G749" s="2">
        <v>56</v>
      </c>
      <c r="H749" s="2" t="s">
        <v>41</v>
      </c>
      <c r="I749" s="2" t="s">
        <v>803</v>
      </c>
      <c r="J749" s="4" t="s">
        <v>148</v>
      </c>
      <c r="M749" s="2">
        <f t="shared" si="55"/>
        <v>115</v>
      </c>
      <c r="N749" s="2">
        <f t="shared" si="56"/>
        <v>66.3</v>
      </c>
      <c r="O749" s="2">
        <f>IF(M749="","",IF(M749&gt;=1000,95,IF(M749&lt;=12.5,50,LOOKUP(M749,{12.5,15,20,30,45,60,75,105,115,150,200,225,250,600,1000},{50,55,60,62,65,68,70,72,75,80,82,85,87,90,95})+(M749-LOOKUP(M749,{12.5,15,20,30,45,60,75,105,115,150,200,225,250,600},{12.5,15,20,30,45,60,75,105,115,150,200,225,250,600}))/(LOOKUP(M749,{12.5,15,20,30,45,60,75,105,115,150,200,225,250,600,1000},{15,20,30,45,60,75,105,115,150,200,225,250,600,1000,1000})-LOOKUP(M749,{12.5,15,20,30,45,60,75,105,115,150,200,225,250,600},{12.5,15,20,30,45,60,75,105,115,150,200,225,250,600}))*(LOOKUP(M749,{12.5,15,20,30,45,60,75,105,115,150,200,225,250,600,1000},{55,60,62,65,68,70,72,75,80,82,85,87,90,95,95})-LOOKUP(M749,{12.5,15,20,30,45,60,75,105,115,150,200,225,250,600,1000},{50,55,60,62,65,68,70,72,75,80,82,85,87,90,95})))))</f>
        <v>75</v>
      </c>
      <c r="P749" s="2">
        <f t="shared" si="58"/>
        <v>-6</v>
      </c>
      <c r="Q749" s="2">
        <f t="shared" si="59"/>
        <v>-3</v>
      </c>
    </row>
    <row r="750" customHeight="1" spans="1:17">
      <c r="A750" s="2">
        <v>2026</v>
      </c>
      <c r="B750" s="2">
        <v>749</v>
      </c>
      <c r="C750" s="17">
        <f t="shared" si="57"/>
        <v>63.3</v>
      </c>
      <c r="D750" s="2" t="s">
        <v>1140</v>
      </c>
      <c r="E750" s="12">
        <v>68</v>
      </c>
      <c r="F750" s="2">
        <v>52</v>
      </c>
      <c r="G750" s="2">
        <v>53</v>
      </c>
      <c r="H750" s="2" t="s">
        <v>367</v>
      </c>
      <c r="I750" s="2" t="s">
        <v>33</v>
      </c>
      <c r="J750" s="4" t="s">
        <v>34</v>
      </c>
      <c r="M750" s="2">
        <f t="shared" si="55"/>
        <v>60</v>
      </c>
      <c r="N750" s="2">
        <f t="shared" si="56"/>
        <v>63.3</v>
      </c>
      <c r="O750" s="2">
        <f>IF(M750="","",IF(M750&gt;=1000,95,IF(M750&lt;=12.5,50,LOOKUP(M750,{12.5,15,20,30,45,60,75,105,115,150,200,225,250,600,1000},{50,55,60,62,65,68,70,72,75,80,82,85,87,90,95})+(M750-LOOKUP(M750,{12.5,15,20,30,45,60,75,105,115,150,200,225,250,600},{12.5,15,20,30,45,60,75,105,115,150,200,225,250,600}))/(LOOKUP(M750,{12.5,15,20,30,45,60,75,105,115,150,200,225,250,600,1000},{15,20,30,45,60,75,105,115,150,200,225,250,600,1000,1000})-LOOKUP(M750,{12.5,15,20,30,45,60,75,105,115,150,200,225,250,600},{12.5,15,20,30,45,60,75,105,115,150,200,225,250,600}))*(LOOKUP(M750,{12.5,15,20,30,45,60,75,105,115,150,200,225,250,600,1000},{55,60,62,65,68,70,72,75,80,82,85,87,90,95,95})-LOOKUP(M750,{12.5,15,20,30,45,60,75,105,115,150,200,225,250,600,1000},{50,55,60,62,65,68,70,72,75,80,82,85,87,90,95})))))</f>
        <v>68</v>
      </c>
      <c r="P750" s="2">
        <f t="shared" si="58"/>
        <v>0</v>
      </c>
      <c r="Q750" s="2">
        <f t="shared" si="59"/>
        <v>0</v>
      </c>
    </row>
    <row r="751" customHeight="1" spans="1:17">
      <c r="B751" s="2">
        <v>750</v>
      </c>
      <c r="C751" s="17">
        <f t="shared" si="57"/>
        <v>63.27</v>
      </c>
      <c r="D751" s="2" t="s">
        <v>1141</v>
      </c>
      <c r="E751" s="12">
        <v>62</v>
      </c>
      <c r="F751" s="2">
        <v>52</v>
      </c>
      <c r="G751" s="2">
        <v>38</v>
      </c>
      <c r="H751" s="2" t="s">
        <v>91</v>
      </c>
      <c r="I751" s="2" t="s">
        <v>503</v>
      </c>
      <c r="J751" s="4" t="s">
        <v>77</v>
      </c>
      <c r="M751" s="2">
        <f t="shared" si="55"/>
        <v>12.5</v>
      </c>
      <c r="N751" s="2">
        <f t="shared" si="56"/>
        <v>57.6</v>
      </c>
      <c r="O751" s="2">
        <f>IF(M751="","",IF(M751&gt;=1000,95,IF(M751&lt;=12.5,50,LOOKUP(M751,{12.5,15,20,30,45,60,75,105,115,150,200,225,250,600,1000},{50,55,60,62,65,68,70,72,75,80,82,85,87,90,95})+(M751-LOOKUP(M751,{12.5,15,20,30,45,60,75,105,115,150,200,225,250,600},{12.5,15,20,30,45,60,75,105,115,150,200,225,250,600}))/(LOOKUP(M751,{12.5,15,20,30,45,60,75,105,115,150,200,225,250,600,1000},{15,20,30,45,60,75,105,115,150,200,225,250,600,1000,1000})-LOOKUP(M751,{12.5,15,20,30,45,60,75,105,115,150,200,225,250,600},{12.5,15,20,30,45,60,75,105,115,150,200,225,250,600}))*(LOOKUP(M751,{12.5,15,20,30,45,60,75,105,115,150,200,225,250,600,1000},{55,60,62,65,68,70,72,75,80,82,85,87,90,95,95})-LOOKUP(M751,{12.5,15,20,30,45,60,75,105,115,150,200,225,250,600,1000},{50,55,60,62,65,68,70,72,75,80,82,85,87,90,95})))))</f>
        <v>50</v>
      </c>
      <c r="P751" s="2">
        <f t="shared" si="58"/>
        <v>12</v>
      </c>
      <c r="Q751" s="2">
        <f t="shared" si="59"/>
        <v>5.67</v>
      </c>
    </row>
    <row r="752" customHeight="1" spans="1:17">
      <c r="B752" s="2">
        <v>751</v>
      </c>
      <c r="C752" s="17">
        <f t="shared" si="57"/>
        <v>63.27</v>
      </c>
      <c r="D752" s="2" t="s">
        <v>1142</v>
      </c>
      <c r="E752" s="9">
        <v>70</v>
      </c>
      <c r="F752" s="2">
        <v>28</v>
      </c>
      <c r="G752" s="2">
        <v>20</v>
      </c>
      <c r="H752" s="2" t="s">
        <v>27</v>
      </c>
      <c r="I752" s="2" t="s">
        <v>28</v>
      </c>
      <c r="J752" s="4" t="s">
        <v>29</v>
      </c>
      <c r="M752" s="2">
        <f t="shared" si="55"/>
        <v>15</v>
      </c>
      <c r="N752" s="2">
        <f t="shared" si="56"/>
        <v>56.6</v>
      </c>
      <c r="O752" s="2">
        <f>IF(M752="","",IF(M752&gt;=1000,95,IF(M752&lt;=12.5,50,LOOKUP(M752,{12.5,15,20,30,45,60,75,105,115,150,200,225,250,600,1000},{50,55,60,62,65,68,70,72,75,80,82,85,87,90,95})+(M752-LOOKUP(M752,{12.5,15,20,30,45,60,75,105,115,150,200,225,250,600},{12.5,15,20,30,45,60,75,105,115,150,200,225,250,600}))/(LOOKUP(M752,{12.5,15,20,30,45,60,75,105,115,150,200,225,250,600,1000},{15,20,30,45,60,75,105,115,150,200,225,250,600,1000,1000})-LOOKUP(M752,{12.5,15,20,30,45,60,75,105,115,150,200,225,250,600},{12.5,15,20,30,45,60,75,105,115,150,200,225,250,600}))*(LOOKUP(M752,{12.5,15,20,30,45,60,75,105,115,150,200,225,250,600,1000},{55,60,62,65,68,70,72,75,80,82,85,87,90,95,95})-LOOKUP(M752,{12.5,15,20,30,45,60,75,105,115,150,200,225,250,600,1000},{50,55,60,62,65,68,70,72,75,80,82,85,87,90,95})))))</f>
        <v>55</v>
      </c>
      <c r="P752" s="2">
        <f t="shared" si="58"/>
        <v>15</v>
      </c>
      <c r="Q752" s="2">
        <f t="shared" si="59"/>
        <v>6.67</v>
      </c>
    </row>
    <row r="753" customHeight="1" spans="1:17">
      <c r="B753" s="2">
        <v>752</v>
      </c>
      <c r="C753" s="17">
        <f t="shared" si="57"/>
        <v>63.2</v>
      </c>
      <c r="D753" s="2" t="s">
        <v>1143</v>
      </c>
      <c r="E753" s="12">
        <v>67</v>
      </c>
      <c r="F753" s="8">
        <v>92</v>
      </c>
      <c r="G753" s="10">
        <v>89</v>
      </c>
      <c r="H753" s="2" t="s">
        <v>113</v>
      </c>
      <c r="I753" s="2" t="s">
        <v>159</v>
      </c>
      <c r="J753" s="4" t="s">
        <v>43</v>
      </c>
      <c r="M753" s="2">
        <f t="shared" si="55"/>
        <v>1000</v>
      </c>
      <c r="N753" s="2">
        <f t="shared" si="56"/>
        <v>74.2</v>
      </c>
      <c r="O753" s="2">
        <f>IF(M753="","",IF(M753&gt;=1000,95,IF(M753&lt;=12.5,50,LOOKUP(M753,{12.5,15,20,30,45,60,75,105,115,150,200,225,250,600,1000},{50,55,60,62,65,68,70,72,75,80,82,85,87,90,95})+(M753-LOOKUP(M753,{12.5,15,20,30,45,60,75,105,115,150,200,225,250,600},{12.5,15,20,30,45,60,75,105,115,150,200,225,250,600}))/(LOOKUP(M753,{12.5,15,20,30,45,60,75,105,115,150,200,225,250,600,1000},{15,20,30,45,60,75,105,115,150,200,225,250,600,1000,1000})-LOOKUP(M753,{12.5,15,20,30,45,60,75,105,115,150,200,225,250,600},{12.5,15,20,30,45,60,75,105,115,150,200,225,250,600}))*(LOOKUP(M753,{12.5,15,20,30,45,60,75,105,115,150,200,225,250,600,1000},{55,60,62,65,68,70,72,75,80,82,85,87,90,95,95})-LOOKUP(M753,{12.5,15,20,30,45,60,75,105,115,150,200,225,250,600,1000},{50,55,60,62,65,68,70,72,75,80,82,85,87,90,95})))))</f>
        <v>95</v>
      </c>
      <c r="P753" s="2">
        <f t="shared" si="58"/>
        <v>-28</v>
      </c>
      <c r="Q753" s="2">
        <f t="shared" si="59"/>
        <v>-11</v>
      </c>
    </row>
    <row r="754" customHeight="1" spans="1:17">
      <c r="B754" s="2">
        <v>753</v>
      </c>
      <c r="C754" s="17">
        <f t="shared" si="57"/>
        <v>63.2</v>
      </c>
      <c r="D754" s="2" t="s">
        <v>1144</v>
      </c>
      <c r="E754" s="12">
        <v>66</v>
      </c>
      <c r="F754" s="9">
        <v>70</v>
      </c>
      <c r="G754" s="9">
        <v>75</v>
      </c>
      <c r="H754" s="2" t="s">
        <v>91</v>
      </c>
      <c r="I754" s="2" t="s">
        <v>350</v>
      </c>
      <c r="J754" s="4" t="s">
        <v>148</v>
      </c>
      <c r="M754" s="2">
        <f t="shared" si="55"/>
        <v>115</v>
      </c>
      <c r="N754" s="2">
        <f t="shared" si="56"/>
        <v>67.7</v>
      </c>
      <c r="O754" s="2">
        <f>IF(M754="","",IF(M754&gt;=1000,95,IF(M754&lt;=12.5,50,LOOKUP(M754,{12.5,15,20,30,45,60,75,105,115,150,200,225,250,600,1000},{50,55,60,62,65,68,70,72,75,80,82,85,87,90,95})+(M754-LOOKUP(M754,{12.5,15,20,30,45,60,75,105,115,150,200,225,250,600},{12.5,15,20,30,45,60,75,105,115,150,200,225,250,600}))/(LOOKUP(M754,{12.5,15,20,30,45,60,75,105,115,150,200,225,250,600,1000},{15,20,30,45,60,75,105,115,150,200,225,250,600,1000,1000})-LOOKUP(M754,{12.5,15,20,30,45,60,75,105,115,150,200,225,250,600},{12.5,15,20,30,45,60,75,105,115,150,200,225,250,600}))*(LOOKUP(M754,{12.5,15,20,30,45,60,75,105,115,150,200,225,250,600,1000},{55,60,62,65,68,70,72,75,80,82,85,87,90,95,95})-LOOKUP(M754,{12.5,15,20,30,45,60,75,105,115,150,200,225,250,600,1000},{50,55,60,62,65,68,70,72,75,80,82,85,87,90,95})))))</f>
        <v>75</v>
      </c>
      <c r="P754" s="2">
        <f t="shared" si="58"/>
        <v>-9</v>
      </c>
      <c r="Q754" s="2">
        <f t="shared" si="59"/>
        <v>-4.5</v>
      </c>
    </row>
    <row r="755" customHeight="1" spans="1:17">
      <c r="A755" s="2">
        <v>2026</v>
      </c>
      <c r="B755" s="2">
        <v>754</v>
      </c>
      <c r="C755" s="17">
        <f t="shared" si="57"/>
        <v>63.2</v>
      </c>
      <c r="D755" s="2" t="s">
        <v>1145</v>
      </c>
      <c r="E755" s="12">
        <v>64</v>
      </c>
      <c r="F755" s="2">
        <v>58</v>
      </c>
      <c r="G755" s="2">
        <v>58</v>
      </c>
      <c r="H755" s="2" t="s">
        <v>37</v>
      </c>
      <c r="I755" s="2" t="s">
        <v>28</v>
      </c>
      <c r="J755" s="4" t="s">
        <v>88</v>
      </c>
      <c r="M755" s="2">
        <f t="shared" si="55"/>
        <v>30</v>
      </c>
      <c r="N755" s="2">
        <f t="shared" si="56"/>
        <v>62.2</v>
      </c>
      <c r="O755" s="2">
        <f>IF(M755="","",IF(M755&gt;=1000,95,IF(M755&lt;=12.5,50,LOOKUP(M755,{12.5,15,20,30,45,60,75,105,115,150,200,225,250,600,1000},{50,55,60,62,65,68,70,72,75,80,82,85,87,90,95})+(M755-LOOKUP(M755,{12.5,15,20,30,45,60,75,105,115,150,200,225,250,600},{12.5,15,20,30,45,60,75,105,115,150,200,225,250,600}))/(LOOKUP(M755,{12.5,15,20,30,45,60,75,105,115,150,200,225,250,600,1000},{15,20,30,45,60,75,105,115,150,200,225,250,600,1000,1000})-LOOKUP(M755,{12.5,15,20,30,45,60,75,105,115,150,200,225,250,600},{12.5,15,20,30,45,60,75,105,115,150,200,225,250,600}))*(LOOKUP(M755,{12.5,15,20,30,45,60,75,105,115,150,200,225,250,600,1000},{55,60,62,65,68,70,72,75,80,82,85,87,90,95,95})-LOOKUP(M755,{12.5,15,20,30,45,60,75,105,115,150,200,225,250,600,1000},{50,55,60,62,65,68,70,72,75,80,82,85,87,90,95})))))</f>
        <v>62</v>
      </c>
      <c r="P755" s="2">
        <f t="shared" si="58"/>
        <v>2</v>
      </c>
      <c r="Q755" s="2">
        <f t="shared" si="59"/>
        <v>1</v>
      </c>
    </row>
    <row r="756" customHeight="1" spans="1:17">
      <c r="B756" s="2">
        <v>755</v>
      </c>
      <c r="C756" s="17">
        <f t="shared" si="57"/>
        <v>63.2</v>
      </c>
      <c r="D756" s="2" t="s">
        <v>1146</v>
      </c>
      <c r="E756" s="12">
        <v>68</v>
      </c>
      <c r="F756" s="12">
        <v>62</v>
      </c>
      <c r="G756" s="2">
        <v>42</v>
      </c>
      <c r="H756" s="2" t="s">
        <v>41</v>
      </c>
      <c r="I756" s="2" t="s">
        <v>50</v>
      </c>
      <c r="J756" s="4" t="s">
        <v>24</v>
      </c>
      <c r="M756" s="2">
        <f t="shared" si="55"/>
        <v>75</v>
      </c>
      <c r="N756" s="2">
        <f t="shared" si="56"/>
        <v>64.2</v>
      </c>
      <c r="O756" s="2">
        <f>IF(M756="","",IF(M756&gt;=1000,95,IF(M756&lt;=12.5,50,LOOKUP(M756,{12.5,15,20,30,45,60,75,105,115,150,200,225,250,600,1000},{50,55,60,62,65,68,70,72,75,80,82,85,87,90,95})+(M756-LOOKUP(M756,{12.5,15,20,30,45,60,75,105,115,150,200,225,250,600},{12.5,15,20,30,45,60,75,105,115,150,200,225,250,600}))/(LOOKUP(M756,{12.5,15,20,30,45,60,75,105,115,150,200,225,250,600,1000},{15,20,30,45,60,75,105,115,150,200,225,250,600,1000,1000})-LOOKUP(M756,{12.5,15,20,30,45,60,75,105,115,150,200,225,250,600},{12.5,15,20,30,45,60,75,105,115,150,200,225,250,600}))*(LOOKUP(M756,{12.5,15,20,30,45,60,75,105,115,150,200,225,250,600,1000},{55,60,62,65,68,70,72,75,80,82,85,87,90,95,95})-LOOKUP(M756,{12.5,15,20,30,45,60,75,105,115,150,200,225,250,600,1000},{50,55,60,62,65,68,70,72,75,80,82,85,87,90,95})))))</f>
        <v>70</v>
      </c>
      <c r="P756" s="2">
        <f t="shared" si="58"/>
        <v>-2</v>
      </c>
      <c r="Q756" s="2">
        <f t="shared" si="59"/>
        <v>-1</v>
      </c>
    </row>
    <row r="757" customHeight="1" spans="1:17">
      <c r="B757" s="2">
        <v>756</v>
      </c>
      <c r="C757" s="17">
        <f t="shared" si="57"/>
        <v>63.2</v>
      </c>
      <c r="D757" s="2" t="s">
        <v>1147</v>
      </c>
      <c r="E757" s="12">
        <v>69</v>
      </c>
      <c r="F757" s="2">
        <v>52</v>
      </c>
      <c r="G757" s="2">
        <v>25</v>
      </c>
      <c r="H757" s="2" t="s">
        <v>244</v>
      </c>
      <c r="I757" s="2" t="s">
        <v>63</v>
      </c>
      <c r="J757" s="4" t="s">
        <v>38</v>
      </c>
      <c r="M757" s="2">
        <f t="shared" si="55"/>
        <v>45</v>
      </c>
      <c r="N757" s="2">
        <f t="shared" si="56"/>
        <v>61.2</v>
      </c>
      <c r="O757" s="2">
        <f>IF(M757="","",IF(M757&gt;=1000,95,IF(M757&lt;=12.5,50,LOOKUP(M757,{12.5,15,20,30,45,60,75,105,115,150,200,225,250,600,1000},{50,55,60,62,65,68,70,72,75,80,82,85,87,90,95})+(M757-LOOKUP(M757,{12.5,15,20,30,45,60,75,105,115,150,200,225,250,600},{12.5,15,20,30,45,60,75,105,115,150,200,225,250,600}))/(LOOKUP(M757,{12.5,15,20,30,45,60,75,105,115,150,200,225,250,600,1000},{15,20,30,45,60,75,105,115,150,200,225,250,600,1000,1000})-LOOKUP(M757,{12.5,15,20,30,45,60,75,105,115,150,200,225,250,600},{12.5,15,20,30,45,60,75,105,115,150,200,225,250,600}))*(LOOKUP(M757,{12.5,15,20,30,45,60,75,105,115,150,200,225,250,600,1000},{55,60,62,65,68,70,72,75,80,82,85,87,90,95,95})-LOOKUP(M757,{12.5,15,20,30,45,60,75,105,115,150,200,225,250,600,1000},{50,55,60,62,65,68,70,72,75,80,82,85,87,90,95})))))</f>
        <v>65</v>
      </c>
      <c r="P757" s="2">
        <f t="shared" si="58"/>
        <v>4</v>
      </c>
      <c r="Q757" s="2">
        <f t="shared" si="59"/>
        <v>2</v>
      </c>
    </row>
    <row r="758" customHeight="1" spans="1:17">
      <c r="A758" s="2">
        <v>2026</v>
      </c>
      <c r="B758" s="2">
        <v>757</v>
      </c>
      <c r="C758" s="17">
        <f t="shared" si="57"/>
        <v>63.13</v>
      </c>
      <c r="D758" s="2" t="s">
        <v>1148</v>
      </c>
      <c r="E758" s="9">
        <v>70</v>
      </c>
      <c r="F758" s="12">
        <v>68</v>
      </c>
      <c r="G758" s="12">
        <v>62</v>
      </c>
      <c r="H758" s="2" t="s">
        <v>54</v>
      </c>
      <c r="I758" s="2" t="s">
        <v>104</v>
      </c>
      <c r="J758" s="4" t="s">
        <v>51</v>
      </c>
      <c r="M758" s="2">
        <f t="shared" si="55"/>
        <v>200</v>
      </c>
      <c r="N758" s="2">
        <f t="shared" si="56"/>
        <v>68.8</v>
      </c>
      <c r="O758" s="2">
        <f>IF(M758="","",IF(M758&gt;=1000,95,IF(M758&lt;=12.5,50,LOOKUP(M758,{12.5,15,20,30,45,60,75,105,115,150,200,225,250,600,1000},{50,55,60,62,65,68,70,72,75,80,82,85,87,90,95})+(M758-LOOKUP(M758,{12.5,15,20,30,45,60,75,105,115,150,200,225,250,600},{12.5,15,20,30,45,60,75,105,115,150,200,225,250,600}))/(LOOKUP(M758,{12.5,15,20,30,45,60,75,105,115,150,200,225,250,600,1000},{15,20,30,45,60,75,105,115,150,200,225,250,600,1000,1000})-LOOKUP(M758,{12.5,15,20,30,45,60,75,105,115,150,200,225,250,600},{12.5,15,20,30,45,60,75,105,115,150,200,225,250,600}))*(LOOKUP(M758,{12.5,15,20,30,45,60,75,105,115,150,200,225,250,600,1000},{55,60,62,65,68,70,72,75,80,82,85,87,90,95,95})-LOOKUP(M758,{12.5,15,20,30,45,60,75,105,115,150,200,225,250,600,1000},{50,55,60,62,65,68,70,72,75,80,82,85,87,90,95})))))</f>
        <v>82</v>
      </c>
      <c r="P758" s="2">
        <f t="shared" si="58"/>
        <v>-12</v>
      </c>
      <c r="Q758" s="2">
        <f t="shared" si="59"/>
        <v>-5.67</v>
      </c>
    </row>
    <row r="759" customHeight="1" spans="1:17">
      <c r="A759" s="2">
        <v>2026</v>
      </c>
      <c r="B759" s="2">
        <v>758</v>
      </c>
      <c r="C759" s="17">
        <f t="shared" si="57"/>
        <v>63.1</v>
      </c>
      <c r="D759" s="2" t="s">
        <v>1149</v>
      </c>
      <c r="E759" s="12">
        <v>66</v>
      </c>
      <c r="F759" s="2">
        <v>52</v>
      </c>
      <c r="G759" s="2">
        <v>45</v>
      </c>
      <c r="H759" s="2" t="s">
        <v>54</v>
      </c>
      <c r="I759" s="2" t="s">
        <v>28</v>
      </c>
      <c r="J759" s="4" t="s">
        <v>88</v>
      </c>
      <c r="M759" s="2">
        <f t="shared" si="55"/>
        <v>30</v>
      </c>
      <c r="N759" s="2">
        <f t="shared" si="56"/>
        <v>61.1</v>
      </c>
      <c r="O759" s="2">
        <f>IF(M759="","",IF(M759&gt;=1000,95,IF(M759&lt;=12.5,50,LOOKUP(M759,{12.5,15,20,30,45,60,75,105,115,150,200,225,250,600,1000},{50,55,60,62,65,68,70,72,75,80,82,85,87,90,95})+(M759-LOOKUP(M759,{12.5,15,20,30,45,60,75,105,115,150,200,225,250,600},{12.5,15,20,30,45,60,75,105,115,150,200,225,250,600}))/(LOOKUP(M759,{12.5,15,20,30,45,60,75,105,115,150,200,225,250,600,1000},{15,20,30,45,60,75,105,115,150,200,225,250,600,1000,1000})-LOOKUP(M759,{12.5,15,20,30,45,60,75,105,115,150,200,225,250,600},{12.5,15,20,30,45,60,75,105,115,150,200,225,250,600}))*(LOOKUP(M759,{12.5,15,20,30,45,60,75,105,115,150,200,225,250,600,1000},{55,60,62,65,68,70,72,75,80,82,85,87,90,95,95})-LOOKUP(M759,{12.5,15,20,30,45,60,75,105,115,150,200,225,250,600,1000},{50,55,60,62,65,68,70,72,75,80,82,85,87,90,95})))))</f>
        <v>62</v>
      </c>
      <c r="P759" s="2">
        <f t="shared" si="58"/>
        <v>4</v>
      </c>
      <c r="Q759" s="2">
        <f t="shared" si="59"/>
        <v>2</v>
      </c>
    </row>
    <row r="760" customHeight="1" spans="1:17">
      <c r="A760" s="2">
        <v>2026</v>
      </c>
      <c r="B760" s="2">
        <v>759</v>
      </c>
      <c r="C760" s="17">
        <f t="shared" si="57"/>
        <v>63</v>
      </c>
      <c r="D760" s="2" t="s">
        <v>1150</v>
      </c>
      <c r="E760" s="12">
        <v>67</v>
      </c>
      <c r="F760" s="9">
        <v>71</v>
      </c>
      <c r="G760" s="2">
        <v>59</v>
      </c>
      <c r="H760" s="2" t="s">
        <v>54</v>
      </c>
      <c r="I760" s="2" t="s">
        <v>104</v>
      </c>
      <c r="J760" s="4" t="s">
        <v>148</v>
      </c>
      <c r="M760" s="2">
        <f t="shared" si="55"/>
        <v>115</v>
      </c>
      <c r="N760" s="2">
        <f t="shared" si="56"/>
        <v>67</v>
      </c>
      <c r="O760" s="2">
        <f>IF(M760="","",IF(M760&gt;=1000,95,IF(M760&lt;=12.5,50,LOOKUP(M760,{12.5,15,20,30,45,60,75,105,115,150,200,225,250,600,1000},{50,55,60,62,65,68,70,72,75,80,82,85,87,90,95})+(M760-LOOKUP(M760,{12.5,15,20,30,45,60,75,105,115,150,200,225,250,600},{12.5,15,20,30,45,60,75,105,115,150,200,225,250,600}))/(LOOKUP(M760,{12.5,15,20,30,45,60,75,105,115,150,200,225,250,600,1000},{15,20,30,45,60,75,105,115,150,200,225,250,600,1000,1000})-LOOKUP(M760,{12.5,15,20,30,45,60,75,105,115,150,200,225,250,600},{12.5,15,20,30,45,60,75,105,115,150,200,225,250,600}))*(LOOKUP(M760,{12.5,15,20,30,45,60,75,105,115,150,200,225,250,600,1000},{55,60,62,65,68,70,72,75,80,82,85,87,90,95,95})-LOOKUP(M760,{12.5,15,20,30,45,60,75,105,115,150,200,225,250,600,1000},{50,55,60,62,65,68,70,72,75,80,82,85,87,90,95})))))</f>
        <v>75</v>
      </c>
      <c r="P760" s="2">
        <f t="shared" si="58"/>
        <v>-8</v>
      </c>
      <c r="Q760" s="2">
        <f t="shared" si="59"/>
        <v>-4</v>
      </c>
    </row>
    <row r="761" customHeight="1" spans="1:17">
      <c r="A761" s="2">
        <v>2026</v>
      </c>
      <c r="B761" s="2">
        <v>760</v>
      </c>
      <c r="C761" s="17">
        <f t="shared" si="57"/>
        <v>63</v>
      </c>
      <c r="D761" s="2" t="s">
        <v>1151</v>
      </c>
      <c r="E761" s="9">
        <v>71</v>
      </c>
      <c r="F761" s="2">
        <v>50</v>
      </c>
      <c r="G761" s="2">
        <v>53</v>
      </c>
      <c r="H761" s="2" t="s">
        <v>76</v>
      </c>
      <c r="I761" s="2" t="s">
        <v>104</v>
      </c>
      <c r="J761" s="4" t="s">
        <v>148</v>
      </c>
      <c r="M761" s="2">
        <f t="shared" si="55"/>
        <v>115</v>
      </c>
      <c r="N761" s="2">
        <f t="shared" si="56"/>
        <v>65</v>
      </c>
      <c r="O761" s="2">
        <f>IF(M761="","",IF(M761&gt;=1000,95,IF(M761&lt;=12.5,50,LOOKUP(M761,{12.5,15,20,30,45,60,75,105,115,150,200,225,250,600,1000},{50,55,60,62,65,68,70,72,75,80,82,85,87,90,95})+(M761-LOOKUP(M761,{12.5,15,20,30,45,60,75,105,115,150,200,225,250,600},{12.5,15,20,30,45,60,75,105,115,150,200,225,250,600}))/(LOOKUP(M761,{12.5,15,20,30,45,60,75,105,115,150,200,225,250,600,1000},{15,20,30,45,60,75,105,115,150,200,225,250,600,1000,1000})-LOOKUP(M761,{12.5,15,20,30,45,60,75,105,115,150,200,225,250,600},{12.5,15,20,30,45,60,75,105,115,150,200,225,250,600}))*(LOOKUP(M761,{12.5,15,20,30,45,60,75,105,115,150,200,225,250,600,1000},{55,60,62,65,68,70,72,75,80,82,85,87,90,95,95})-LOOKUP(M761,{12.5,15,20,30,45,60,75,105,115,150,200,225,250,600,1000},{50,55,60,62,65,68,70,72,75,80,82,85,87,90,95})))))</f>
        <v>75</v>
      </c>
      <c r="P761" s="2">
        <f t="shared" si="58"/>
        <v>-4</v>
      </c>
      <c r="Q761" s="2">
        <f t="shared" si="59"/>
        <v>-2</v>
      </c>
    </row>
    <row r="762" customHeight="1" spans="1:17">
      <c r="B762" s="2">
        <v>761</v>
      </c>
      <c r="C762" s="17">
        <f t="shared" si="57"/>
        <v>63</v>
      </c>
      <c r="D762" s="2" t="s">
        <v>1152</v>
      </c>
      <c r="E762" s="12">
        <v>68</v>
      </c>
      <c r="F762" s="12">
        <v>62</v>
      </c>
      <c r="G762" s="12">
        <v>65</v>
      </c>
      <c r="H762" s="2" t="s">
        <v>54</v>
      </c>
      <c r="I762" s="2" t="s">
        <v>104</v>
      </c>
      <c r="J762" s="4" t="s">
        <v>148</v>
      </c>
      <c r="M762" s="2">
        <f t="shared" si="55"/>
        <v>115</v>
      </c>
      <c r="N762" s="2">
        <f t="shared" si="56"/>
        <v>66.5</v>
      </c>
      <c r="O762" s="2">
        <f>IF(M762="","",IF(M762&gt;=1000,95,IF(M762&lt;=12.5,50,LOOKUP(M762,{12.5,15,20,30,45,60,75,105,115,150,200,225,250,600,1000},{50,55,60,62,65,68,70,72,75,80,82,85,87,90,95})+(M762-LOOKUP(M762,{12.5,15,20,30,45,60,75,105,115,150,200,225,250,600},{12.5,15,20,30,45,60,75,105,115,150,200,225,250,600}))/(LOOKUP(M762,{12.5,15,20,30,45,60,75,105,115,150,200,225,250,600,1000},{15,20,30,45,60,75,105,115,150,200,225,250,600,1000,1000})-LOOKUP(M762,{12.5,15,20,30,45,60,75,105,115,150,200,225,250,600},{12.5,15,20,30,45,60,75,105,115,150,200,225,250,600}))*(LOOKUP(M762,{12.5,15,20,30,45,60,75,105,115,150,200,225,250,600,1000},{55,60,62,65,68,70,72,75,80,82,85,87,90,95,95})-LOOKUP(M762,{12.5,15,20,30,45,60,75,105,115,150,200,225,250,600,1000},{50,55,60,62,65,68,70,72,75,80,82,85,87,90,95})))))</f>
        <v>75</v>
      </c>
      <c r="P762" s="2">
        <f t="shared" si="58"/>
        <v>-7</v>
      </c>
      <c r="Q762" s="2">
        <f t="shared" si="59"/>
        <v>-3.5</v>
      </c>
    </row>
    <row r="763" customHeight="1" spans="1:17">
      <c r="B763" s="2">
        <v>762</v>
      </c>
      <c r="C763" s="17">
        <f t="shared" si="57"/>
        <v>63</v>
      </c>
      <c r="D763" s="2" t="s">
        <v>1153</v>
      </c>
      <c r="E763" s="12">
        <v>66</v>
      </c>
      <c r="F763" s="2">
        <v>56</v>
      </c>
      <c r="G763" s="2">
        <v>51</v>
      </c>
      <c r="H763" s="2" t="s">
        <v>37</v>
      </c>
      <c r="I763" s="2" t="s">
        <v>28</v>
      </c>
      <c r="J763" s="4" t="s">
        <v>38</v>
      </c>
      <c r="M763" s="2">
        <f t="shared" si="55"/>
        <v>45</v>
      </c>
      <c r="N763" s="2">
        <f t="shared" si="56"/>
        <v>62.5</v>
      </c>
      <c r="O763" s="2">
        <f>IF(M763="","",IF(M763&gt;=1000,95,IF(M763&lt;=12.5,50,LOOKUP(M763,{12.5,15,20,30,45,60,75,105,115,150,200,225,250,600,1000},{50,55,60,62,65,68,70,72,75,80,82,85,87,90,95})+(M763-LOOKUP(M763,{12.5,15,20,30,45,60,75,105,115,150,200,225,250,600},{12.5,15,20,30,45,60,75,105,115,150,200,225,250,600}))/(LOOKUP(M763,{12.5,15,20,30,45,60,75,105,115,150,200,225,250,600,1000},{15,20,30,45,60,75,105,115,150,200,225,250,600,1000,1000})-LOOKUP(M763,{12.5,15,20,30,45,60,75,105,115,150,200,225,250,600},{12.5,15,20,30,45,60,75,105,115,150,200,225,250,600}))*(LOOKUP(M763,{12.5,15,20,30,45,60,75,105,115,150,200,225,250,600,1000},{55,60,62,65,68,70,72,75,80,82,85,87,90,95,95})-LOOKUP(M763,{12.5,15,20,30,45,60,75,105,115,150,200,225,250,600,1000},{50,55,60,62,65,68,70,72,75,80,82,85,87,90,95})))))</f>
        <v>65</v>
      </c>
      <c r="P763" s="2">
        <f t="shared" si="58"/>
        <v>1</v>
      </c>
      <c r="Q763" s="2">
        <f t="shared" si="59"/>
        <v>0.5</v>
      </c>
    </row>
    <row r="764" customHeight="1" spans="1:17">
      <c r="A764" s="2">
        <v>2026</v>
      </c>
      <c r="B764" s="2">
        <v>763</v>
      </c>
      <c r="C764" s="17">
        <f t="shared" si="57"/>
        <v>63</v>
      </c>
      <c r="D764" s="2" t="s">
        <v>1154</v>
      </c>
      <c r="E764" s="12">
        <v>68</v>
      </c>
      <c r="F764" s="2">
        <v>55</v>
      </c>
      <c r="G764" s="2">
        <v>54</v>
      </c>
      <c r="H764" s="2" t="s">
        <v>54</v>
      </c>
      <c r="I764" s="2" t="s">
        <v>28</v>
      </c>
      <c r="J764" s="4" t="s">
        <v>24</v>
      </c>
      <c r="K764" s="2" t="s">
        <v>1155</v>
      </c>
      <c r="M764" s="2">
        <f t="shared" si="55"/>
        <v>75</v>
      </c>
      <c r="N764" s="2">
        <f t="shared" si="56"/>
        <v>64</v>
      </c>
      <c r="O764" s="2">
        <f>IF(M764="","",IF(M764&gt;=1000,95,IF(M764&lt;=12.5,50,LOOKUP(M764,{12.5,15,20,30,45,60,75,105,115,150,200,225,250,600,1000},{50,55,60,62,65,68,70,72,75,80,82,85,87,90,95})+(M764-LOOKUP(M764,{12.5,15,20,30,45,60,75,105,115,150,200,225,250,600},{12.5,15,20,30,45,60,75,105,115,150,200,225,250,600}))/(LOOKUP(M764,{12.5,15,20,30,45,60,75,105,115,150,200,225,250,600,1000},{15,20,30,45,60,75,105,115,150,200,225,250,600,1000,1000})-LOOKUP(M764,{12.5,15,20,30,45,60,75,105,115,150,200,225,250,600},{12.5,15,20,30,45,60,75,105,115,150,200,225,250,600}))*(LOOKUP(M764,{12.5,15,20,30,45,60,75,105,115,150,200,225,250,600,1000},{55,60,62,65,68,70,72,75,80,82,85,87,90,95,95})-LOOKUP(M764,{12.5,15,20,30,45,60,75,105,115,150,200,225,250,600,1000},{50,55,60,62,65,68,70,72,75,80,82,85,87,90,95})))))</f>
        <v>70</v>
      </c>
      <c r="P764" s="2">
        <f t="shared" si="58"/>
        <v>-2</v>
      </c>
      <c r="Q764" s="2">
        <f t="shared" si="59"/>
        <v>-1</v>
      </c>
    </row>
    <row r="765" customHeight="1" spans="1:17">
      <c r="B765" s="2">
        <v>764</v>
      </c>
      <c r="C765" s="17">
        <f t="shared" si="57"/>
        <v>62.96</v>
      </c>
      <c r="D765" s="2" t="s">
        <v>1156</v>
      </c>
      <c r="E765" s="9">
        <v>70</v>
      </c>
      <c r="F765" s="12">
        <v>68</v>
      </c>
      <c r="G765" s="9">
        <v>77</v>
      </c>
      <c r="H765" s="2" t="s">
        <v>17</v>
      </c>
      <c r="I765" s="2" t="s">
        <v>803</v>
      </c>
      <c r="J765" s="4" t="s">
        <v>123</v>
      </c>
      <c r="K765" s="2" t="s">
        <v>1157</v>
      </c>
      <c r="M765" s="2">
        <f t="shared" si="55"/>
        <v>250</v>
      </c>
      <c r="N765" s="2">
        <f t="shared" si="56"/>
        <v>70.3</v>
      </c>
      <c r="O765" s="2">
        <f>IF(M765="","",IF(M765&gt;=1000,95,IF(M765&lt;=12.5,50,LOOKUP(M765,{12.5,15,20,30,45,60,75,105,115,150,200,225,250,600,1000},{50,55,60,62,65,68,70,72,75,80,82,85,87,90,95})+(M765-LOOKUP(M765,{12.5,15,20,30,45,60,75,105,115,150,200,225,250,600},{12.5,15,20,30,45,60,75,105,115,150,200,225,250,600}))/(LOOKUP(M765,{12.5,15,20,30,45,60,75,105,115,150,200,225,250,600,1000},{15,20,30,45,60,75,105,115,150,200,225,250,600,1000,1000})-LOOKUP(M765,{12.5,15,20,30,45,60,75,105,115,150,200,225,250,600},{12.5,15,20,30,45,60,75,105,115,150,200,225,250,600}))*(LOOKUP(M765,{12.5,15,20,30,45,60,75,105,115,150,200,225,250,600,1000},{55,60,62,65,68,70,72,75,80,82,85,87,90,95,95})-LOOKUP(M765,{12.5,15,20,30,45,60,75,105,115,150,200,225,250,600,1000},{50,55,60,62,65,68,70,72,75,80,82,85,87,90,95})))))</f>
        <v>87</v>
      </c>
      <c r="P765" s="2">
        <f t="shared" si="58"/>
        <v>-17</v>
      </c>
      <c r="Q765" s="2">
        <f t="shared" si="59"/>
        <v>-7.34</v>
      </c>
    </row>
    <row r="766" customHeight="1" spans="1:17">
      <c r="B766" s="2">
        <v>765</v>
      </c>
      <c r="C766" s="17">
        <f t="shared" si="57"/>
        <v>62.96</v>
      </c>
      <c r="D766" s="2" t="s">
        <v>1158</v>
      </c>
      <c r="E766" s="9">
        <v>71</v>
      </c>
      <c r="F766" s="12">
        <v>65</v>
      </c>
      <c r="G766" s="12">
        <v>66</v>
      </c>
      <c r="H766" s="2" t="s">
        <v>848</v>
      </c>
      <c r="I766" s="2" t="s">
        <v>1055</v>
      </c>
      <c r="J766" s="4" t="s">
        <v>19</v>
      </c>
      <c r="K766" s="2" t="s">
        <v>1159</v>
      </c>
      <c r="M766" s="2">
        <f t="shared" si="55"/>
        <v>225</v>
      </c>
      <c r="N766" s="2">
        <f t="shared" si="56"/>
        <v>69.3</v>
      </c>
      <c r="O766" s="2">
        <f>IF(M766="","",IF(M766&gt;=1000,95,IF(M766&lt;=12.5,50,LOOKUP(M766,{12.5,15,20,30,45,60,75,105,115,150,200,225,250,600,1000},{50,55,60,62,65,68,70,72,75,80,82,85,87,90,95})+(M766-LOOKUP(M766,{12.5,15,20,30,45,60,75,105,115,150,200,225,250,600},{12.5,15,20,30,45,60,75,105,115,150,200,225,250,600}))/(LOOKUP(M766,{12.5,15,20,30,45,60,75,105,115,150,200,225,250,600,1000},{15,20,30,45,60,75,105,115,150,200,225,250,600,1000,1000})-LOOKUP(M766,{12.5,15,20,30,45,60,75,105,115,150,200,225,250,600},{12.5,15,20,30,45,60,75,105,115,150,200,225,250,600}))*(LOOKUP(M766,{12.5,15,20,30,45,60,75,105,115,150,200,225,250,600,1000},{55,60,62,65,68,70,72,75,80,82,85,87,90,95,95})-LOOKUP(M766,{12.5,15,20,30,45,60,75,105,115,150,200,225,250,600,1000},{50,55,60,62,65,68,70,72,75,80,82,85,87,90,95})))))</f>
        <v>85</v>
      </c>
      <c r="P766" s="2">
        <f t="shared" si="58"/>
        <v>-14</v>
      </c>
      <c r="Q766" s="2">
        <f t="shared" si="59"/>
        <v>-6.34</v>
      </c>
    </row>
    <row r="767" customHeight="1" spans="1:17">
      <c r="B767" s="2">
        <v>766</v>
      </c>
      <c r="C767" s="17">
        <f t="shared" si="57"/>
        <v>62.93</v>
      </c>
      <c r="D767" s="2" t="s">
        <v>1160</v>
      </c>
      <c r="E767" s="12">
        <v>69</v>
      </c>
      <c r="F767" s="9">
        <v>75</v>
      </c>
      <c r="G767" s="10">
        <v>83</v>
      </c>
      <c r="H767" s="2" t="s">
        <v>175</v>
      </c>
      <c r="I767" s="2" t="s">
        <v>159</v>
      </c>
      <c r="J767" s="4" t="s">
        <v>73</v>
      </c>
      <c r="M767" s="2">
        <f t="shared" si="55"/>
        <v>600</v>
      </c>
      <c r="N767" s="2">
        <f t="shared" si="56"/>
        <v>71.6</v>
      </c>
      <c r="O767" s="2">
        <f>IF(M767="","",IF(M767&gt;=1000,95,IF(M767&lt;=12.5,50,LOOKUP(M767,{12.5,15,20,30,45,60,75,105,115,150,200,225,250,600,1000},{50,55,60,62,65,68,70,72,75,80,82,85,87,90,95})+(M767-LOOKUP(M767,{12.5,15,20,30,45,60,75,105,115,150,200,225,250,600},{12.5,15,20,30,45,60,75,105,115,150,200,225,250,600}))/(LOOKUP(M767,{12.5,15,20,30,45,60,75,105,115,150,200,225,250,600,1000},{15,20,30,45,60,75,105,115,150,200,225,250,600,1000,1000})-LOOKUP(M767,{12.5,15,20,30,45,60,75,105,115,150,200,225,250,600},{12.5,15,20,30,45,60,75,105,115,150,200,225,250,600}))*(LOOKUP(M767,{12.5,15,20,30,45,60,75,105,115,150,200,225,250,600,1000},{55,60,62,65,68,70,72,75,80,82,85,87,90,95,95})-LOOKUP(M767,{12.5,15,20,30,45,60,75,105,115,150,200,225,250,600,1000},{50,55,60,62,65,68,70,72,75,80,82,85,87,90,95})))))</f>
        <v>90</v>
      </c>
      <c r="P767" s="2">
        <f t="shared" si="58"/>
        <v>-21</v>
      </c>
      <c r="Q767" s="2">
        <f t="shared" si="59"/>
        <v>-8.67</v>
      </c>
    </row>
    <row r="768" customHeight="1" spans="1:17">
      <c r="B768" s="2">
        <v>767</v>
      </c>
      <c r="C768" s="17">
        <f t="shared" si="57"/>
        <v>62.9</v>
      </c>
      <c r="D768" s="2" t="s">
        <v>1161</v>
      </c>
      <c r="E768" s="12">
        <v>64</v>
      </c>
      <c r="F768" s="12">
        <v>65</v>
      </c>
      <c r="G768" s="2">
        <v>56</v>
      </c>
      <c r="H768" s="2" t="s">
        <v>41</v>
      </c>
      <c r="I768" s="2" t="s">
        <v>28</v>
      </c>
      <c r="J768" s="4" t="s">
        <v>38</v>
      </c>
      <c r="M768" s="2">
        <f t="shared" si="55"/>
        <v>45</v>
      </c>
      <c r="N768" s="2">
        <f t="shared" si="56"/>
        <v>63.4</v>
      </c>
      <c r="O768" s="2">
        <f>IF(M768="","",IF(M768&gt;=1000,95,IF(M768&lt;=12.5,50,LOOKUP(M768,{12.5,15,20,30,45,60,75,105,115,150,200,225,250,600,1000},{50,55,60,62,65,68,70,72,75,80,82,85,87,90,95})+(M768-LOOKUP(M768,{12.5,15,20,30,45,60,75,105,115,150,200,225,250,600},{12.5,15,20,30,45,60,75,105,115,150,200,225,250,600}))/(LOOKUP(M768,{12.5,15,20,30,45,60,75,105,115,150,200,225,250,600,1000},{15,20,30,45,60,75,105,115,150,200,225,250,600,1000,1000})-LOOKUP(M768,{12.5,15,20,30,45,60,75,105,115,150,200,225,250,600},{12.5,15,20,30,45,60,75,105,115,150,200,225,250,600}))*(LOOKUP(M768,{12.5,15,20,30,45,60,75,105,115,150,200,225,250,600,1000},{55,60,62,65,68,70,72,75,80,82,85,87,90,95,95})-LOOKUP(M768,{12.5,15,20,30,45,60,75,105,115,150,200,225,250,600,1000},{50,55,60,62,65,68,70,72,75,80,82,85,87,90,95})))))</f>
        <v>65</v>
      </c>
      <c r="P768" s="2">
        <f t="shared" si="58"/>
        <v>-1</v>
      </c>
      <c r="Q768" s="2">
        <f t="shared" si="59"/>
        <v>-0.5</v>
      </c>
    </row>
    <row r="769" customHeight="1" spans="1:17">
      <c r="B769" s="2">
        <v>768</v>
      </c>
      <c r="C769" s="17">
        <f t="shared" si="57"/>
        <v>62.9</v>
      </c>
      <c r="D769" s="2" t="s">
        <v>1162</v>
      </c>
      <c r="E769" s="12">
        <v>68</v>
      </c>
      <c r="F769" s="12">
        <v>60</v>
      </c>
      <c r="G769" s="2">
        <v>53</v>
      </c>
      <c r="H769" s="2" t="s">
        <v>914</v>
      </c>
      <c r="I769" s="2" t="s">
        <v>23</v>
      </c>
      <c r="J769" s="4" t="s">
        <v>105</v>
      </c>
      <c r="M769" s="2">
        <f t="shared" si="55"/>
        <v>105</v>
      </c>
      <c r="N769" s="2">
        <f t="shared" si="56"/>
        <v>64.9</v>
      </c>
      <c r="O769" s="2">
        <f>IF(M769="","",IF(M769&gt;=1000,95,IF(M769&lt;=12.5,50,LOOKUP(M769,{12.5,15,20,30,45,60,75,105,115,150,200,225,250,600,1000},{50,55,60,62,65,68,70,72,75,80,82,85,87,90,95})+(M769-LOOKUP(M769,{12.5,15,20,30,45,60,75,105,115,150,200,225,250,600},{12.5,15,20,30,45,60,75,105,115,150,200,225,250,600}))/(LOOKUP(M769,{12.5,15,20,30,45,60,75,105,115,150,200,225,250,600,1000},{15,20,30,45,60,75,105,115,150,200,225,250,600,1000,1000})-LOOKUP(M769,{12.5,15,20,30,45,60,75,105,115,150,200,225,250,600},{12.5,15,20,30,45,60,75,105,115,150,200,225,250,600}))*(LOOKUP(M769,{12.5,15,20,30,45,60,75,105,115,150,200,225,250,600,1000},{55,60,62,65,68,70,72,75,80,82,85,87,90,95,95})-LOOKUP(M769,{12.5,15,20,30,45,60,75,105,115,150,200,225,250,600,1000},{50,55,60,62,65,68,70,72,75,80,82,85,87,90,95})))))</f>
        <v>72</v>
      </c>
      <c r="P769" s="2">
        <f t="shared" si="58"/>
        <v>-4</v>
      </c>
      <c r="Q769" s="2">
        <f t="shared" si="59"/>
        <v>-2</v>
      </c>
    </row>
    <row r="770" customHeight="1" spans="1:17">
      <c r="B770" s="2">
        <v>769</v>
      </c>
      <c r="C770" s="17">
        <f t="shared" si="57"/>
        <v>62.9</v>
      </c>
      <c r="D770" s="2" t="s">
        <v>1163</v>
      </c>
      <c r="E770" s="12">
        <v>66</v>
      </c>
      <c r="F770" s="2">
        <v>55</v>
      </c>
      <c r="G770" s="2">
        <v>52</v>
      </c>
      <c r="H770" s="2" t="s">
        <v>41</v>
      </c>
      <c r="I770" s="2" t="s">
        <v>28</v>
      </c>
      <c r="J770" s="4" t="s">
        <v>38</v>
      </c>
      <c r="K770" s="2" t="s">
        <v>1164</v>
      </c>
      <c r="M770" s="2">
        <f t="shared" ref="M770:M833" si="60">IF(J770="1000+",1000,(LEFT(J770,FIND("-",J770)-1)+RIGHT(J770,LEN(J770)-FIND("-",J770)))/2)</f>
        <v>45</v>
      </c>
      <c r="N770" s="2">
        <f t="shared" ref="N770:N833" si="61">ROUND(E770*0.7+F770*0.2+G770*0.1,2)</f>
        <v>62.4</v>
      </c>
      <c r="O770" s="2">
        <f>IF(M770="","",IF(M770&gt;=1000,95,IF(M770&lt;=12.5,50,LOOKUP(M770,{12.5,15,20,30,45,60,75,105,115,150,200,225,250,600,1000},{50,55,60,62,65,68,70,72,75,80,82,85,87,90,95})+(M770-LOOKUP(M770,{12.5,15,20,30,45,60,75,105,115,150,200,225,250,600},{12.5,15,20,30,45,60,75,105,115,150,200,225,250,600}))/(LOOKUP(M770,{12.5,15,20,30,45,60,75,105,115,150,200,225,250,600,1000},{15,20,30,45,60,75,105,115,150,200,225,250,600,1000,1000})-LOOKUP(M770,{12.5,15,20,30,45,60,75,105,115,150,200,225,250,600},{12.5,15,20,30,45,60,75,105,115,150,200,225,250,600}))*(LOOKUP(M770,{12.5,15,20,30,45,60,75,105,115,150,200,225,250,600,1000},{55,60,62,65,68,70,72,75,80,82,85,87,90,95,95})-LOOKUP(M770,{12.5,15,20,30,45,60,75,105,115,150,200,225,250,600,1000},{50,55,60,62,65,68,70,72,75,80,82,85,87,90,95})))))</f>
        <v>65</v>
      </c>
      <c r="P770" s="2">
        <f t="shared" si="58"/>
        <v>1</v>
      </c>
      <c r="Q770" s="2">
        <f t="shared" si="59"/>
        <v>0.5</v>
      </c>
    </row>
    <row r="771" customHeight="1" spans="1:17">
      <c r="B771" s="2">
        <v>770</v>
      </c>
      <c r="C771" s="17">
        <f t="shared" si="57"/>
        <v>62.83</v>
      </c>
      <c r="D771" s="2" t="s">
        <v>1165</v>
      </c>
      <c r="E771" s="9">
        <v>70</v>
      </c>
      <c r="F771" s="12">
        <v>63</v>
      </c>
      <c r="G771" s="12">
        <v>69</v>
      </c>
      <c r="H771" s="2" t="s">
        <v>189</v>
      </c>
      <c r="I771" s="2" t="s">
        <v>42</v>
      </c>
      <c r="J771" s="4" t="s">
        <v>51</v>
      </c>
      <c r="K771" s="2" t="s">
        <v>1166</v>
      </c>
      <c r="M771" s="2">
        <f t="shared" si="60"/>
        <v>200</v>
      </c>
      <c r="N771" s="2">
        <f t="shared" si="61"/>
        <v>68.5</v>
      </c>
      <c r="O771" s="2">
        <f>IF(M771="","",IF(M771&gt;=1000,95,IF(M771&lt;=12.5,50,LOOKUP(M771,{12.5,15,20,30,45,60,75,105,115,150,200,225,250,600,1000},{50,55,60,62,65,68,70,72,75,80,82,85,87,90,95})+(M771-LOOKUP(M771,{12.5,15,20,30,45,60,75,105,115,150,200,225,250,600},{12.5,15,20,30,45,60,75,105,115,150,200,225,250,600}))/(LOOKUP(M771,{12.5,15,20,30,45,60,75,105,115,150,200,225,250,600,1000},{15,20,30,45,60,75,105,115,150,200,225,250,600,1000,1000})-LOOKUP(M771,{12.5,15,20,30,45,60,75,105,115,150,200,225,250,600},{12.5,15,20,30,45,60,75,105,115,150,200,225,250,600}))*(LOOKUP(M771,{12.5,15,20,30,45,60,75,105,115,150,200,225,250,600,1000},{55,60,62,65,68,70,72,75,80,82,85,87,90,95,95})-LOOKUP(M771,{12.5,15,20,30,45,60,75,105,115,150,200,225,250,600,1000},{50,55,60,62,65,68,70,72,75,80,82,85,87,90,95})))))</f>
        <v>82</v>
      </c>
      <c r="P771" s="2">
        <f t="shared" si="58"/>
        <v>-12</v>
      </c>
      <c r="Q771" s="2">
        <f t="shared" si="59"/>
        <v>-5.67</v>
      </c>
    </row>
    <row r="772" customHeight="1" spans="1:17">
      <c r="A772" s="2">
        <v>2026</v>
      </c>
      <c r="B772" s="2">
        <v>771</v>
      </c>
      <c r="C772" s="17">
        <f t="shared" si="57"/>
        <v>62.8</v>
      </c>
      <c r="D772" s="2" t="s">
        <v>1167</v>
      </c>
      <c r="E772" s="12">
        <v>65</v>
      </c>
      <c r="F772" s="9">
        <v>76</v>
      </c>
      <c r="G772" s="2">
        <v>56</v>
      </c>
      <c r="H772" s="2" t="s">
        <v>37</v>
      </c>
      <c r="I772" s="2" t="s">
        <v>717</v>
      </c>
      <c r="J772" s="4" t="s">
        <v>105</v>
      </c>
      <c r="M772" s="2">
        <f t="shared" si="60"/>
        <v>105</v>
      </c>
      <c r="N772" s="2">
        <f t="shared" si="61"/>
        <v>66.3</v>
      </c>
      <c r="O772" s="2">
        <f>IF(M772="","",IF(M772&gt;=1000,95,IF(M772&lt;=12.5,50,LOOKUP(M772,{12.5,15,20,30,45,60,75,105,115,150,200,225,250,600,1000},{50,55,60,62,65,68,70,72,75,80,82,85,87,90,95})+(M772-LOOKUP(M772,{12.5,15,20,30,45,60,75,105,115,150,200,225,250,600},{12.5,15,20,30,45,60,75,105,115,150,200,225,250,600}))/(LOOKUP(M772,{12.5,15,20,30,45,60,75,105,115,150,200,225,250,600,1000},{15,20,30,45,60,75,105,115,150,200,225,250,600,1000,1000})-LOOKUP(M772,{12.5,15,20,30,45,60,75,105,115,150,200,225,250,600},{12.5,15,20,30,45,60,75,105,115,150,200,225,250,600}))*(LOOKUP(M772,{12.5,15,20,30,45,60,75,105,115,150,200,225,250,600,1000},{55,60,62,65,68,70,72,75,80,82,85,87,90,95,95})-LOOKUP(M772,{12.5,15,20,30,45,60,75,105,115,150,200,225,250,600,1000},{50,55,60,62,65,68,70,72,75,80,82,85,87,90,95})))))</f>
        <v>72</v>
      </c>
      <c r="P772" s="2">
        <f t="shared" si="58"/>
        <v>-7</v>
      </c>
      <c r="Q772" s="2">
        <f t="shared" si="59"/>
        <v>-3.5</v>
      </c>
    </row>
    <row r="773" customHeight="1" spans="1:17">
      <c r="B773" s="2">
        <v>772</v>
      </c>
      <c r="C773" s="17">
        <f t="shared" si="57"/>
        <v>62.8</v>
      </c>
      <c r="D773" s="2" t="s">
        <v>1168</v>
      </c>
      <c r="E773" s="12">
        <v>61</v>
      </c>
      <c r="F773" s="2">
        <v>58</v>
      </c>
      <c r="G773" s="2">
        <v>55</v>
      </c>
      <c r="H773" s="2" t="s">
        <v>37</v>
      </c>
      <c r="I773" s="2" t="s">
        <v>28</v>
      </c>
      <c r="J773" s="4" t="s">
        <v>29</v>
      </c>
      <c r="M773" s="2">
        <f t="shared" si="60"/>
        <v>15</v>
      </c>
      <c r="N773" s="2">
        <f t="shared" si="61"/>
        <v>59.8</v>
      </c>
      <c r="O773" s="2">
        <f>IF(M773="","",IF(M773&gt;=1000,95,IF(M773&lt;=12.5,50,LOOKUP(M773,{12.5,15,20,30,45,60,75,105,115,150,200,225,250,600,1000},{50,55,60,62,65,68,70,72,75,80,82,85,87,90,95})+(M773-LOOKUP(M773,{12.5,15,20,30,45,60,75,105,115,150,200,225,250,600},{12.5,15,20,30,45,60,75,105,115,150,200,225,250,600}))/(LOOKUP(M773,{12.5,15,20,30,45,60,75,105,115,150,200,225,250,600,1000},{15,20,30,45,60,75,105,115,150,200,225,250,600,1000,1000})-LOOKUP(M773,{12.5,15,20,30,45,60,75,105,115,150,200,225,250,600},{12.5,15,20,30,45,60,75,105,115,150,200,225,250,600}))*(LOOKUP(M773,{12.5,15,20,30,45,60,75,105,115,150,200,225,250,600,1000},{55,60,62,65,68,70,72,75,80,82,85,87,90,95,95})-LOOKUP(M773,{12.5,15,20,30,45,60,75,105,115,150,200,225,250,600,1000},{50,55,60,62,65,68,70,72,75,80,82,85,87,90,95})))))</f>
        <v>55</v>
      </c>
      <c r="P773" s="2">
        <f t="shared" si="58"/>
        <v>6</v>
      </c>
      <c r="Q773" s="2">
        <f t="shared" si="59"/>
        <v>3</v>
      </c>
    </row>
    <row r="774" customHeight="1" spans="1:17">
      <c r="B774" s="2">
        <v>773</v>
      </c>
      <c r="C774" s="17">
        <f t="shared" ref="C774:C837" si="62">ROUND(MAX(MIN(N774+Q774,100),0),2)</f>
        <v>62.8</v>
      </c>
      <c r="D774" s="2" t="s">
        <v>1169</v>
      </c>
      <c r="E774" s="9">
        <v>70</v>
      </c>
      <c r="F774" s="12">
        <v>63</v>
      </c>
      <c r="G774" s="12">
        <v>62</v>
      </c>
      <c r="H774" s="2" t="s">
        <v>41</v>
      </c>
      <c r="I774" s="2" t="s">
        <v>183</v>
      </c>
      <c r="J774" s="4" t="s">
        <v>59</v>
      </c>
      <c r="M774" s="2">
        <f t="shared" si="60"/>
        <v>150</v>
      </c>
      <c r="N774" s="2">
        <f t="shared" si="61"/>
        <v>67.8</v>
      </c>
      <c r="O774" s="2">
        <f>IF(M774="","",IF(M774&gt;=1000,95,IF(M774&lt;=12.5,50,LOOKUP(M774,{12.5,15,20,30,45,60,75,105,115,150,200,225,250,600,1000},{50,55,60,62,65,68,70,72,75,80,82,85,87,90,95})+(M774-LOOKUP(M774,{12.5,15,20,30,45,60,75,105,115,150,200,225,250,600},{12.5,15,20,30,45,60,75,105,115,150,200,225,250,600}))/(LOOKUP(M774,{12.5,15,20,30,45,60,75,105,115,150,200,225,250,600,1000},{15,20,30,45,60,75,105,115,150,200,225,250,600,1000,1000})-LOOKUP(M774,{12.5,15,20,30,45,60,75,105,115,150,200,225,250,600},{12.5,15,20,30,45,60,75,105,115,150,200,225,250,600}))*(LOOKUP(M774,{12.5,15,20,30,45,60,75,105,115,150,200,225,250,600,1000},{55,60,62,65,68,70,72,75,80,82,85,87,90,95,95})-LOOKUP(M774,{12.5,15,20,30,45,60,75,105,115,150,200,225,250,600,1000},{50,55,60,62,65,68,70,72,75,80,82,85,87,90,95})))))</f>
        <v>80</v>
      </c>
      <c r="P774" s="2">
        <f t="shared" ref="P774:P837" si="63">E774-O774</f>
        <v>-10</v>
      </c>
      <c r="Q774" s="2">
        <f t="shared" ref="Q774:Q837" si="64">ROUND(SIGN(P774)*IF(ABS(P774)&lt;=10,ABS(P774)*0.5,IF(ABS(P774)&lt;=15,5+(ABS(P774)-10)*(1.67/5),6.67+(ABS(P774)-15)*0.333)),2)</f>
        <v>-5</v>
      </c>
    </row>
    <row r="775" customHeight="1" spans="1:17">
      <c r="A775" s="2">
        <v>2026</v>
      </c>
      <c r="B775" s="2">
        <v>774</v>
      </c>
      <c r="C775" s="17">
        <f t="shared" si="62"/>
        <v>62.8</v>
      </c>
      <c r="D775" s="2" t="s">
        <v>1170</v>
      </c>
      <c r="E775" s="12">
        <v>65</v>
      </c>
      <c r="F775" s="2">
        <v>55</v>
      </c>
      <c r="G775" s="2">
        <v>48</v>
      </c>
      <c r="H775" s="2" t="s">
        <v>41</v>
      </c>
      <c r="I775" s="2" t="s">
        <v>128</v>
      </c>
      <c r="J775" s="4" t="s">
        <v>88</v>
      </c>
      <c r="M775" s="2">
        <f t="shared" si="60"/>
        <v>30</v>
      </c>
      <c r="N775" s="2">
        <f t="shared" si="61"/>
        <v>61.3</v>
      </c>
      <c r="O775" s="2">
        <f>IF(M775="","",IF(M775&gt;=1000,95,IF(M775&lt;=12.5,50,LOOKUP(M775,{12.5,15,20,30,45,60,75,105,115,150,200,225,250,600,1000},{50,55,60,62,65,68,70,72,75,80,82,85,87,90,95})+(M775-LOOKUP(M775,{12.5,15,20,30,45,60,75,105,115,150,200,225,250,600},{12.5,15,20,30,45,60,75,105,115,150,200,225,250,600}))/(LOOKUP(M775,{12.5,15,20,30,45,60,75,105,115,150,200,225,250,600,1000},{15,20,30,45,60,75,105,115,150,200,225,250,600,1000,1000})-LOOKUP(M775,{12.5,15,20,30,45,60,75,105,115,150,200,225,250,600},{12.5,15,20,30,45,60,75,105,115,150,200,225,250,600}))*(LOOKUP(M775,{12.5,15,20,30,45,60,75,105,115,150,200,225,250,600,1000},{55,60,62,65,68,70,72,75,80,82,85,87,90,95,95})-LOOKUP(M775,{12.5,15,20,30,45,60,75,105,115,150,200,225,250,600,1000},{50,55,60,62,65,68,70,72,75,80,82,85,87,90,95})))))</f>
        <v>62</v>
      </c>
      <c r="P775" s="2">
        <f t="shared" si="63"/>
        <v>3</v>
      </c>
      <c r="Q775" s="2">
        <f t="shared" si="64"/>
        <v>1.5</v>
      </c>
    </row>
    <row r="776" customHeight="1" spans="1:17">
      <c r="B776" s="2">
        <v>775</v>
      </c>
      <c r="C776" s="17">
        <f t="shared" si="62"/>
        <v>62.8</v>
      </c>
      <c r="D776" s="2" t="s">
        <v>1171</v>
      </c>
      <c r="E776" s="12">
        <v>66</v>
      </c>
      <c r="F776" s="2">
        <v>51</v>
      </c>
      <c r="G776" s="2">
        <v>44</v>
      </c>
      <c r="H776" s="2" t="s">
        <v>122</v>
      </c>
      <c r="I776" s="2" t="s">
        <v>28</v>
      </c>
      <c r="J776" s="4" t="s">
        <v>88</v>
      </c>
      <c r="M776" s="2">
        <f t="shared" si="60"/>
        <v>30</v>
      </c>
      <c r="N776" s="2">
        <f t="shared" si="61"/>
        <v>60.8</v>
      </c>
      <c r="O776" s="2">
        <f>IF(M776="","",IF(M776&gt;=1000,95,IF(M776&lt;=12.5,50,LOOKUP(M776,{12.5,15,20,30,45,60,75,105,115,150,200,225,250,600,1000},{50,55,60,62,65,68,70,72,75,80,82,85,87,90,95})+(M776-LOOKUP(M776,{12.5,15,20,30,45,60,75,105,115,150,200,225,250,600},{12.5,15,20,30,45,60,75,105,115,150,200,225,250,600}))/(LOOKUP(M776,{12.5,15,20,30,45,60,75,105,115,150,200,225,250,600,1000},{15,20,30,45,60,75,105,115,150,200,225,250,600,1000,1000})-LOOKUP(M776,{12.5,15,20,30,45,60,75,105,115,150,200,225,250,600},{12.5,15,20,30,45,60,75,105,115,150,200,225,250,600}))*(LOOKUP(M776,{12.5,15,20,30,45,60,75,105,115,150,200,225,250,600,1000},{55,60,62,65,68,70,72,75,80,82,85,87,90,95,95})-LOOKUP(M776,{12.5,15,20,30,45,60,75,105,115,150,200,225,250,600,1000},{50,55,60,62,65,68,70,72,75,80,82,85,87,90,95})))))</f>
        <v>62</v>
      </c>
      <c r="P776" s="2">
        <f t="shared" si="63"/>
        <v>4</v>
      </c>
      <c r="Q776" s="2">
        <f t="shared" si="64"/>
        <v>2</v>
      </c>
    </row>
    <row r="777" customHeight="1" spans="1:17">
      <c r="A777" s="2">
        <v>2026</v>
      </c>
      <c r="B777" s="2">
        <v>776</v>
      </c>
      <c r="C777" s="17">
        <f t="shared" si="62"/>
        <v>62.8</v>
      </c>
      <c r="D777" s="2" t="s">
        <v>1172</v>
      </c>
      <c r="E777" s="12">
        <v>66</v>
      </c>
      <c r="F777" s="2">
        <v>52</v>
      </c>
      <c r="G777" s="2">
        <v>42</v>
      </c>
      <c r="H777" s="2" t="s">
        <v>54</v>
      </c>
      <c r="I777" s="2" t="s">
        <v>28</v>
      </c>
      <c r="J777" s="4" t="s">
        <v>88</v>
      </c>
      <c r="M777" s="2">
        <f t="shared" si="60"/>
        <v>30</v>
      </c>
      <c r="N777" s="2">
        <f t="shared" si="61"/>
        <v>60.8</v>
      </c>
      <c r="O777" s="2">
        <f>IF(M777="","",IF(M777&gt;=1000,95,IF(M777&lt;=12.5,50,LOOKUP(M777,{12.5,15,20,30,45,60,75,105,115,150,200,225,250,600,1000},{50,55,60,62,65,68,70,72,75,80,82,85,87,90,95})+(M777-LOOKUP(M777,{12.5,15,20,30,45,60,75,105,115,150,200,225,250,600},{12.5,15,20,30,45,60,75,105,115,150,200,225,250,600}))/(LOOKUP(M777,{12.5,15,20,30,45,60,75,105,115,150,200,225,250,600,1000},{15,20,30,45,60,75,105,115,150,200,225,250,600,1000,1000})-LOOKUP(M777,{12.5,15,20,30,45,60,75,105,115,150,200,225,250,600},{12.5,15,20,30,45,60,75,105,115,150,200,225,250,600}))*(LOOKUP(M777,{12.5,15,20,30,45,60,75,105,115,150,200,225,250,600,1000},{55,60,62,65,68,70,72,75,80,82,85,87,90,95,95})-LOOKUP(M777,{12.5,15,20,30,45,60,75,105,115,150,200,225,250,600,1000},{50,55,60,62,65,68,70,72,75,80,82,85,87,90,95})))))</f>
        <v>62</v>
      </c>
      <c r="P777" s="2">
        <f t="shared" si="63"/>
        <v>4</v>
      </c>
      <c r="Q777" s="2">
        <f t="shared" si="64"/>
        <v>2</v>
      </c>
    </row>
    <row r="778" customHeight="1" spans="1:17">
      <c r="B778" s="2">
        <v>777</v>
      </c>
      <c r="C778" s="17">
        <f t="shared" si="62"/>
        <v>62.8</v>
      </c>
      <c r="D778" s="2" t="s">
        <v>1173</v>
      </c>
      <c r="E778" s="12">
        <v>69</v>
      </c>
      <c r="F778" s="2">
        <v>50</v>
      </c>
      <c r="G778" s="2">
        <v>50</v>
      </c>
      <c r="H778" s="2" t="s">
        <v>41</v>
      </c>
      <c r="I778" s="2" t="s">
        <v>63</v>
      </c>
      <c r="J778" s="4" t="s">
        <v>24</v>
      </c>
      <c r="M778" s="2">
        <f t="shared" si="60"/>
        <v>75</v>
      </c>
      <c r="N778" s="2">
        <f t="shared" si="61"/>
        <v>63.3</v>
      </c>
      <c r="O778" s="2">
        <f>IF(M778="","",IF(M778&gt;=1000,95,IF(M778&lt;=12.5,50,LOOKUP(M778,{12.5,15,20,30,45,60,75,105,115,150,200,225,250,600,1000},{50,55,60,62,65,68,70,72,75,80,82,85,87,90,95})+(M778-LOOKUP(M778,{12.5,15,20,30,45,60,75,105,115,150,200,225,250,600},{12.5,15,20,30,45,60,75,105,115,150,200,225,250,600}))/(LOOKUP(M778,{12.5,15,20,30,45,60,75,105,115,150,200,225,250,600,1000},{15,20,30,45,60,75,105,115,150,200,225,250,600,1000,1000})-LOOKUP(M778,{12.5,15,20,30,45,60,75,105,115,150,200,225,250,600},{12.5,15,20,30,45,60,75,105,115,150,200,225,250,600}))*(LOOKUP(M778,{12.5,15,20,30,45,60,75,105,115,150,200,225,250,600,1000},{55,60,62,65,68,70,72,75,80,82,85,87,90,95,95})-LOOKUP(M778,{12.5,15,20,30,45,60,75,105,115,150,200,225,250,600,1000},{50,55,60,62,65,68,70,72,75,80,82,85,87,90,95})))))</f>
        <v>70</v>
      </c>
      <c r="P778" s="2">
        <f t="shared" si="63"/>
        <v>-1</v>
      </c>
      <c r="Q778" s="2">
        <f t="shared" si="64"/>
        <v>-0.5</v>
      </c>
    </row>
    <row r="779" customHeight="1" spans="1:17">
      <c r="B779" s="2">
        <v>778</v>
      </c>
      <c r="C779" s="17">
        <f t="shared" si="62"/>
        <v>62.7</v>
      </c>
      <c r="D779" s="2" t="s">
        <v>1174</v>
      </c>
      <c r="E779" s="12">
        <v>65</v>
      </c>
      <c r="F779" s="12">
        <v>60</v>
      </c>
      <c r="G779" s="2">
        <v>52</v>
      </c>
      <c r="H779" s="2" t="s">
        <v>1175</v>
      </c>
      <c r="I779" s="2" t="s">
        <v>42</v>
      </c>
      <c r="J779" s="4" t="s">
        <v>38</v>
      </c>
      <c r="M779" s="2">
        <f t="shared" si="60"/>
        <v>45</v>
      </c>
      <c r="N779" s="2">
        <f t="shared" si="61"/>
        <v>62.7</v>
      </c>
      <c r="O779" s="2">
        <f>IF(M779="","",IF(M779&gt;=1000,95,IF(M779&lt;=12.5,50,LOOKUP(M779,{12.5,15,20,30,45,60,75,105,115,150,200,225,250,600,1000},{50,55,60,62,65,68,70,72,75,80,82,85,87,90,95})+(M779-LOOKUP(M779,{12.5,15,20,30,45,60,75,105,115,150,200,225,250,600},{12.5,15,20,30,45,60,75,105,115,150,200,225,250,600}))/(LOOKUP(M779,{12.5,15,20,30,45,60,75,105,115,150,200,225,250,600,1000},{15,20,30,45,60,75,105,115,150,200,225,250,600,1000,1000})-LOOKUP(M779,{12.5,15,20,30,45,60,75,105,115,150,200,225,250,600},{12.5,15,20,30,45,60,75,105,115,150,200,225,250,600}))*(LOOKUP(M779,{12.5,15,20,30,45,60,75,105,115,150,200,225,250,600,1000},{55,60,62,65,68,70,72,75,80,82,85,87,90,95,95})-LOOKUP(M779,{12.5,15,20,30,45,60,75,105,115,150,200,225,250,600,1000},{50,55,60,62,65,68,70,72,75,80,82,85,87,90,95})))))</f>
        <v>65</v>
      </c>
      <c r="P779" s="2">
        <f t="shared" si="63"/>
        <v>0</v>
      </c>
      <c r="Q779" s="2">
        <f t="shared" si="64"/>
        <v>0</v>
      </c>
    </row>
    <row r="780" customHeight="1" spans="1:17">
      <c r="B780" s="2">
        <v>779</v>
      </c>
      <c r="C780" s="17">
        <f t="shared" si="62"/>
        <v>62.7</v>
      </c>
      <c r="D780" s="2" t="s">
        <v>1176</v>
      </c>
      <c r="E780" s="12">
        <v>63</v>
      </c>
      <c r="F780" s="2">
        <v>58</v>
      </c>
      <c r="G780" s="2">
        <v>30</v>
      </c>
      <c r="H780" s="2" t="s">
        <v>37</v>
      </c>
      <c r="I780" s="2" t="s">
        <v>28</v>
      </c>
      <c r="J780" s="4" t="s">
        <v>29</v>
      </c>
      <c r="M780" s="2">
        <f t="shared" si="60"/>
        <v>15</v>
      </c>
      <c r="N780" s="2">
        <f t="shared" si="61"/>
        <v>58.7</v>
      </c>
      <c r="O780" s="2">
        <f>IF(M780="","",IF(M780&gt;=1000,95,IF(M780&lt;=12.5,50,LOOKUP(M780,{12.5,15,20,30,45,60,75,105,115,150,200,225,250,600,1000},{50,55,60,62,65,68,70,72,75,80,82,85,87,90,95})+(M780-LOOKUP(M780,{12.5,15,20,30,45,60,75,105,115,150,200,225,250,600},{12.5,15,20,30,45,60,75,105,115,150,200,225,250,600}))/(LOOKUP(M780,{12.5,15,20,30,45,60,75,105,115,150,200,225,250,600,1000},{15,20,30,45,60,75,105,115,150,200,225,250,600,1000,1000})-LOOKUP(M780,{12.5,15,20,30,45,60,75,105,115,150,200,225,250,600},{12.5,15,20,30,45,60,75,105,115,150,200,225,250,600}))*(LOOKUP(M780,{12.5,15,20,30,45,60,75,105,115,150,200,225,250,600,1000},{55,60,62,65,68,70,72,75,80,82,85,87,90,95,95})-LOOKUP(M780,{12.5,15,20,30,45,60,75,105,115,150,200,225,250,600,1000},{50,55,60,62,65,68,70,72,75,80,82,85,87,90,95})))))</f>
        <v>55</v>
      </c>
      <c r="P780" s="2">
        <f t="shared" si="63"/>
        <v>8</v>
      </c>
      <c r="Q780" s="2">
        <f t="shared" si="64"/>
        <v>4</v>
      </c>
    </row>
    <row r="781" customHeight="1" spans="1:17">
      <c r="B781" s="2">
        <v>780</v>
      </c>
      <c r="C781" s="17">
        <f t="shared" si="62"/>
        <v>62.67</v>
      </c>
      <c r="D781" s="2" t="s">
        <v>1177</v>
      </c>
      <c r="E781" s="9">
        <v>71</v>
      </c>
      <c r="F781" s="12">
        <v>62</v>
      </c>
      <c r="G781" s="2">
        <v>59</v>
      </c>
      <c r="H781" s="2" t="s">
        <v>524</v>
      </c>
      <c r="I781" s="2" t="s">
        <v>447</v>
      </c>
      <c r="J781" s="4" t="s">
        <v>51</v>
      </c>
      <c r="M781" s="2">
        <f t="shared" si="60"/>
        <v>200</v>
      </c>
      <c r="N781" s="2">
        <f t="shared" si="61"/>
        <v>68</v>
      </c>
      <c r="O781" s="2">
        <f>IF(M781="","",IF(M781&gt;=1000,95,IF(M781&lt;=12.5,50,LOOKUP(M781,{12.5,15,20,30,45,60,75,105,115,150,200,225,250,600,1000},{50,55,60,62,65,68,70,72,75,80,82,85,87,90,95})+(M781-LOOKUP(M781,{12.5,15,20,30,45,60,75,105,115,150,200,225,250,600},{12.5,15,20,30,45,60,75,105,115,150,200,225,250,600}))/(LOOKUP(M781,{12.5,15,20,30,45,60,75,105,115,150,200,225,250,600,1000},{15,20,30,45,60,75,105,115,150,200,225,250,600,1000,1000})-LOOKUP(M781,{12.5,15,20,30,45,60,75,105,115,150,200,225,250,600},{12.5,15,20,30,45,60,75,105,115,150,200,225,250,600}))*(LOOKUP(M781,{12.5,15,20,30,45,60,75,105,115,150,200,225,250,600,1000},{55,60,62,65,68,70,72,75,80,82,85,87,90,95,95})-LOOKUP(M781,{12.5,15,20,30,45,60,75,105,115,150,200,225,250,600,1000},{50,55,60,62,65,68,70,72,75,80,82,85,87,90,95})))))</f>
        <v>82</v>
      </c>
      <c r="P781" s="2">
        <f t="shared" si="63"/>
        <v>-11</v>
      </c>
      <c r="Q781" s="2">
        <f t="shared" si="64"/>
        <v>-5.33</v>
      </c>
    </row>
    <row r="782" customHeight="1" spans="1:17">
      <c r="A782" s="2">
        <v>2026</v>
      </c>
      <c r="B782" s="2">
        <v>781</v>
      </c>
      <c r="C782" s="17">
        <f t="shared" si="62"/>
        <v>62.6</v>
      </c>
      <c r="D782" s="2" t="s">
        <v>1178</v>
      </c>
      <c r="E782" s="12">
        <v>62</v>
      </c>
      <c r="F782" s="12">
        <v>68</v>
      </c>
      <c r="G782" s="10">
        <v>86</v>
      </c>
      <c r="H782" s="2" t="s">
        <v>116</v>
      </c>
      <c r="I782" s="2" t="s">
        <v>104</v>
      </c>
      <c r="J782" s="4" t="s">
        <v>34</v>
      </c>
      <c r="M782" s="2">
        <f t="shared" si="60"/>
        <v>60</v>
      </c>
      <c r="N782" s="2">
        <f t="shared" si="61"/>
        <v>65.6</v>
      </c>
      <c r="O782" s="2">
        <f>IF(M782="","",IF(M782&gt;=1000,95,IF(M782&lt;=12.5,50,LOOKUP(M782,{12.5,15,20,30,45,60,75,105,115,150,200,225,250,600,1000},{50,55,60,62,65,68,70,72,75,80,82,85,87,90,95})+(M782-LOOKUP(M782,{12.5,15,20,30,45,60,75,105,115,150,200,225,250,600},{12.5,15,20,30,45,60,75,105,115,150,200,225,250,600}))/(LOOKUP(M782,{12.5,15,20,30,45,60,75,105,115,150,200,225,250,600,1000},{15,20,30,45,60,75,105,115,150,200,225,250,600,1000,1000})-LOOKUP(M782,{12.5,15,20,30,45,60,75,105,115,150,200,225,250,600},{12.5,15,20,30,45,60,75,105,115,150,200,225,250,600}))*(LOOKUP(M782,{12.5,15,20,30,45,60,75,105,115,150,200,225,250,600,1000},{55,60,62,65,68,70,72,75,80,82,85,87,90,95,95})-LOOKUP(M782,{12.5,15,20,30,45,60,75,105,115,150,200,225,250,600,1000},{50,55,60,62,65,68,70,72,75,80,82,85,87,90,95})))))</f>
        <v>68</v>
      </c>
      <c r="P782" s="2">
        <f t="shared" si="63"/>
        <v>-6</v>
      </c>
      <c r="Q782" s="2">
        <f t="shared" si="64"/>
        <v>-3</v>
      </c>
    </row>
    <row r="783" customHeight="1" spans="1:17">
      <c r="A783" s="2">
        <v>2026</v>
      </c>
      <c r="B783" s="2">
        <v>782</v>
      </c>
      <c r="C783" s="17">
        <f t="shared" si="62"/>
        <v>62.6</v>
      </c>
      <c r="D783" s="2" t="s">
        <v>1179</v>
      </c>
      <c r="E783" s="12">
        <v>65</v>
      </c>
      <c r="F783" s="12">
        <v>69</v>
      </c>
      <c r="G783" s="2">
        <v>58</v>
      </c>
      <c r="H783" s="2" t="s">
        <v>41</v>
      </c>
      <c r="I783" s="2" t="s">
        <v>350</v>
      </c>
      <c r="J783" s="4" t="s">
        <v>24</v>
      </c>
      <c r="M783" s="2">
        <f t="shared" si="60"/>
        <v>75</v>
      </c>
      <c r="N783" s="2">
        <f t="shared" si="61"/>
        <v>65.1</v>
      </c>
      <c r="O783" s="2">
        <f>IF(M783="","",IF(M783&gt;=1000,95,IF(M783&lt;=12.5,50,LOOKUP(M783,{12.5,15,20,30,45,60,75,105,115,150,200,225,250,600,1000},{50,55,60,62,65,68,70,72,75,80,82,85,87,90,95})+(M783-LOOKUP(M783,{12.5,15,20,30,45,60,75,105,115,150,200,225,250,600},{12.5,15,20,30,45,60,75,105,115,150,200,225,250,600}))/(LOOKUP(M783,{12.5,15,20,30,45,60,75,105,115,150,200,225,250,600,1000},{15,20,30,45,60,75,105,115,150,200,225,250,600,1000,1000})-LOOKUP(M783,{12.5,15,20,30,45,60,75,105,115,150,200,225,250,600},{12.5,15,20,30,45,60,75,105,115,150,200,225,250,600}))*(LOOKUP(M783,{12.5,15,20,30,45,60,75,105,115,150,200,225,250,600,1000},{55,60,62,65,68,70,72,75,80,82,85,87,90,95,95})-LOOKUP(M783,{12.5,15,20,30,45,60,75,105,115,150,200,225,250,600,1000},{50,55,60,62,65,68,70,72,75,80,82,85,87,90,95})))))</f>
        <v>70</v>
      </c>
      <c r="P783" s="2">
        <f t="shared" si="63"/>
        <v>-5</v>
      </c>
      <c r="Q783" s="2">
        <f t="shared" si="64"/>
        <v>-2.5</v>
      </c>
    </row>
    <row r="784" customHeight="1" spans="1:17">
      <c r="B784" s="2">
        <v>783</v>
      </c>
      <c r="C784" s="17">
        <f t="shared" si="62"/>
        <v>62.6</v>
      </c>
      <c r="D784" s="2" t="s">
        <v>1180</v>
      </c>
      <c r="E784" s="12">
        <v>63</v>
      </c>
      <c r="F784" s="12">
        <v>65</v>
      </c>
      <c r="G784" s="12">
        <v>65</v>
      </c>
      <c r="H784" s="2" t="s">
        <v>37</v>
      </c>
      <c r="I784" s="2" t="s">
        <v>239</v>
      </c>
      <c r="J784" s="4" t="s">
        <v>38</v>
      </c>
      <c r="M784" s="2">
        <f t="shared" si="60"/>
        <v>45</v>
      </c>
      <c r="N784" s="2">
        <f t="shared" si="61"/>
        <v>63.6</v>
      </c>
      <c r="O784" s="2">
        <f>IF(M784="","",IF(M784&gt;=1000,95,IF(M784&lt;=12.5,50,LOOKUP(M784,{12.5,15,20,30,45,60,75,105,115,150,200,225,250,600,1000},{50,55,60,62,65,68,70,72,75,80,82,85,87,90,95})+(M784-LOOKUP(M784,{12.5,15,20,30,45,60,75,105,115,150,200,225,250,600},{12.5,15,20,30,45,60,75,105,115,150,200,225,250,600}))/(LOOKUP(M784,{12.5,15,20,30,45,60,75,105,115,150,200,225,250,600,1000},{15,20,30,45,60,75,105,115,150,200,225,250,600,1000,1000})-LOOKUP(M784,{12.5,15,20,30,45,60,75,105,115,150,200,225,250,600},{12.5,15,20,30,45,60,75,105,115,150,200,225,250,600}))*(LOOKUP(M784,{12.5,15,20,30,45,60,75,105,115,150,200,225,250,600,1000},{55,60,62,65,68,70,72,75,80,82,85,87,90,95,95})-LOOKUP(M784,{12.5,15,20,30,45,60,75,105,115,150,200,225,250,600,1000},{50,55,60,62,65,68,70,72,75,80,82,85,87,90,95})))))</f>
        <v>65</v>
      </c>
      <c r="P784" s="2">
        <f t="shared" si="63"/>
        <v>-2</v>
      </c>
      <c r="Q784" s="2">
        <f t="shared" si="64"/>
        <v>-1</v>
      </c>
    </row>
    <row r="785" customHeight="1" spans="1:17">
      <c r="B785" s="2">
        <v>784</v>
      </c>
      <c r="C785" s="17">
        <f t="shared" si="62"/>
        <v>62.6</v>
      </c>
      <c r="D785" s="2" t="s">
        <v>1181</v>
      </c>
      <c r="E785" s="12">
        <v>65</v>
      </c>
      <c r="F785" s="12">
        <v>65</v>
      </c>
      <c r="G785" s="12">
        <v>66</v>
      </c>
      <c r="H785" s="2" t="s">
        <v>1182</v>
      </c>
      <c r="I785" s="2" t="s">
        <v>63</v>
      </c>
      <c r="J785" s="4" t="s">
        <v>24</v>
      </c>
      <c r="M785" s="2">
        <f t="shared" si="60"/>
        <v>75</v>
      </c>
      <c r="N785" s="2">
        <f t="shared" si="61"/>
        <v>65.1</v>
      </c>
      <c r="O785" s="2">
        <f>IF(M785="","",IF(M785&gt;=1000,95,IF(M785&lt;=12.5,50,LOOKUP(M785,{12.5,15,20,30,45,60,75,105,115,150,200,225,250,600,1000},{50,55,60,62,65,68,70,72,75,80,82,85,87,90,95})+(M785-LOOKUP(M785,{12.5,15,20,30,45,60,75,105,115,150,200,225,250,600},{12.5,15,20,30,45,60,75,105,115,150,200,225,250,600}))/(LOOKUP(M785,{12.5,15,20,30,45,60,75,105,115,150,200,225,250,600,1000},{15,20,30,45,60,75,105,115,150,200,225,250,600,1000,1000})-LOOKUP(M785,{12.5,15,20,30,45,60,75,105,115,150,200,225,250,600},{12.5,15,20,30,45,60,75,105,115,150,200,225,250,600}))*(LOOKUP(M785,{12.5,15,20,30,45,60,75,105,115,150,200,225,250,600,1000},{55,60,62,65,68,70,72,75,80,82,85,87,90,95,95})-LOOKUP(M785,{12.5,15,20,30,45,60,75,105,115,150,200,225,250,600,1000},{50,55,60,62,65,68,70,72,75,80,82,85,87,90,95})))))</f>
        <v>70</v>
      </c>
      <c r="P785" s="2">
        <f t="shared" si="63"/>
        <v>-5</v>
      </c>
      <c r="Q785" s="2">
        <f t="shared" si="64"/>
        <v>-2.5</v>
      </c>
    </row>
    <row r="786" customHeight="1" spans="1:17">
      <c r="B786" s="2">
        <v>785</v>
      </c>
      <c r="C786" s="17">
        <f t="shared" si="62"/>
        <v>62.6</v>
      </c>
      <c r="D786" s="2" t="s">
        <v>1183</v>
      </c>
      <c r="E786" s="12">
        <v>65</v>
      </c>
      <c r="F786" s="12">
        <v>66</v>
      </c>
      <c r="G786" s="2">
        <v>54</v>
      </c>
      <c r="H786" s="2" t="s">
        <v>113</v>
      </c>
      <c r="I786" s="2" t="s">
        <v>33</v>
      </c>
      <c r="J786" s="4" t="s">
        <v>34</v>
      </c>
      <c r="M786" s="2">
        <f t="shared" si="60"/>
        <v>60</v>
      </c>
      <c r="N786" s="2">
        <f t="shared" si="61"/>
        <v>64.1</v>
      </c>
      <c r="O786" s="2">
        <f>IF(M786="","",IF(M786&gt;=1000,95,IF(M786&lt;=12.5,50,LOOKUP(M786,{12.5,15,20,30,45,60,75,105,115,150,200,225,250,600,1000},{50,55,60,62,65,68,70,72,75,80,82,85,87,90,95})+(M786-LOOKUP(M786,{12.5,15,20,30,45,60,75,105,115,150,200,225,250,600},{12.5,15,20,30,45,60,75,105,115,150,200,225,250,600}))/(LOOKUP(M786,{12.5,15,20,30,45,60,75,105,115,150,200,225,250,600,1000},{15,20,30,45,60,75,105,115,150,200,225,250,600,1000,1000})-LOOKUP(M786,{12.5,15,20,30,45,60,75,105,115,150,200,225,250,600},{12.5,15,20,30,45,60,75,105,115,150,200,225,250,600}))*(LOOKUP(M786,{12.5,15,20,30,45,60,75,105,115,150,200,225,250,600,1000},{55,60,62,65,68,70,72,75,80,82,85,87,90,95,95})-LOOKUP(M786,{12.5,15,20,30,45,60,75,105,115,150,200,225,250,600,1000},{50,55,60,62,65,68,70,72,75,80,82,85,87,90,95})))))</f>
        <v>68</v>
      </c>
      <c r="P786" s="2">
        <f t="shared" si="63"/>
        <v>-3</v>
      </c>
      <c r="Q786" s="2">
        <f t="shared" si="64"/>
        <v>-1.5</v>
      </c>
    </row>
    <row r="787" customHeight="1" spans="1:17">
      <c r="B787" s="2">
        <v>786</v>
      </c>
      <c r="C787" s="17">
        <f t="shared" si="62"/>
        <v>62.6</v>
      </c>
      <c r="D787" s="2" t="s">
        <v>1184</v>
      </c>
      <c r="E787" s="12">
        <v>66</v>
      </c>
      <c r="F787" s="12">
        <v>60</v>
      </c>
      <c r="G787" s="12">
        <v>64</v>
      </c>
      <c r="H787" s="2" t="s">
        <v>41</v>
      </c>
      <c r="I787" s="2" t="s">
        <v>23</v>
      </c>
      <c r="J787" s="4" t="s">
        <v>24</v>
      </c>
      <c r="M787" s="2">
        <f t="shared" si="60"/>
        <v>75</v>
      </c>
      <c r="N787" s="2">
        <f t="shared" si="61"/>
        <v>64.6</v>
      </c>
      <c r="O787" s="2">
        <f>IF(M787="","",IF(M787&gt;=1000,95,IF(M787&lt;=12.5,50,LOOKUP(M787,{12.5,15,20,30,45,60,75,105,115,150,200,225,250,600,1000},{50,55,60,62,65,68,70,72,75,80,82,85,87,90,95})+(M787-LOOKUP(M787,{12.5,15,20,30,45,60,75,105,115,150,200,225,250,600},{12.5,15,20,30,45,60,75,105,115,150,200,225,250,600}))/(LOOKUP(M787,{12.5,15,20,30,45,60,75,105,115,150,200,225,250,600,1000},{15,20,30,45,60,75,105,115,150,200,225,250,600,1000,1000})-LOOKUP(M787,{12.5,15,20,30,45,60,75,105,115,150,200,225,250,600},{12.5,15,20,30,45,60,75,105,115,150,200,225,250,600}))*(LOOKUP(M787,{12.5,15,20,30,45,60,75,105,115,150,200,225,250,600,1000},{55,60,62,65,68,70,72,75,80,82,85,87,90,95,95})-LOOKUP(M787,{12.5,15,20,30,45,60,75,105,115,150,200,225,250,600,1000},{50,55,60,62,65,68,70,72,75,80,82,85,87,90,95})))))</f>
        <v>70</v>
      </c>
      <c r="P787" s="2">
        <f t="shared" si="63"/>
        <v>-4</v>
      </c>
      <c r="Q787" s="2">
        <f t="shared" si="64"/>
        <v>-2</v>
      </c>
    </row>
    <row r="788" customHeight="1" spans="1:17">
      <c r="A788" s="2">
        <v>2026</v>
      </c>
      <c r="B788" s="2">
        <v>787</v>
      </c>
      <c r="C788" s="17">
        <f t="shared" si="62"/>
        <v>62.6</v>
      </c>
      <c r="D788" s="2" t="s">
        <v>1185</v>
      </c>
      <c r="E788" s="12">
        <v>66</v>
      </c>
      <c r="F788" s="12">
        <v>65</v>
      </c>
      <c r="G788" s="2">
        <v>54</v>
      </c>
      <c r="H788" s="2" t="s">
        <v>54</v>
      </c>
      <c r="I788" s="2" t="s">
        <v>897</v>
      </c>
      <c r="J788" s="4" t="s">
        <v>24</v>
      </c>
      <c r="M788" s="2">
        <f t="shared" si="60"/>
        <v>75</v>
      </c>
      <c r="N788" s="2">
        <f t="shared" si="61"/>
        <v>64.6</v>
      </c>
      <c r="O788" s="2">
        <f>IF(M788="","",IF(M788&gt;=1000,95,IF(M788&lt;=12.5,50,LOOKUP(M788,{12.5,15,20,30,45,60,75,105,115,150,200,225,250,600,1000},{50,55,60,62,65,68,70,72,75,80,82,85,87,90,95})+(M788-LOOKUP(M788,{12.5,15,20,30,45,60,75,105,115,150,200,225,250,600},{12.5,15,20,30,45,60,75,105,115,150,200,225,250,600}))/(LOOKUP(M788,{12.5,15,20,30,45,60,75,105,115,150,200,225,250,600,1000},{15,20,30,45,60,75,105,115,150,200,225,250,600,1000,1000})-LOOKUP(M788,{12.5,15,20,30,45,60,75,105,115,150,200,225,250,600},{12.5,15,20,30,45,60,75,105,115,150,200,225,250,600}))*(LOOKUP(M788,{12.5,15,20,30,45,60,75,105,115,150,200,225,250,600,1000},{55,60,62,65,68,70,72,75,80,82,85,87,90,95,95})-LOOKUP(M788,{12.5,15,20,30,45,60,75,105,115,150,200,225,250,600,1000},{50,55,60,62,65,68,70,72,75,80,82,85,87,90,95})))))</f>
        <v>70</v>
      </c>
      <c r="P788" s="2">
        <f t="shared" si="63"/>
        <v>-4</v>
      </c>
      <c r="Q788" s="2">
        <f t="shared" si="64"/>
        <v>-2</v>
      </c>
    </row>
    <row r="789" customHeight="1" spans="1:17">
      <c r="B789" s="2">
        <v>788</v>
      </c>
      <c r="C789" s="17">
        <f t="shared" si="62"/>
        <v>62.6</v>
      </c>
      <c r="D789" s="2" t="s">
        <v>1186</v>
      </c>
      <c r="E789" s="12">
        <v>66</v>
      </c>
      <c r="F789" s="9">
        <v>71</v>
      </c>
      <c r="G789" s="2">
        <v>32</v>
      </c>
      <c r="H789" s="2" t="s">
        <v>339</v>
      </c>
      <c r="I789" s="2" t="s">
        <v>28</v>
      </c>
      <c r="J789" s="4" t="s">
        <v>34</v>
      </c>
      <c r="M789" s="2">
        <f t="shared" si="60"/>
        <v>60</v>
      </c>
      <c r="N789" s="2">
        <f t="shared" si="61"/>
        <v>63.6</v>
      </c>
      <c r="O789" s="2">
        <f>IF(M789="","",IF(M789&gt;=1000,95,IF(M789&lt;=12.5,50,LOOKUP(M789,{12.5,15,20,30,45,60,75,105,115,150,200,225,250,600,1000},{50,55,60,62,65,68,70,72,75,80,82,85,87,90,95})+(M789-LOOKUP(M789,{12.5,15,20,30,45,60,75,105,115,150,200,225,250,600},{12.5,15,20,30,45,60,75,105,115,150,200,225,250,600}))/(LOOKUP(M789,{12.5,15,20,30,45,60,75,105,115,150,200,225,250,600,1000},{15,20,30,45,60,75,105,115,150,200,225,250,600,1000,1000})-LOOKUP(M789,{12.5,15,20,30,45,60,75,105,115,150,200,225,250,600},{12.5,15,20,30,45,60,75,105,115,150,200,225,250,600}))*(LOOKUP(M789,{12.5,15,20,30,45,60,75,105,115,150,200,225,250,600,1000},{55,60,62,65,68,70,72,75,80,82,85,87,90,95,95})-LOOKUP(M789,{12.5,15,20,30,45,60,75,105,115,150,200,225,250,600,1000},{50,55,60,62,65,68,70,72,75,80,82,85,87,90,95})))))</f>
        <v>68</v>
      </c>
      <c r="P789" s="2">
        <f t="shared" si="63"/>
        <v>-2</v>
      </c>
      <c r="Q789" s="2">
        <f t="shared" si="64"/>
        <v>-1</v>
      </c>
    </row>
    <row r="790" customHeight="1" spans="1:17">
      <c r="A790" s="2">
        <v>2026</v>
      </c>
      <c r="B790" s="2">
        <v>789</v>
      </c>
      <c r="C790" s="17">
        <f t="shared" si="62"/>
        <v>62.6</v>
      </c>
      <c r="D790" s="2" t="s">
        <v>1187</v>
      </c>
      <c r="E790" s="12">
        <v>66</v>
      </c>
      <c r="F790" s="2">
        <v>57</v>
      </c>
      <c r="G790" s="2">
        <v>45</v>
      </c>
      <c r="H790" s="2" t="s">
        <v>347</v>
      </c>
      <c r="I790" s="2" t="s">
        <v>63</v>
      </c>
      <c r="J790" s="4" t="s">
        <v>38</v>
      </c>
      <c r="M790" s="2">
        <f t="shared" si="60"/>
        <v>45</v>
      </c>
      <c r="N790" s="2">
        <f t="shared" si="61"/>
        <v>62.1</v>
      </c>
      <c r="O790" s="2">
        <f>IF(M790="","",IF(M790&gt;=1000,95,IF(M790&lt;=12.5,50,LOOKUP(M790,{12.5,15,20,30,45,60,75,105,115,150,200,225,250,600,1000},{50,55,60,62,65,68,70,72,75,80,82,85,87,90,95})+(M790-LOOKUP(M790,{12.5,15,20,30,45,60,75,105,115,150,200,225,250,600},{12.5,15,20,30,45,60,75,105,115,150,200,225,250,600}))/(LOOKUP(M790,{12.5,15,20,30,45,60,75,105,115,150,200,225,250,600,1000},{15,20,30,45,60,75,105,115,150,200,225,250,600,1000,1000})-LOOKUP(M790,{12.5,15,20,30,45,60,75,105,115,150,200,225,250,600},{12.5,15,20,30,45,60,75,105,115,150,200,225,250,600}))*(LOOKUP(M790,{12.5,15,20,30,45,60,75,105,115,150,200,225,250,600,1000},{55,60,62,65,68,70,72,75,80,82,85,87,90,95,95})-LOOKUP(M790,{12.5,15,20,30,45,60,75,105,115,150,200,225,250,600,1000},{50,55,60,62,65,68,70,72,75,80,82,85,87,90,95})))))</f>
        <v>65</v>
      </c>
      <c r="P790" s="2">
        <f t="shared" si="63"/>
        <v>1</v>
      </c>
      <c r="Q790" s="2">
        <f t="shared" si="64"/>
        <v>0.5</v>
      </c>
    </row>
    <row r="791" customHeight="1" spans="1:17">
      <c r="A791" s="2">
        <v>2026</v>
      </c>
      <c r="B791" s="2">
        <v>790</v>
      </c>
      <c r="C791" s="17">
        <f t="shared" si="62"/>
        <v>62.53</v>
      </c>
      <c r="D791" s="2" t="s">
        <v>1188</v>
      </c>
      <c r="E791" s="12">
        <v>68</v>
      </c>
      <c r="F791" s="9">
        <v>70</v>
      </c>
      <c r="G791" s="12">
        <v>66</v>
      </c>
      <c r="H791" s="2" t="s">
        <v>54</v>
      </c>
      <c r="I791" s="2" t="s">
        <v>932</v>
      </c>
      <c r="J791" s="4" t="s">
        <v>59</v>
      </c>
      <c r="M791" s="2">
        <f t="shared" si="60"/>
        <v>150</v>
      </c>
      <c r="N791" s="2">
        <f t="shared" si="61"/>
        <v>68.2</v>
      </c>
      <c r="O791" s="2">
        <f>IF(M791="","",IF(M791&gt;=1000,95,IF(M791&lt;=12.5,50,LOOKUP(M791,{12.5,15,20,30,45,60,75,105,115,150,200,225,250,600,1000},{50,55,60,62,65,68,70,72,75,80,82,85,87,90,95})+(M791-LOOKUP(M791,{12.5,15,20,30,45,60,75,105,115,150,200,225,250,600},{12.5,15,20,30,45,60,75,105,115,150,200,225,250,600}))/(LOOKUP(M791,{12.5,15,20,30,45,60,75,105,115,150,200,225,250,600,1000},{15,20,30,45,60,75,105,115,150,200,225,250,600,1000,1000})-LOOKUP(M791,{12.5,15,20,30,45,60,75,105,115,150,200,225,250,600},{12.5,15,20,30,45,60,75,105,115,150,200,225,250,600}))*(LOOKUP(M791,{12.5,15,20,30,45,60,75,105,115,150,200,225,250,600,1000},{55,60,62,65,68,70,72,75,80,82,85,87,90,95,95})-LOOKUP(M791,{12.5,15,20,30,45,60,75,105,115,150,200,225,250,600,1000},{50,55,60,62,65,68,70,72,75,80,82,85,87,90,95})))))</f>
        <v>80</v>
      </c>
      <c r="P791" s="2">
        <f t="shared" si="63"/>
        <v>-12</v>
      </c>
      <c r="Q791" s="2">
        <f t="shared" si="64"/>
        <v>-5.67</v>
      </c>
    </row>
    <row r="792" customHeight="1" spans="1:17">
      <c r="B792" s="2">
        <v>791</v>
      </c>
      <c r="C792" s="17">
        <f t="shared" si="62"/>
        <v>62.5</v>
      </c>
      <c r="D792" s="2" t="s">
        <v>1189</v>
      </c>
      <c r="E792" s="12">
        <v>65</v>
      </c>
      <c r="F792" s="12">
        <v>65</v>
      </c>
      <c r="G792" s="12">
        <v>65</v>
      </c>
      <c r="H792" s="2" t="s">
        <v>367</v>
      </c>
      <c r="I792" s="2" t="s">
        <v>33</v>
      </c>
      <c r="J792" s="4" t="s">
        <v>24</v>
      </c>
      <c r="M792" s="2">
        <f t="shared" si="60"/>
        <v>75</v>
      </c>
      <c r="N792" s="2">
        <f t="shared" si="61"/>
        <v>65</v>
      </c>
      <c r="O792" s="2">
        <f>IF(M792="","",IF(M792&gt;=1000,95,IF(M792&lt;=12.5,50,LOOKUP(M792,{12.5,15,20,30,45,60,75,105,115,150,200,225,250,600,1000},{50,55,60,62,65,68,70,72,75,80,82,85,87,90,95})+(M792-LOOKUP(M792,{12.5,15,20,30,45,60,75,105,115,150,200,225,250,600},{12.5,15,20,30,45,60,75,105,115,150,200,225,250,600}))/(LOOKUP(M792,{12.5,15,20,30,45,60,75,105,115,150,200,225,250,600,1000},{15,20,30,45,60,75,105,115,150,200,225,250,600,1000,1000})-LOOKUP(M792,{12.5,15,20,30,45,60,75,105,115,150,200,225,250,600},{12.5,15,20,30,45,60,75,105,115,150,200,225,250,600}))*(LOOKUP(M792,{12.5,15,20,30,45,60,75,105,115,150,200,225,250,600,1000},{55,60,62,65,68,70,72,75,80,82,85,87,90,95,95})-LOOKUP(M792,{12.5,15,20,30,45,60,75,105,115,150,200,225,250,600,1000},{50,55,60,62,65,68,70,72,75,80,82,85,87,90,95})))))</f>
        <v>70</v>
      </c>
      <c r="P792" s="2">
        <f t="shared" si="63"/>
        <v>-5</v>
      </c>
      <c r="Q792" s="2">
        <f t="shared" si="64"/>
        <v>-2.5</v>
      </c>
    </row>
    <row r="793" customHeight="1" spans="1:17">
      <c r="A793" s="2">
        <v>2026</v>
      </c>
      <c r="B793" s="2">
        <v>792</v>
      </c>
      <c r="C793" s="17">
        <f t="shared" si="62"/>
        <v>62.5</v>
      </c>
      <c r="D793" s="2" t="s">
        <v>1190</v>
      </c>
      <c r="E793" s="12">
        <v>65</v>
      </c>
      <c r="F793" s="12">
        <v>60</v>
      </c>
      <c r="G793" s="2">
        <v>25</v>
      </c>
      <c r="H793" s="2" t="s">
        <v>54</v>
      </c>
      <c r="I793" s="2" t="s">
        <v>28</v>
      </c>
      <c r="J793" s="4" t="s">
        <v>140</v>
      </c>
      <c r="M793" s="2">
        <f t="shared" si="60"/>
        <v>20</v>
      </c>
      <c r="N793" s="2">
        <f t="shared" si="61"/>
        <v>60</v>
      </c>
      <c r="O793" s="2">
        <f>IF(M793="","",IF(M793&gt;=1000,95,IF(M793&lt;=12.5,50,LOOKUP(M793,{12.5,15,20,30,45,60,75,105,115,150,200,225,250,600,1000},{50,55,60,62,65,68,70,72,75,80,82,85,87,90,95})+(M793-LOOKUP(M793,{12.5,15,20,30,45,60,75,105,115,150,200,225,250,600},{12.5,15,20,30,45,60,75,105,115,150,200,225,250,600}))/(LOOKUP(M793,{12.5,15,20,30,45,60,75,105,115,150,200,225,250,600,1000},{15,20,30,45,60,75,105,115,150,200,225,250,600,1000,1000})-LOOKUP(M793,{12.5,15,20,30,45,60,75,105,115,150,200,225,250,600},{12.5,15,20,30,45,60,75,105,115,150,200,225,250,600}))*(LOOKUP(M793,{12.5,15,20,30,45,60,75,105,115,150,200,225,250,600,1000},{55,60,62,65,68,70,72,75,80,82,85,87,90,95,95})-LOOKUP(M793,{12.5,15,20,30,45,60,75,105,115,150,200,225,250,600,1000},{50,55,60,62,65,68,70,72,75,80,82,85,87,90,95})))))</f>
        <v>60</v>
      </c>
      <c r="P793" s="2">
        <f t="shared" si="63"/>
        <v>5</v>
      </c>
      <c r="Q793" s="2">
        <f t="shared" si="64"/>
        <v>2.5</v>
      </c>
    </row>
    <row r="794" customHeight="1" spans="1:17">
      <c r="A794" s="2">
        <v>2026</v>
      </c>
      <c r="B794" s="2">
        <v>793</v>
      </c>
      <c r="C794" s="17">
        <f t="shared" si="62"/>
        <v>62.43</v>
      </c>
      <c r="D794" s="2" t="s">
        <v>1191</v>
      </c>
      <c r="E794" s="12">
        <v>61</v>
      </c>
      <c r="F794" s="2">
        <v>53</v>
      </c>
      <c r="G794" s="2">
        <v>38</v>
      </c>
      <c r="H794" s="2" t="s">
        <v>54</v>
      </c>
      <c r="I794" s="2" t="s">
        <v>503</v>
      </c>
      <c r="J794" s="4" t="s">
        <v>77</v>
      </c>
      <c r="M794" s="2">
        <f t="shared" si="60"/>
        <v>12.5</v>
      </c>
      <c r="N794" s="2">
        <f t="shared" si="61"/>
        <v>57.1</v>
      </c>
      <c r="O794" s="2">
        <f>IF(M794="","",IF(M794&gt;=1000,95,IF(M794&lt;=12.5,50,LOOKUP(M794,{12.5,15,20,30,45,60,75,105,115,150,200,225,250,600,1000},{50,55,60,62,65,68,70,72,75,80,82,85,87,90,95})+(M794-LOOKUP(M794,{12.5,15,20,30,45,60,75,105,115,150,200,225,250,600},{12.5,15,20,30,45,60,75,105,115,150,200,225,250,600}))/(LOOKUP(M794,{12.5,15,20,30,45,60,75,105,115,150,200,225,250,600,1000},{15,20,30,45,60,75,105,115,150,200,225,250,600,1000,1000})-LOOKUP(M794,{12.5,15,20,30,45,60,75,105,115,150,200,225,250,600},{12.5,15,20,30,45,60,75,105,115,150,200,225,250,600}))*(LOOKUP(M794,{12.5,15,20,30,45,60,75,105,115,150,200,225,250,600,1000},{55,60,62,65,68,70,72,75,80,82,85,87,90,95,95})-LOOKUP(M794,{12.5,15,20,30,45,60,75,105,115,150,200,225,250,600,1000},{50,55,60,62,65,68,70,72,75,80,82,85,87,90,95})))))</f>
        <v>50</v>
      </c>
      <c r="P794" s="2">
        <f t="shared" si="63"/>
        <v>11</v>
      </c>
      <c r="Q794" s="2">
        <f t="shared" si="64"/>
        <v>5.33</v>
      </c>
    </row>
    <row r="795" customHeight="1" spans="1:17">
      <c r="A795" s="2">
        <v>2026</v>
      </c>
      <c r="B795" s="2">
        <v>794</v>
      </c>
      <c r="C795" s="17">
        <f t="shared" si="62"/>
        <v>62.4</v>
      </c>
      <c r="D795" s="2" t="s">
        <v>1192</v>
      </c>
      <c r="E795" s="12">
        <v>66</v>
      </c>
      <c r="F795" s="12">
        <v>63</v>
      </c>
      <c r="G795" s="12">
        <v>66</v>
      </c>
      <c r="H795" s="2" t="s">
        <v>37</v>
      </c>
      <c r="I795" s="2" t="s">
        <v>58</v>
      </c>
      <c r="J795" s="4" t="s">
        <v>105</v>
      </c>
      <c r="M795" s="2">
        <f t="shared" si="60"/>
        <v>105</v>
      </c>
      <c r="N795" s="2">
        <f t="shared" si="61"/>
        <v>65.4</v>
      </c>
      <c r="O795" s="2">
        <f>IF(M795="","",IF(M795&gt;=1000,95,IF(M795&lt;=12.5,50,LOOKUP(M795,{12.5,15,20,30,45,60,75,105,115,150,200,225,250,600,1000},{50,55,60,62,65,68,70,72,75,80,82,85,87,90,95})+(M795-LOOKUP(M795,{12.5,15,20,30,45,60,75,105,115,150,200,225,250,600},{12.5,15,20,30,45,60,75,105,115,150,200,225,250,600}))/(LOOKUP(M795,{12.5,15,20,30,45,60,75,105,115,150,200,225,250,600,1000},{15,20,30,45,60,75,105,115,150,200,225,250,600,1000,1000})-LOOKUP(M795,{12.5,15,20,30,45,60,75,105,115,150,200,225,250,600},{12.5,15,20,30,45,60,75,105,115,150,200,225,250,600}))*(LOOKUP(M795,{12.5,15,20,30,45,60,75,105,115,150,200,225,250,600,1000},{55,60,62,65,68,70,72,75,80,82,85,87,90,95,95})-LOOKUP(M795,{12.5,15,20,30,45,60,75,105,115,150,200,225,250,600,1000},{50,55,60,62,65,68,70,72,75,80,82,85,87,90,95})))))</f>
        <v>72</v>
      </c>
      <c r="P795" s="2">
        <f t="shared" si="63"/>
        <v>-6</v>
      </c>
      <c r="Q795" s="2">
        <f t="shared" si="64"/>
        <v>-3</v>
      </c>
    </row>
    <row r="796" customHeight="1" spans="1:17">
      <c r="A796" s="2">
        <v>2026</v>
      </c>
      <c r="B796" s="2">
        <v>795</v>
      </c>
      <c r="C796" s="17">
        <f t="shared" si="62"/>
        <v>62.4</v>
      </c>
      <c r="D796" s="2" t="s">
        <v>1193</v>
      </c>
      <c r="E796" s="12">
        <v>65</v>
      </c>
      <c r="F796" s="9">
        <v>72</v>
      </c>
      <c r="G796" s="2">
        <v>40</v>
      </c>
      <c r="H796" s="2" t="s">
        <v>264</v>
      </c>
      <c r="I796" s="2" t="s">
        <v>63</v>
      </c>
      <c r="J796" s="4" t="s">
        <v>34</v>
      </c>
      <c r="M796" s="2">
        <f t="shared" si="60"/>
        <v>60</v>
      </c>
      <c r="N796" s="2">
        <f t="shared" si="61"/>
        <v>63.9</v>
      </c>
      <c r="O796" s="2">
        <f>IF(M796="","",IF(M796&gt;=1000,95,IF(M796&lt;=12.5,50,LOOKUP(M796,{12.5,15,20,30,45,60,75,105,115,150,200,225,250,600,1000},{50,55,60,62,65,68,70,72,75,80,82,85,87,90,95})+(M796-LOOKUP(M796,{12.5,15,20,30,45,60,75,105,115,150,200,225,250,600},{12.5,15,20,30,45,60,75,105,115,150,200,225,250,600}))/(LOOKUP(M796,{12.5,15,20,30,45,60,75,105,115,150,200,225,250,600,1000},{15,20,30,45,60,75,105,115,150,200,225,250,600,1000,1000})-LOOKUP(M796,{12.5,15,20,30,45,60,75,105,115,150,200,225,250,600},{12.5,15,20,30,45,60,75,105,115,150,200,225,250,600}))*(LOOKUP(M796,{12.5,15,20,30,45,60,75,105,115,150,200,225,250,600,1000},{55,60,62,65,68,70,72,75,80,82,85,87,90,95,95})-LOOKUP(M796,{12.5,15,20,30,45,60,75,105,115,150,200,225,250,600,1000},{50,55,60,62,65,68,70,72,75,80,82,85,87,90,95})))))</f>
        <v>68</v>
      </c>
      <c r="P796" s="2">
        <f t="shared" si="63"/>
        <v>-3</v>
      </c>
      <c r="Q796" s="2">
        <f t="shared" si="64"/>
        <v>-1.5</v>
      </c>
    </row>
    <row r="797" customHeight="1" spans="1:17">
      <c r="B797" s="2">
        <v>796</v>
      </c>
      <c r="C797" s="17">
        <f t="shared" si="62"/>
        <v>62.4</v>
      </c>
      <c r="D797" s="2" t="s">
        <v>1194</v>
      </c>
      <c r="E797" s="12">
        <v>67</v>
      </c>
      <c r="F797" s="12">
        <v>65</v>
      </c>
      <c r="G797" s="12">
        <v>65</v>
      </c>
      <c r="H797" s="2" t="s">
        <v>820</v>
      </c>
      <c r="I797" s="2" t="s">
        <v>1195</v>
      </c>
      <c r="J797" s="4" t="s">
        <v>148</v>
      </c>
      <c r="M797" s="2">
        <f t="shared" si="60"/>
        <v>115</v>
      </c>
      <c r="N797" s="2">
        <f t="shared" si="61"/>
        <v>66.4</v>
      </c>
      <c r="O797" s="2">
        <f>IF(M797="","",IF(M797&gt;=1000,95,IF(M797&lt;=12.5,50,LOOKUP(M797,{12.5,15,20,30,45,60,75,105,115,150,200,225,250,600,1000},{50,55,60,62,65,68,70,72,75,80,82,85,87,90,95})+(M797-LOOKUP(M797,{12.5,15,20,30,45,60,75,105,115,150,200,225,250,600},{12.5,15,20,30,45,60,75,105,115,150,200,225,250,600}))/(LOOKUP(M797,{12.5,15,20,30,45,60,75,105,115,150,200,225,250,600,1000},{15,20,30,45,60,75,105,115,150,200,225,250,600,1000,1000})-LOOKUP(M797,{12.5,15,20,30,45,60,75,105,115,150,200,225,250,600},{12.5,15,20,30,45,60,75,105,115,150,200,225,250,600}))*(LOOKUP(M797,{12.5,15,20,30,45,60,75,105,115,150,200,225,250,600,1000},{55,60,62,65,68,70,72,75,80,82,85,87,90,95,95})-LOOKUP(M797,{12.5,15,20,30,45,60,75,105,115,150,200,225,250,600,1000},{50,55,60,62,65,68,70,72,75,80,82,85,87,90,95})))))</f>
        <v>75</v>
      </c>
      <c r="P797" s="2">
        <f t="shared" si="63"/>
        <v>-8</v>
      </c>
      <c r="Q797" s="2">
        <f t="shared" si="64"/>
        <v>-4</v>
      </c>
    </row>
    <row r="798" customHeight="1" spans="1:17">
      <c r="B798" s="2">
        <v>797</v>
      </c>
      <c r="C798" s="17">
        <f t="shared" si="62"/>
        <v>62.4</v>
      </c>
      <c r="D798" s="2" t="s">
        <v>1196</v>
      </c>
      <c r="E798" s="12">
        <v>63</v>
      </c>
      <c r="F798" s="12">
        <v>53</v>
      </c>
      <c r="G798" s="2">
        <v>37</v>
      </c>
      <c r="H798" s="2" t="s">
        <v>41</v>
      </c>
      <c r="I798" s="2" t="s">
        <v>28</v>
      </c>
      <c r="J798" s="4" t="s">
        <v>29</v>
      </c>
      <c r="K798" s="2" t="s">
        <v>1197</v>
      </c>
      <c r="M798" s="2">
        <f t="shared" si="60"/>
        <v>15</v>
      </c>
      <c r="N798" s="2">
        <f t="shared" si="61"/>
        <v>58.4</v>
      </c>
      <c r="O798" s="2">
        <f>IF(M798="","",IF(M798&gt;=1000,95,IF(M798&lt;=12.5,50,LOOKUP(M798,{12.5,15,20,30,45,60,75,105,115,150,200,225,250,600,1000},{50,55,60,62,65,68,70,72,75,80,82,85,87,90,95})+(M798-LOOKUP(M798,{12.5,15,20,30,45,60,75,105,115,150,200,225,250,600},{12.5,15,20,30,45,60,75,105,115,150,200,225,250,600}))/(LOOKUP(M798,{12.5,15,20,30,45,60,75,105,115,150,200,225,250,600,1000},{15,20,30,45,60,75,105,115,150,200,225,250,600,1000,1000})-LOOKUP(M798,{12.5,15,20,30,45,60,75,105,115,150,200,225,250,600},{12.5,15,20,30,45,60,75,105,115,150,200,225,250,600}))*(LOOKUP(M798,{12.5,15,20,30,45,60,75,105,115,150,200,225,250,600,1000},{55,60,62,65,68,70,72,75,80,82,85,87,90,95,95})-LOOKUP(M798,{12.5,15,20,30,45,60,75,105,115,150,200,225,250,600,1000},{50,55,60,62,65,68,70,72,75,80,82,85,87,90,95})))))</f>
        <v>55</v>
      </c>
      <c r="P798" s="2">
        <f t="shared" si="63"/>
        <v>8</v>
      </c>
      <c r="Q798" s="2">
        <f t="shared" si="64"/>
        <v>4</v>
      </c>
    </row>
    <row r="799" customHeight="1" spans="1:17">
      <c r="B799" s="2">
        <v>798</v>
      </c>
      <c r="C799" s="17">
        <f t="shared" si="62"/>
        <v>62.4</v>
      </c>
      <c r="D799" s="2" t="s">
        <v>1198</v>
      </c>
      <c r="E799" s="12">
        <v>69</v>
      </c>
      <c r="F799" s="2">
        <v>56</v>
      </c>
      <c r="G799" s="2">
        <v>34</v>
      </c>
      <c r="H799" s="2" t="s">
        <v>329</v>
      </c>
      <c r="I799" s="2" t="s">
        <v>33</v>
      </c>
      <c r="J799" s="4" t="s">
        <v>24</v>
      </c>
      <c r="M799" s="2">
        <f t="shared" si="60"/>
        <v>75</v>
      </c>
      <c r="N799" s="2">
        <f t="shared" si="61"/>
        <v>62.9</v>
      </c>
      <c r="O799" s="2">
        <f>IF(M799="","",IF(M799&gt;=1000,95,IF(M799&lt;=12.5,50,LOOKUP(M799,{12.5,15,20,30,45,60,75,105,115,150,200,225,250,600,1000},{50,55,60,62,65,68,70,72,75,80,82,85,87,90,95})+(M799-LOOKUP(M799,{12.5,15,20,30,45,60,75,105,115,150,200,225,250,600},{12.5,15,20,30,45,60,75,105,115,150,200,225,250,600}))/(LOOKUP(M799,{12.5,15,20,30,45,60,75,105,115,150,200,225,250,600,1000},{15,20,30,45,60,75,105,115,150,200,225,250,600,1000,1000})-LOOKUP(M799,{12.5,15,20,30,45,60,75,105,115,150,200,225,250,600},{12.5,15,20,30,45,60,75,105,115,150,200,225,250,600}))*(LOOKUP(M799,{12.5,15,20,30,45,60,75,105,115,150,200,225,250,600,1000},{55,60,62,65,68,70,72,75,80,82,85,87,90,95,95})-LOOKUP(M799,{12.5,15,20,30,45,60,75,105,115,150,200,225,250,600,1000},{50,55,60,62,65,68,70,72,75,80,82,85,87,90,95})))))</f>
        <v>70</v>
      </c>
      <c r="P799" s="2">
        <f t="shared" si="63"/>
        <v>-1</v>
      </c>
      <c r="Q799" s="2">
        <f t="shared" si="64"/>
        <v>-0.5</v>
      </c>
    </row>
    <row r="800" customHeight="1" spans="1:17">
      <c r="A800" s="2">
        <v>2026</v>
      </c>
      <c r="B800" s="2">
        <v>799</v>
      </c>
      <c r="C800" s="17">
        <f t="shared" si="62"/>
        <v>62.3</v>
      </c>
      <c r="D800" s="2" t="s">
        <v>1199</v>
      </c>
      <c r="E800" s="2">
        <v>68</v>
      </c>
      <c r="F800" s="2">
        <v>60</v>
      </c>
      <c r="G800" s="2">
        <v>62</v>
      </c>
      <c r="H800" s="2" t="s">
        <v>37</v>
      </c>
      <c r="I800" s="2" t="s">
        <v>435</v>
      </c>
      <c r="J800" s="4" t="s">
        <v>148</v>
      </c>
      <c r="M800" s="2">
        <f t="shared" si="60"/>
        <v>115</v>
      </c>
      <c r="N800" s="2">
        <f t="shared" si="61"/>
        <v>65.8</v>
      </c>
      <c r="O800" s="2">
        <f>IF(M800="","",IF(M800&gt;=1000,95,IF(M800&lt;=12.5,50,LOOKUP(M800,{12.5,15,20,30,45,60,75,105,115,150,200,225,250,600,1000},{50,55,60,62,65,68,70,72,75,80,82,85,87,90,95})+(M800-LOOKUP(M800,{12.5,15,20,30,45,60,75,105,115,150,200,225,250,600},{12.5,15,20,30,45,60,75,105,115,150,200,225,250,600}))/(LOOKUP(M800,{12.5,15,20,30,45,60,75,105,115,150,200,225,250,600,1000},{15,20,30,45,60,75,105,115,150,200,225,250,600,1000,1000})-LOOKUP(M800,{12.5,15,20,30,45,60,75,105,115,150,200,225,250,600},{12.5,15,20,30,45,60,75,105,115,150,200,225,250,600}))*(LOOKUP(M800,{12.5,15,20,30,45,60,75,105,115,150,200,225,250,600,1000},{55,60,62,65,68,70,72,75,80,82,85,87,90,95,95})-LOOKUP(M800,{12.5,15,20,30,45,60,75,105,115,150,200,225,250,600,1000},{50,55,60,62,65,68,70,72,75,80,82,85,87,90,95})))))</f>
        <v>75</v>
      </c>
      <c r="P800" s="2">
        <f t="shared" si="63"/>
        <v>-7</v>
      </c>
      <c r="Q800" s="2">
        <f t="shared" si="64"/>
        <v>-3.5</v>
      </c>
    </row>
    <row r="801" customHeight="1" spans="1:17">
      <c r="B801" s="2">
        <v>800</v>
      </c>
      <c r="C801" s="17">
        <f t="shared" si="62"/>
        <v>62.3</v>
      </c>
      <c r="D801" s="2" t="s">
        <v>1200</v>
      </c>
      <c r="E801" s="9">
        <v>71</v>
      </c>
      <c r="F801" s="9">
        <v>71</v>
      </c>
      <c r="G801" s="12">
        <v>64</v>
      </c>
      <c r="H801" s="2" t="s">
        <v>444</v>
      </c>
      <c r="I801" s="2" t="s">
        <v>1195</v>
      </c>
      <c r="J801" s="4" t="s">
        <v>73</v>
      </c>
      <c r="M801" s="2">
        <f t="shared" si="60"/>
        <v>600</v>
      </c>
      <c r="N801" s="2">
        <f t="shared" si="61"/>
        <v>70.3</v>
      </c>
      <c r="O801" s="2">
        <f>IF(M801="","",IF(M801&gt;=1000,95,IF(M801&lt;=12.5,50,LOOKUP(M801,{12.5,15,20,30,45,60,75,105,115,150,200,225,250,600,1000},{50,55,60,62,65,68,70,72,75,80,82,85,87,90,95})+(M801-LOOKUP(M801,{12.5,15,20,30,45,60,75,105,115,150,200,225,250,600},{12.5,15,20,30,45,60,75,105,115,150,200,225,250,600}))/(LOOKUP(M801,{12.5,15,20,30,45,60,75,105,115,150,200,225,250,600,1000},{15,20,30,45,60,75,105,115,150,200,225,250,600,1000,1000})-LOOKUP(M801,{12.5,15,20,30,45,60,75,105,115,150,200,225,250,600},{12.5,15,20,30,45,60,75,105,115,150,200,225,250,600}))*(LOOKUP(M801,{12.5,15,20,30,45,60,75,105,115,150,200,225,250,600,1000},{55,60,62,65,68,70,72,75,80,82,85,87,90,95,95})-LOOKUP(M801,{12.5,15,20,30,45,60,75,105,115,150,200,225,250,600,1000},{50,55,60,62,65,68,70,72,75,80,82,85,87,90,95})))))</f>
        <v>90</v>
      </c>
      <c r="P801" s="2">
        <f t="shared" si="63"/>
        <v>-19</v>
      </c>
      <c r="Q801" s="2">
        <f t="shared" si="64"/>
        <v>-8</v>
      </c>
    </row>
    <row r="802" customHeight="1" spans="1:17">
      <c r="B802" s="2">
        <v>801</v>
      </c>
      <c r="C802" s="17">
        <f t="shared" si="62"/>
        <v>62.3</v>
      </c>
      <c r="D802" s="2" t="s">
        <v>1201</v>
      </c>
      <c r="E802" s="12">
        <v>68</v>
      </c>
      <c r="F802" s="12">
        <v>60</v>
      </c>
      <c r="G802" s="12">
        <v>62</v>
      </c>
      <c r="H802" s="2" t="s">
        <v>37</v>
      </c>
      <c r="I802" s="2" t="s">
        <v>435</v>
      </c>
      <c r="J802" s="4" t="s">
        <v>148</v>
      </c>
      <c r="M802" s="2">
        <f t="shared" si="60"/>
        <v>115</v>
      </c>
      <c r="N802" s="2">
        <f t="shared" si="61"/>
        <v>65.8</v>
      </c>
      <c r="O802" s="2">
        <f>IF(M802="","",IF(M802&gt;=1000,95,IF(M802&lt;=12.5,50,LOOKUP(M802,{12.5,15,20,30,45,60,75,105,115,150,200,225,250,600,1000},{50,55,60,62,65,68,70,72,75,80,82,85,87,90,95})+(M802-LOOKUP(M802,{12.5,15,20,30,45,60,75,105,115,150,200,225,250,600},{12.5,15,20,30,45,60,75,105,115,150,200,225,250,600}))/(LOOKUP(M802,{12.5,15,20,30,45,60,75,105,115,150,200,225,250,600,1000},{15,20,30,45,60,75,105,115,150,200,225,250,600,1000,1000})-LOOKUP(M802,{12.5,15,20,30,45,60,75,105,115,150,200,225,250,600},{12.5,15,20,30,45,60,75,105,115,150,200,225,250,600}))*(LOOKUP(M802,{12.5,15,20,30,45,60,75,105,115,150,200,225,250,600,1000},{55,60,62,65,68,70,72,75,80,82,85,87,90,95,95})-LOOKUP(M802,{12.5,15,20,30,45,60,75,105,115,150,200,225,250,600,1000},{50,55,60,62,65,68,70,72,75,80,82,85,87,90,95})))))</f>
        <v>75</v>
      </c>
      <c r="P802" s="2">
        <f t="shared" si="63"/>
        <v>-7</v>
      </c>
      <c r="Q802" s="2">
        <f t="shared" si="64"/>
        <v>-3.5</v>
      </c>
    </row>
    <row r="803" customHeight="1" spans="1:17">
      <c r="A803" s="2">
        <v>2026</v>
      </c>
      <c r="B803" s="2">
        <v>802</v>
      </c>
      <c r="C803" s="17">
        <f t="shared" si="62"/>
        <v>62.3</v>
      </c>
      <c r="D803" s="2" t="s">
        <v>1202</v>
      </c>
      <c r="E803" s="12">
        <v>67</v>
      </c>
      <c r="F803" s="12">
        <v>64</v>
      </c>
      <c r="G803" s="2">
        <v>51</v>
      </c>
      <c r="H803" s="2" t="s">
        <v>961</v>
      </c>
      <c r="I803" s="2" t="s">
        <v>50</v>
      </c>
      <c r="J803" s="4" t="s">
        <v>105</v>
      </c>
      <c r="M803" s="2">
        <f t="shared" si="60"/>
        <v>105</v>
      </c>
      <c r="N803" s="2">
        <f t="shared" si="61"/>
        <v>64.8</v>
      </c>
      <c r="O803" s="2">
        <f>IF(M803="","",IF(M803&gt;=1000,95,IF(M803&lt;=12.5,50,LOOKUP(M803,{12.5,15,20,30,45,60,75,105,115,150,200,225,250,600,1000},{50,55,60,62,65,68,70,72,75,80,82,85,87,90,95})+(M803-LOOKUP(M803,{12.5,15,20,30,45,60,75,105,115,150,200,225,250,600},{12.5,15,20,30,45,60,75,105,115,150,200,225,250,600}))/(LOOKUP(M803,{12.5,15,20,30,45,60,75,105,115,150,200,225,250,600,1000},{15,20,30,45,60,75,105,115,150,200,225,250,600,1000,1000})-LOOKUP(M803,{12.5,15,20,30,45,60,75,105,115,150,200,225,250,600},{12.5,15,20,30,45,60,75,105,115,150,200,225,250,600}))*(LOOKUP(M803,{12.5,15,20,30,45,60,75,105,115,150,200,225,250,600,1000},{55,60,62,65,68,70,72,75,80,82,85,87,90,95,95})-LOOKUP(M803,{12.5,15,20,30,45,60,75,105,115,150,200,225,250,600,1000},{50,55,60,62,65,68,70,72,75,80,82,85,87,90,95})))))</f>
        <v>72</v>
      </c>
      <c r="P803" s="2">
        <f t="shared" si="63"/>
        <v>-5</v>
      </c>
      <c r="Q803" s="2">
        <f t="shared" si="64"/>
        <v>-2.5</v>
      </c>
    </row>
    <row r="804" customHeight="1" spans="1:17">
      <c r="A804" s="2">
        <v>2026</v>
      </c>
      <c r="B804" s="2">
        <v>803</v>
      </c>
      <c r="C804" s="17">
        <f t="shared" si="62"/>
        <v>62.3</v>
      </c>
      <c r="D804" s="2" t="s">
        <v>1203</v>
      </c>
      <c r="E804" s="12">
        <v>65</v>
      </c>
      <c r="F804" s="2">
        <v>56</v>
      </c>
      <c r="G804" s="2">
        <v>56</v>
      </c>
      <c r="H804" s="2" t="s">
        <v>41</v>
      </c>
      <c r="I804" s="2" t="s">
        <v>28</v>
      </c>
      <c r="J804" s="4" t="s">
        <v>38</v>
      </c>
      <c r="M804" s="2">
        <f t="shared" si="60"/>
        <v>45</v>
      </c>
      <c r="N804" s="2">
        <f t="shared" si="61"/>
        <v>62.3</v>
      </c>
      <c r="O804" s="2">
        <f>IF(M804="","",IF(M804&gt;=1000,95,IF(M804&lt;=12.5,50,LOOKUP(M804,{12.5,15,20,30,45,60,75,105,115,150,200,225,250,600,1000},{50,55,60,62,65,68,70,72,75,80,82,85,87,90,95})+(M804-LOOKUP(M804,{12.5,15,20,30,45,60,75,105,115,150,200,225,250,600},{12.5,15,20,30,45,60,75,105,115,150,200,225,250,600}))/(LOOKUP(M804,{12.5,15,20,30,45,60,75,105,115,150,200,225,250,600,1000},{15,20,30,45,60,75,105,115,150,200,225,250,600,1000,1000})-LOOKUP(M804,{12.5,15,20,30,45,60,75,105,115,150,200,225,250,600},{12.5,15,20,30,45,60,75,105,115,150,200,225,250,600}))*(LOOKUP(M804,{12.5,15,20,30,45,60,75,105,115,150,200,225,250,600,1000},{55,60,62,65,68,70,72,75,80,82,85,87,90,95,95})-LOOKUP(M804,{12.5,15,20,30,45,60,75,105,115,150,200,225,250,600,1000},{50,55,60,62,65,68,70,72,75,80,82,85,87,90,95})))))</f>
        <v>65</v>
      </c>
      <c r="P804" s="2">
        <f t="shared" si="63"/>
        <v>0</v>
      </c>
      <c r="Q804" s="2">
        <f t="shared" si="64"/>
        <v>0</v>
      </c>
    </row>
    <row r="805" customHeight="1" spans="1:17">
      <c r="B805" s="2">
        <v>804</v>
      </c>
      <c r="C805" s="17">
        <f t="shared" si="62"/>
        <v>62.3</v>
      </c>
      <c r="D805" s="2" t="s">
        <v>1204</v>
      </c>
      <c r="E805" s="12">
        <v>65</v>
      </c>
      <c r="F805" s="2">
        <v>54</v>
      </c>
      <c r="G805" s="2">
        <v>45</v>
      </c>
      <c r="H805" s="2" t="s">
        <v>41</v>
      </c>
      <c r="I805" s="2" t="s">
        <v>63</v>
      </c>
      <c r="J805" s="4" t="s">
        <v>88</v>
      </c>
      <c r="M805" s="2">
        <f t="shared" si="60"/>
        <v>30</v>
      </c>
      <c r="N805" s="2">
        <f t="shared" si="61"/>
        <v>60.8</v>
      </c>
      <c r="O805" s="2">
        <f>IF(M805="","",IF(M805&gt;=1000,95,IF(M805&lt;=12.5,50,LOOKUP(M805,{12.5,15,20,30,45,60,75,105,115,150,200,225,250,600,1000},{50,55,60,62,65,68,70,72,75,80,82,85,87,90,95})+(M805-LOOKUP(M805,{12.5,15,20,30,45,60,75,105,115,150,200,225,250,600},{12.5,15,20,30,45,60,75,105,115,150,200,225,250,600}))/(LOOKUP(M805,{12.5,15,20,30,45,60,75,105,115,150,200,225,250,600,1000},{15,20,30,45,60,75,105,115,150,200,225,250,600,1000,1000})-LOOKUP(M805,{12.5,15,20,30,45,60,75,105,115,150,200,225,250,600},{12.5,15,20,30,45,60,75,105,115,150,200,225,250,600}))*(LOOKUP(M805,{12.5,15,20,30,45,60,75,105,115,150,200,225,250,600,1000},{55,60,62,65,68,70,72,75,80,82,85,87,90,95,95})-LOOKUP(M805,{12.5,15,20,30,45,60,75,105,115,150,200,225,250,600,1000},{50,55,60,62,65,68,70,72,75,80,82,85,87,90,95})))))</f>
        <v>62</v>
      </c>
      <c r="P805" s="2">
        <f t="shared" si="63"/>
        <v>3</v>
      </c>
      <c r="Q805" s="2">
        <f t="shared" si="64"/>
        <v>1.5</v>
      </c>
    </row>
    <row r="806" customHeight="1" spans="1:17">
      <c r="B806" s="2">
        <v>805</v>
      </c>
      <c r="C806" s="17">
        <f t="shared" si="62"/>
        <v>62.3</v>
      </c>
      <c r="D806" s="2" t="s">
        <v>1205</v>
      </c>
      <c r="E806" s="9">
        <v>72</v>
      </c>
      <c r="F806" s="12">
        <v>63</v>
      </c>
      <c r="G806" s="2">
        <v>33</v>
      </c>
      <c r="H806" s="2" t="s">
        <v>137</v>
      </c>
      <c r="I806" s="2" t="s">
        <v>604</v>
      </c>
      <c r="J806" s="4" t="s">
        <v>59</v>
      </c>
      <c r="K806" s="2" t="s">
        <v>1206</v>
      </c>
      <c r="M806" s="2">
        <f t="shared" si="60"/>
        <v>150</v>
      </c>
      <c r="N806" s="2">
        <f t="shared" si="61"/>
        <v>66.3</v>
      </c>
      <c r="O806" s="2">
        <f>IF(M806="","",IF(M806&gt;=1000,95,IF(M806&lt;=12.5,50,LOOKUP(M806,{12.5,15,20,30,45,60,75,105,115,150,200,225,250,600,1000},{50,55,60,62,65,68,70,72,75,80,82,85,87,90,95})+(M806-LOOKUP(M806,{12.5,15,20,30,45,60,75,105,115,150,200,225,250,600},{12.5,15,20,30,45,60,75,105,115,150,200,225,250,600}))/(LOOKUP(M806,{12.5,15,20,30,45,60,75,105,115,150,200,225,250,600,1000},{15,20,30,45,60,75,105,115,150,200,225,250,600,1000,1000})-LOOKUP(M806,{12.5,15,20,30,45,60,75,105,115,150,200,225,250,600},{12.5,15,20,30,45,60,75,105,115,150,200,225,250,600}))*(LOOKUP(M806,{12.5,15,20,30,45,60,75,105,115,150,200,225,250,600,1000},{55,60,62,65,68,70,72,75,80,82,85,87,90,95,95})-LOOKUP(M806,{12.5,15,20,30,45,60,75,105,115,150,200,225,250,600,1000},{50,55,60,62,65,68,70,72,75,80,82,85,87,90,95})))))</f>
        <v>80</v>
      </c>
      <c r="P806" s="2">
        <f t="shared" si="63"/>
        <v>-8</v>
      </c>
      <c r="Q806" s="2">
        <f t="shared" si="64"/>
        <v>-4</v>
      </c>
    </row>
    <row r="807" customHeight="1" spans="1:17">
      <c r="B807" s="2">
        <v>806</v>
      </c>
      <c r="C807" s="17">
        <f t="shared" si="62"/>
        <v>62.23</v>
      </c>
      <c r="D807" s="2" t="s">
        <v>1207</v>
      </c>
      <c r="E807" s="12">
        <v>68</v>
      </c>
      <c r="F807" s="12">
        <v>68</v>
      </c>
      <c r="G807" s="12">
        <v>67</v>
      </c>
      <c r="H807" s="2" t="s">
        <v>54</v>
      </c>
      <c r="I807" s="2" t="s">
        <v>104</v>
      </c>
      <c r="J807" s="4" t="s">
        <v>59</v>
      </c>
      <c r="M807" s="2">
        <f t="shared" si="60"/>
        <v>150</v>
      </c>
      <c r="N807" s="2">
        <f t="shared" si="61"/>
        <v>67.9</v>
      </c>
      <c r="O807" s="2">
        <f>IF(M807="","",IF(M807&gt;=1000,95,IF(M807&lt;=12.5,50,LOOKUP(M807,{12.5,15,20,30,45,60,75,105,115,150,200,225,250,600,1000},{50,55,60,62,65,68,70,72,75,80,82,85,87,90,95})+(M807-LOOKUP(M807,{12.5,15,20,30,45,60,75,105,115,150,200,225,250,600},{12.5,15,20,30,45,60,75,105,115,150,200,225,250,600}))/(LOOKUP(M807,{12.5,15,20,30,45,60,75,105,115,150,200,225,250,600,1000},{15,20,30,45,60,75,105,115,150,200,225,250,600,1000,1000})-LOOKUP(M807,{12.5,15,20,30,45,60,75,105,115,150,200,225,250,600},{12.5,15,20,30,45,60,75,105,115,150,200,225,250,600}))*(LOOKUP(M807,{12.5,15,20,30,45,60,75,105,115,150,200,225,250,600,1000},{55,60,62,65,68,70,72,75,80,82,85,87,90,95,95})-LOOKUP(M807,{12.5,15,20,30,45,60,75,105,115,150,200,225,250,600,1000},{50,55,60,62,65,68,70,72,75,80,82,85,87,90,95})))))</f>
        <v>80</v>
      </c>
      <c r="P807" s="2">
        <f t="shared" si="63"/>
        <v>-12</v>
      </c>
      <c r="Q807" s="2">
        <f t="shared" si="64"/>
        <v>-5.67</v>
      </c>
    </row>
    <row r="808" customHeight="1" spans="1:17">
      <c r="B808" s="2">
        <v>807</v>
      </c>
      <c r="C808" s="17">
        <f t="shared" si="62"/>
        <v>62.2</v>
      </c>
      <c r="D808" s="2" t="s">
        <v>1208</v>
      </c>
      <c r="E808" s="12">
        <v>67</v>
      </c>
      <c r="F808" s="12">
        <v>66</v>
      </c>
      <c r="G808" s="12">
        <v>61</v>
      </c>
      <c r="H808" s="2" t="s">
        <v>175</v>
      </c>
      <c r="I808" s="2" t="s">
        <v>1195</v>
      </c>
      <c r="J808" s="4" t="s">
        <v>148</v>
      </c>
      <c r="M808" s="2">
        <f t="shared" si="60"/>
        <v>115</v>
      </c>
      <c r="N808" s="2">
        <f t="shared" si="61"/>
        <v>66.2</v>
      </c>
      <c r="O808" s="2">
        <f>IF(M808="","",IF(M808&gt;=1000,95,IF(M808&lt;=12.5,50,LOOKUP(M808,{12.5,15,20,30,45,60,75,105,115,150,200,225,250,600,1000},{50,55,60,62,65,68,70,72,75,80,82,85,87,90,95})+(M808-LOOKUP(M808,{12.5,15,20,30,45,60,75,105,115,150,200,225,250,600},{12.5,15,20,30,45,60,75,105,115,150,200,225,250,600}))/(LOOKUP(M808,{12.5,15,20,30,45,60,75,105,115,150,200,225,250,600,1000},{15,20,30,45,60,75,105,115,150,200,225,250,600,1000,1000})-LOOKUP(M808,{12.5,15,20,30,45,60,75,105,115,150,200,225,250,600},{12.5,15,20,30,45,60,75,105,115,150,200,225,250,600}))*(LOOKUP(M808,{12.5,15,20,30,45,60,75,105,115,150,200,225,250,600,1000},{55,60,62,65,68,70,72,75,80,82,85,87,90,95,95})-LOOKUP(M808,{12.5,15,20,30,45,60,75,105,115,150,200,225,250,600,1000},{50,55,60,62,65,68,70,72,75,80,82,85,87,90,95})))))</f>
        <v>75</v>
      </c>
      <c r="P808" s="2">
        <f t="shared" si="63"/>
        <v>-8</v>
      </c>
      <c r="Q808" s="2">
        <f t="shared" si="64"/>
        <v>-4</v>
      </c>
    </row>
    <row r="809" customHeight="1" spans="1:17">
      <c r="A809" s="2">
        <v>2026</v>
      </c>
      <c r="B809" s="2">
        <v>808</v>
      </c>
      <c r="C809" s="17">
        <f t="shared" si="62"/>
        <v>62.2</v>
      </c>
      <c r="D809" s="2" t="s">
        <v>1209</v>
      </c>
      <c r="E809" s="12">
        <v>65</v>
      </c>
      <c r="F809" s="2">
        <v>57</v>
      </c>
      <c r="G809" s="2">
        <v>38</v>
      </c>
      <c r="H809" s="2" t="s">
        <v>54</v>
      </c>
      <c r="I809" s="2" t="s">
        <v>104</v>
      </c>
      <c r="J809" s="4" t="s">
        <v>88</v>
      </c>
      <c r="M809" s="2">
        <f t="shared" si="60"/>
        <v>30</v>
      </c>
      <c r="N809" s="2">
        <f t="shared" si="61"/>
        <v>60.7</v>
      </c>
      <c r="O809" s="2">
        <f>IF(M809="","",IF(M809&gt;=1000,95,IF(M809&lt;=12.5,50,LOOKUP(M809,{12.5,15,20,30,45,60,75,105,115,150,200,225,250,600,1000},{50,55,60,62,65,68,70,72,75,80,82,85,87,90,95})+(M809-LOOKUP(M809,{12.5,15,20,30,45,60,75,105,115,150,200,225,250,600},{12.5,15,20,30,45,60,75,105,115,150,200,225,250,600}))/(LOOKUP(M809,{12.5,15,20,30,45,60,75,105,115,150,200,225,250,600,1000},{15,20,30,45,60,75,105,115,150,200,225,250,600,1000,1000})-LOOKUP(M809,{12.5,15,20,30,45,60,75,105,115,150,200,225,250,600},{12.5,15,20,30,45,60,75,105,115,150,200,225,250,600}))*(LOOKUP(M809,{12.5,15,20,30,45,60,75,105,115,150,200,225,250,600,1000},{55,60,62,65,68,70,72,75,80,82,85,87,90,95,95})-LOOKUP(M809,{12.5,15,20,30,45,60,75,105,115,150,200,225,250,600,1000},{50,55,60,62,65,68,70,72,75,80,82,85,87,90,95})))))</f>
        <v>62</v>
      </c>
      <c r="P809" s="2">
        <f t="shared" si="63"/>
        <v>3</v>
      </c>
      <c r="Q809" s="2">
        <f t="shared" si="64"/>
        <v>1.5</v>
      </c>
    </row>
    <row r="810" customHeight="1" spans="1:17">
      <c r="B810" s="2">
        <v>809</v>
      </c>
      <c r="C810" s="17">
        <f t="shared" si="62"/>
        <v>62.1</v>
      </c>
      <c r="D810" s="2" t="s">
        <v>1210</v>
      </c>
      <c r="E810" s="12">
        <v>68</v>
      </c>
      <c r="F810" s="12">
        <v>64</v>
      </c>
      <c r="G810" s="2">
        <v>52</v>
      </c>
      <c r="H810" s="2" t="s">
        <v>37</v>
      </c>
      <c r="I810" s="2" t="s">
        <v>435</v>
      </c>
      <c r="J810" s="4" t="s">
        <v>148</v>
      </c>
      <c r="M810" s="2">
        <f t="shared" si="60"/>
        <v>115</v>
      </c>
      <c r="N810" s="2">
        <f t="shared" si="61"/>
        <v>65.6</v>
      </c>
      <c r="O810" s="2">
        <f>IF(M810="","",IF(M810&gt;=1000,95,IF(M810&lt;=12.5,50,LOOKUP(M810,{12.5,15,20,30,45,60,75,105,115,150,200,225,250,600,1000},{50,55,60,62,65,68,70,72,75,80,82,85,87,90,95})+(M810-LOOKUP(M810,{12.5,15,20,30,45,60,75,105,115,150,200,225,250,600},{12.5,15,20,30,45,60,75,105,115,150,200,225,250,600}))/(LOOKUP(M810,{12.5,15,20,30,45,60,75,105,115,150,200,225,250,600,1000},{15,20,30,45,60,75,105,115,150,200,225,250,600,1000,1000})-LOOKUP(M810,{12.5,15,20,30,45,60,75,105,115,150,200,225,250,600},{12.5,15,20,30,45,60,75,105,115,150,200,225,250,600}))*(LOOKUP(M810,{12.5,15,20,30,45,60,75,105,115,150,200,225,250,600,1000},{55,60,62,65,68,70,72,75,80,82,85,87,90,95,95})-LOOKUP(M810,{12.5,15,20,30,45,60,75,105,115,150,200,225,250,600,1000},{50,55,60,62,65,68,70,72,75,80,82,85,87,90,95})))))</f>
        <v>75</v>
      </c>
      <c r="P810" s="2">
        <f t="shared" si="63"/>
        <v>-7</v>
      </c>
      <c r="Q810" s="2">
        <f t="shared" si="64"/>
        <v>-3.5</v>
      </c>
    </row>
    <row r="811" customHeight="1" spans="1:17">
      <c r="B811" s="2">
        <v>810</v>
      </c>
      <c r="C811" s="17">
        <f t="shared" si="62"/>
        <v>62.1</v>
      </c>
      <c r="D811" s="2" t="s">
        <v>1211</v>
      </c>
      <c r="E811" s="12">
        <v>64</v>
      </c>
      <c r="F811" s="2">
        <v>50</v>
      </c>
      <c r="G811" s="12">
        <v>63</v>
      </c>
      <c r="H811" s="2" t="s">
        <v>32</v>
      </c>
      <c r="I811" s="2" t="s">
        <v>503</v>
      </c>
      <c r="J811" s="4" t="s">
        <v>88</v>
      </c>
      <c r="M811" s="2">
        <f t="shared" si="60"/>
        <v>30</v>
      </c>
      <c r="N811" s="2">
        <f t="shared" si="61"/>
        <v>61.1</v>
      </c>
      <c r="O811" s="2">
        <f>IF(M811="","",IF(M811&gt;=1000,95,IF(M811&lt;=12.5,50,LOOKUP(M811,{12.5,15,20,30,45,60,75,105,115,150,200,225,250,600,1000},{50,55,60,62,65,68,70,72,75,80,82,85,87,90,95})+(M811-LOOKUP(M811,{12.5,15,20,30,45,60,75,105,115,150,200,225,250,600},{12.5,15,20,30,45,60,75,105,115,150,200,225,250,600}))/(LOOKUP(M811,{12.5,15,20,30,45,60,75,105,115,150,200,225,250,600,1000},{15,20,30,45,60,75,105,115,150,200,225,250,600,1000,1000})-LOOKUP(M811,{12.5,15,20,30,45,60,75,105,115,150,200,225,250,600},{12.5,15,20,30,45,60,75,105,115,150,200,225,250,600}))*(LOOKUP(M811,{12.5,15,20,30,45,60,75,105,115,150,200,225,250,600,1000},{55,60,62,65,68,70,72,75,80,82,85,87,90,95,95})-LOOKUP(M811,{12.5,15,20,30,45,60,75,105,115,150,200,225,250,600,1000},{50,55,60,62,65,68,70,72,75,80,82,85,87,90,95})))))</f>
        <v>62</v>
      </c>
      <c r="P811" s="2">
        <f t="shared" si="63"/>
        <v>2</v>
      </c>
      <c r="Q811" s="2">
        <f t="shared" si="64"/>
        <v>1</v>
      </c>
    </row>
    <row r="812" customHeight="1" spans="1:17">
      <c r="A812" s="2">
        <v>2026</v>
      </c>
      <c r="B812" s="2">
        <v>811</v>
      </c>
      <c r="C812" s="17">
        <f t="shared" si="62"/>
        <v>62.1</v>
      </c>
      <c r="D812" s="2" t="s">
        <v>1212</v>
      </c>
      <c r="E812" s="12">
        <v>65</v>
      </c>
      <c r="F812" s="2">
        <v>53</v>
      </c>
      <c r="G812" s="2">
        <v>35</v>
      </c>
      <c r="H812" s="2" t="s">
        <v>54</v>
      </c>
      <c r="I812" s="2" t="s">
        <v>28</v>
      </c>
      <c r="J812" s="4" t="s">
        <v>140</v>
      </c>
      <c r="M812" s="2">
        <f t="shared" si="60"/>
        <v>20</v>
      </c>
      <c r="N812" s="2">
        <f t="shared" si="61"/>
        <v>59.6</v>
      </c>
      <c r="O812" s="2">
        <f>IF(M812="","",IF(M812&gt;=1000,95,IF(M812&lt;=12.5,50,LOOKUP(M812,{12.5,15,20,30,45,60,75,105,115,150,200,225,250,600,1000},{50,55,60,62,65,68,70,72,75,80,82,85,87,90,95})+(M812-LOOKUP(M812,{12.5,15,20,30,45,60,75,105,115,150,200,225,250,600},{12.5,15,20,30,45,60,75,105,115,150,200,225,250,600}))/(LOOKUP(M812,{12.5,15,20,30,45,60,75,105,115,150,200,225,250,600,1000},{15,20,30,45,60,75,105,115,150,200,225,250,600,1000,1000})-LOOKUP(M812,{12.5,15,20,30,45,60,75,105,115,150,200,225,250,600},{12.5,15,20,30,45,60,75,105,115,150,200,225,250,600}))*(LOOKUP(M812,{12.5,15,20,30,45,60,75,105,115,150,200,225,250,600,1000},{55,60,62,65,68,70,72,75,80,82,85,87,90,95,95})-LOOKUP(M812,{12.5,15,20,30,45,60,75,105,115,150,200,225,250,600,1000},{50,55,60,62,65,68,70,72,75,80,82,85,87,90,95})))))</f>
        <v>60</v>
      </c>
      <c r="P812" s="2">
        <f t="shared" si="63"/>
        <v>5</v>
      </c>
      <c r="Q812" s="2">
        <f t="shared" si="64"/>
        <v>2.5</v>
      </c>
    </row>
    <row r="813" customHeight="1" spans="1:17">
      <c r="B813" s="2">
        <v>812</v>
      </c>
      <c r="C813" s="17">
        <f t="shared" si="62"/>
        <v>62.1</v>
      </c>
      <c r="D813" s="2" t="s">
        <v>1213</v>
      </c>
      <c r="E813" s="12">
        <v>69</v>
      </c>
      <c r="F813" s="2">
        <v>49</v>
      </c>
      <c r="G813" s="2">
        <v>45</v>
      </c>
      <c r="H813" s="2" t="s">
        <v>66</v>
      </c>
      <c r="I813" s="2" t="s">
        <v>33</v>
      </c>
      <c r="J813" s="4" t="s">
        <v>24</v>
      </c>
      <c r="M813" s="2">
        <f t="shared" si="60"/>
        <v>75</v>
      </c>
      <c r="N813" s="2">
        <f t="shared" si="61"/>
        <v>62.6</v>
      </c>
      <c r="O813" s="2">
        <f>IF(M813="","",IF(M813&gt;=1000,95,IF(M813&lt;=12.5,50,LOOKUP(M813,{12.5,15,20,30,45,60,75,105,115,150,200,225,250,600,1000},{50,55,60,62,65,68,70,72,75,80,82,85,87,90,95})+(M813-LOOKUP(M813,{12.5,15,20,30,45,60,75,105,115,150,200,225,250,600},{12.5,15,20,30,45,60,75,105,115,150,200,225,250,600}))/(LOOKUP(M813,{12.5,15,20,30,45,60,75,105,115,150,200,225,250,600,1000},{15,20,30,45,60,75,105,115,150,200,225,250,600,1000,1000})-LOOKUP(M813,{12.5,15,20,30,45,60,75,105,115,150,200,225,250,600},{12.5,15,20,30,45,60,75,105,115,150,200,225,250,600}))*(LOOKUP(M813,{12.5,15,20,30,45,60,75,105,115,150,200,225,250,600,1000},{55,60,62,65,68,70,72,75,80,82,85,87,90,95,95})-LOOKUP(M813,{12.5,15,20,30,45,60,75,105,115,150,200,225,250,600,1000},{50,55,60,62,65,68,70,72,75,80,82,85,87,90,95})))))</f>
        <v>70</v>
      </c>
      <c r="P813" s="2">
        <f t="shared" si="63"/>
        <v>-1</v>
      </c>
      <c r="Q813" s="2">
        <f t="shared" si="64"/>
        <v>-0.5</v>
      </c>
    </row>
    <row r="814" customHeight="1" spans="1:17">
      <c r="B814" s="2">
        <v>813</v>
      </c>
      <c r="C814" s="17">
        <f t="shared" si="62"/>
        <v>62.1</v>
      </c>
      <c r="D814" s="2" t="s">
        <v>1214</v>
      </c>
      <c r="E814" s="12">
        <v>69</v>
      </c>
      <c r="F814" s="2">
        <v>49</v>
      </c>
      <c r="G814" s="2">
        <v>45</v>
      </c>
      <c r="H814" s="2" t="s">
        <v>41</v>
      </c>
      <c r="I814" s="2" t="s">
        <v>128</v>
      </c>
      <c r="J814" s="4" t="s">
        <v>24</v>
      </c>
      <c r="M814" s="2">
        <f t="shared" si="60"/>
        <v>75</v>
      </c>
      <c r="N814" s="2">
        <f t="shared" si="61"/>
        <v>62.6</v>
      </c>
      <c r="O814" s="2">
        <f>IF(M814="","",IF(M814&gt;=1000,95,IF(M814&lt;=12.5,50,LOOKUP(M814,{12.5,15,20,30,45,60,75,105,115,150,200,225,250,600,1000},{50,55,60,62,65,68,70,72,75,80,82,85,87,90,95})+(M814-LOOKUP(M814,{12.5,15,20,30,45,60,75,105,115,150,200,225,250,600},{12.5,15,20,30,45,60,75,105,115,150,200,225,250,600}))/(LOOKUP(M814,{12.5,15,20,30,45,60,75,105,115,150,200,225,250,600,1000},{15,20,30,45,60,75,105,115,150,200,225,250,600,1000,1000})-LOOKUP(M814,{12.5,15,20,30,45,60,75,105,115,150,200,225,250,600},{12.5,15,20,30,45,60,75,105,115,150,200,225,250,600}))*(LOOKUP(M814,{12.5,15,20,30,45,60,75,105,115,150,200,225,250,600,1000},{55,60,62,65,68,70,72,75,80,82,85,87,90,95,95})-LOOKUP(M814,{12.5,15,20,30,45,60,75,105,115,150,200,225,250,600,1000},{50,55,60,62,65,68,70,72,75,80,82,85,87,90,95})))))</f>
        <v>70</v>
      </c>
      <c r="P814" s="2">
        <f t="shared" si="63"/>
        <v>-1</v>
      </c>
      <c r="Q814" s="2">
        <f t="shared" si="64"/>
        <v>-0.5</v>
      </c>
    </row>
    <row r="815" customHeight="1" spans="1:17">
      <c r="B815" s="2">
        <v>814</v>
      </c>
      <c r="C815" s="17">
        <f t="shared" si="62"/>
        <v>62</v>
      </c>
      <c r="D815" s="2" t="s">
        <v>1215</v>
      </c>
      <c r="E815" s="12">
        <v>65</v>
      </c>
      <c r="F815" s="10">
        <v>80</v>
      </c>
      <c r="G815" s="8">
        <v>95</v>
      </c>
      <c r="H815" s="2" t="s">
        <v>339</v>
      </c>
      <c r="I815" s="2" t="s">
        <v>577</v>
      </c>
      <c r="J815" s="4" t="s">
        <v>123</v>
      </c>
      <c r="M815" s="2">
        <f t="shared" si="60"/>
        <v>250</v>
      </c>
      <c r="N815" s="2">
        <f t="shared" si="61"/>
        <v>71</v>
      </c>
      <c r="O815" s="2">
        <f>IF(M815="","",IF(M815&gt;=1000,95,IF(M815&lt;=12.5,50,LOOKUP(M815,{12.5,15,20,30,45,60,75,105,115,150,200,225,250,600,1000},{50,55,60,62,65,68,70,72,75,80,82,85,87,90,95})+(M815-LOOKUP(M815,{12.5,15,20,30,45,60,75,105,115,150,200,225,250,600},{12.5,15,20,30,45,60,75,105,115,150,200,225,250,600}))/(LOOKUP(M815,{12.5,15,20,30,45,60,75,105,115,150,200,225,250,600,1000},{15,20,30,45,60,75,105,115,150,200,225,250,600,1000,1000})-LOOKUP(M815,{12.5,15,20,30,45,60,75,105,115,150,200,225,250,600},{12.5,15,20,30,45,60,75,105,115,150,200,225,250,600}))*(LOOKUP(M815,{12.5,15,20,30,45,60,75,105,115,150,200,225,250,600,1000},{55,60,62,65,68,70,72,75,80,82,85,87,90,95,95})-LOOKUP(M815,{12.5,15,20,30,45,60,75,105,115,150,200,225,250,600,1000},{50,55,60,62,65,68,70,72,75,80,82,85,87,90,95})))))</f>
        <v>87</v>
      </c>
      <c r="P815" s="2">
        <f t="shared" si="63"/>
        <v>-22</v>
      </c>
      <c r="Q815" s="2">
        <f t="shared" si="64"/>
        <v>-9</v>
      </c>
    </row>
    <row r="816" customHeight="1" spans="1:17">
      <c r="B816" s="2">
        <v>815</v>
      </c>
      <c r="C816" s="17">
        <f t="shared" si="62"/>
        <v>62</v>
      </c>
      <c r="D816" s="2" t="s">
        <v>1216</v>
      </c>
      <c r="E816" s="12">
        <v>65</v>
      </c>
      <c r="F816" s="2">
        <v>55</v>
      </c>
      <c r="G816" s="2">
        <v>55</v>
      </c>
      <c r="H816" s="2" t="s">
        <v>41</v>
      </c>
      <c r="I816" s="2" t="s">
        <v>128</v>
      </c>
      <c r="J816" s="4" t="s">
        <v>38</v>
      </c>
      <c r="M816" s="2">
        <f t="shared" si="60"/>
        <v>45</v>
      </c>
      <c r="N816" s="2">
        <f t="shared" si="61"/>
        <v>62</v>
      </c>
      <c r="O816" s="2">
        <f>IF(M816="","",IF(M816&gt;=1000,95,IF(M816&lt;=12.5,50,LOOKUP(M816,{12.5,15,20,30,45,60,75,105,115,150,200,225,250,600,1000},{50,55,60,62,65,68,70,72,75,80,82,85,87,90,95})+(M816-LOOKUP(M816,{12.5,15,20,30,45,60,75,105,115,150,200,225,250,600},{12.5,15,20,30,45,60,75,105,115,150,200,225,250,600}))/(LOOKUP(M816,{12.5,15,20,30,45,60,75,105,115,150,200,225,250,600,1000},{15,20,30,45,60,75,105,115,150,200,225,250,600,1000,1000})-LOOKUP(M816,{12.5,15,20,30,45,60,75,105,115,150,200,225,250,600},{12.5,15,20,30,45,60,75,105,115,150,200,225,250,600}))*(LOOKUP(M816,{12.5,15,20,30,45,60,75,105,115,150,200,225,250,600,1000},{55,60,62,65,68,70,72,75,80,82,85,87,90,95,95})-LOOKUP(M816,{12.5,15,20,30,45,60,75,105,115,150,200,225,250,600,1000},{50,55,60,62,65,68,70,72,75,80,82,85,87,90,95})))))</f>
        <v>65</v>
      </c>
      <c r="P816" s="2">
        <f t="shared" si="63"/>
        <v>0</v>
      </c>
      <c r="Q816" s="2">
        <f t="shared" si="64"/>
        <v>0</v>
      </c>
    </row>
    <row r="817" customHeight="1" spans="1:17">
      <c r="A817" s="2">
        <v>2026</v>
      </c>
      <c r="B817" s="2">
        <v>816</v>
      </c>
      <c r="C817" s="17">
        <f t="shared" si="62"/>
        <v>62</v>
      </c>
      <c r="D817" s="2" t="s">
        <v>1217</v>
      </c>
      <c r="E817" s="12">
        <v>64</v>
      </c>
      <c r="F817" s="2">
        <v>58</v>
      </c>
      <c r="G817" s="2">
        <v>46</v>
      </c>
      <c r="H817" s="2" t="s">
        <v>54</v>
      </c>
      <c r="I817" s="2" t="s">
        <v>28</v>
      </c>
      <c r="J817" s="4" t="s">
        <v>88</v>
      </c>
      <c r="M817" s="2">
        <f t="shared" si="60"/>
        <v>30</v>
      </c>
      <c r="N817" s="2">
        <f t="shared" si="61"/>
        <v>61</v>
      </c>
      <c r="O817" s="2">
        <f>IF(M817="","",IF(M817&gt;=1000,95,IF(M817&lt;=12.5,50,LOOKUP(M817,{12.5,15,20,30,45,60,75,105,115,150,200,225,250,600,1000},{50,55,60,62,65,68,70,72,75,80,82,85,87,90,95})+(M817-LOOKUP(M817,{12.5,15,20,30,45,60,75,105,115,150,200,225,250,600},{12.5,15,20,30,45,60,75,105,115,150,200,225,250,600}))/(LOOKUP(M817,{12.5,15,20,30,45,60,75,105,115,150,200,225,250,600,1000},{15,20,30,45,60,75,105,115,150,200,225,250,600,1000,1000})-LOOKUP(M817,{12.5,15,20,30,45,60,75,105,115,150,200,225,250,600},{12.5,15,20,30,45,60,75,105,115,150,200,225,250,600}))*(LOOKUP(M817,{12.5,15,20,30,45,60,75,105,115,150,200,225,250,600,1000},{55,60,62,65,68,70,72,75,80,82,85,87,90,95,95})-LOOKUP(M817,{12.5,15,20,30,45,60,75,105,115,150,200,225,250,600,1000},{50,55,60,62,65,68,70,72,75,80,82,85,87,90,95})))))</f>
        <v>62</v>
      </c>
      <c r="P817" s="2">
        <f t="shared" si="63"/>
        <v>2</v>
      </c>
      <c r="Q817" s="2">
        <f t="shared" si="64"/>
        <v>1</v>
      </c>
    </row>
    <row r="818" customHeight="1" spans="1:17">
      <c r="A818" s="2">
        <v>2026</v>
      </c>
      <c r="B818" s="2">
        <v>817</v>
      </c>
      <c r="C818" s="17">
        <f t="shared" si="62"/>
        <v>62</v>
      </c>
      <c r="D818" s="2" t="s">
        <v>1218</v>
      </c>
      <c r="E818" s="12">
        <v>64</v>
      </c>
      <c r="F818" s="2">
        <v>52</v>
      </c>
      <c r="G818" s="2">
        <v>48</v>
      </c>
      <c r="H818" s="2" t="s">
        <v>54</v>
      </c>
      <c r="I818" s="2" t="s">
        <v>28</v>
      </c>
      <c r="J818" s="4" t="s">
        <v>140</v>
      </c>
      <c r="M818" s="2">
        <f t="shared" si="60"/>
        <v>20</v>
      </c>
      <c r="N818" s="2">
        <f t="shared" si="61"/>
        <v>60</v>
      </c>
      <c r="O818" s="2">
        <f>IF(M818="","",IF(M818&gt;=1000,95,IF(M818&lt;=12.5,50,LOOKUP(M818,{12.5,15,20,30,45,60,75,105,115,150,200,225,250,600,1000},{50,55,60,62,65,68,70,72,75,80,82,85,87,90,95})+(M818-LOOKUP(M818,{12.5,15,20,30,45,60,75,105,115,150,200,225,250,600},{12.5,15,20,30,45,60,75,105,115,150,200,225,250,600}))/(LOOKUP(M818,{12.5,15,20,30,45,60,75,105,115,150,200,225,250,600,1000},{15,20,30,45,60,75,105,115,150,200,225,250,600,1000,1000})-LOOKUP(M818,{12.5,15,20,30,45,60,75,105,115,150,200,225,250,600},{12.5,15,20,30,45,60,75,105,115,150,200,225,250,600}))*(LOOKUP(M818,{12.5,15,20,30,45,60,75,105,115,150,200,225,250,600,1000},{55,60,62,65,68,70,72,75,80,82,85,87,90,95,95})-LOOKUP(M818,{12.5,15,20,30,45,60,75,105,115,150,200,225,250,600,1000},{50,55,60,62,65,68,70,72,75,80,82,85,87,90,95})))))</f>
        <v>60</v>
      </c>
      <c r="P818" s="2">
        <f t="shared" si="63"/>
        <v>4</v>
      </c>
      <c r="Q818" s="2">
        <f t="shared" si="64"/>
        <v>2</v>
      </c>
    </row>
    <row r="819" customHeight="1" spans="1:17">
      <c r="B819" s="2">
        <v>818</v>
      </c>
      <c r="C819" s="17">
        <f t="shared" si="62"/>
        <v>62</v>
      </c>
      <c r="D819" s="2" t="s">
        <v>1219</v>
      </c>
      <c r="E819" s="9">
        <v>70</v>
      </c>
      <c r="F819" s="2">
        <v>50</v>
      </c>
      <c r="G819" s="2">
        <v>40</v>
      </c>
      <c r="H819" s="2" t="s">
        <v>300</v>
      </c>
      <c r="I819" s="2" t="s">
        <v>128</v>
      </c>
      <c r="J819" s="4" t="s">
        <v>105</v>
      </c>
      <c r="M819" s="2">
        <f t="shared" si="60"/>
        <v>105</v>
      </c>
      <c r="N819" s="2">
        <f t="shared" si="61"/>
        <v>63</v>
      </c>
      <c r="O819" s="2">
        <f>IF(M819="","",IF(M819&gt;=1000,95,IF(M819&lt;=12.5,50,LOOKUP(M819,{12.5,15,20,30,45,60,75,105,115,150,200,225,250,600,1000},{50,55,60,62,65,68,70,72,75,80,82,85,87,90,95})+(M819-LOOKUP(M819,{12.5,15,20,30,45,60,75,105,115,150,200,225,250,600},{12.5,15,20,30,45,60,75,105,115,150,200,225,250,600}))/(LOOKUP(M819,{12.5,15,20,30,45,60,75,105,115,150,200,225,250,600,1000},{15,20,30,45,60,75,105,115,150,200,225,250,600,1000,1000})-LOOKUP(M819,{12.5,15,20,30,45,60,75,105,115,150,200,225,250,600},{12.5,15,20,30,45,60,75,105,115,150,200,225,250,600}))*(LOOKUP(M819,{12.5,15,20,30,45,60,75,105,115,150,200,225,250,600,1000},{55,60,62,65,68,70,72,75,80,82,85,87,90,95,95})-LOOKUP(M819,{12.5,15,20,30,45,60,75,105,115,150,200,225,250,600,1000},{50,55,60,62,65,68,70,72,75,80,82,85,87,90,95})))))</f>
        <v>72</v>
      </c>
      <c r="P819" s="2">
        <f t="shared" si="63"/>
        <v>-2</v>
      </c>
      <c r="Q819" s="2">
        <f t="shared" si="64"/>
        <v>-1</v>
      </c>
    </row>
    <row r="820" customHeight="1" spans="1:17">
      <c r="A820" s="2">
        <v>2026</v>
      </c>
      <c r="B820" s="2">
        <v>819</v>
      </c>
      <c r="C820" s="17">
        <f t="shared" si="62"/>
        <v>62</v>
      </c>
      <c r="D820" s="2" t="s">
        <v>1220</v>
      </c>
      <c r="E820" s="12">
        <v>68</v>
      </c>
      <c r="F820" s="12">
        <v>63</v>
      </c>
      <c r="G820" s="2">
        <v>53</v>
      </c>
      <c r="H820" s="2" t="s">
        <v>54</v>
      </c>
      <c r="I820" s="2" t="s">
        <v>159</v>
      </c>
      <c r="J820" s="4" t="s">
        <v>148</v>
      </c>
      <c r="K820" s="2" t="s">
        <v>1221</v>
      </c>
      <c r="M820" s="2">
        <f t="shared" si="60"/>
        <v>115</v>
      </c>
      <c r="N820" s="2">
        <f t="shared" si="61"/>
        <v>65.5</v>
      </c>
      <c r="O820" s="2">
        <f>IF(M820="","",IF(M820&gt;=1000,95,IF(M820&lt;=12.5,50,LOOKUP(M820,{12.5,15,20,30,45,60,75,105,115,150,200,225,250,600,1000},{50,55,60,62,65,68,70,72,75,80,82,85,87,90,95})+(M820-LOOKUP(M820,{12.5,15,20,30,45,60,75,105,115,150,200,225,250,600},{12.5,15,20,30,45,60,75,105,115,150,200,225,250,600}))/(LOOKUP(M820,{12.5,15,20,30,45,60,75,105,115,150,200,225,250,600,1000},{15,20,30,45,60,75,105,115,150,200,225,250,600,1000,1000})-LOOKUP(M820,{12.5,15,20,30,45,60,75,105,115,150,200,225,250,600},{12.5,15,20,30,45,60,75,105,115,150,200,225,250,600}))*(LOOKUP(M820,{12.5,15,20,30,45,60,75,105,115,150,200,225,250,600,1000},{55,60,62,65,68,70,72,75,80,82,85,87,90,95,95})-LOOKUP(M820,{12.5,15,20,30,45,60,75,105,115,150,200,225,250,600,1000},{50,55,60,62,65,68,70,72,75,80,82,85,87,90,95})))))</f>
        <v>75</v>
      </c>
      <c r="P820" s="2">
        <f t="shared" si="63"/>
        <v>-7</v>
      </c>
      <c r="Q820" s="2">
        <f t="shared" si="64"/>
        <v>-3.5</v>
      </c>
    </row>
    <row r="821" customHeight="1" spans="1:17">
      <c r="B821" s="2">
        <v>820</v>
      </c>
      <c r="C821" s="17">
        <f t="shared" si="62"/>
        <v>61.93</v>
      </c>
      <c r="D821" s="2" t="s">
        <v>1222</v>
      </c>
      <c r="E821" s="12">
        <v>68</v>
      </c>
      <c r="F821" s="9">
        <v>72</v>
      </c>
      <c r="G821" s="2">
        <v>56</v>
      </c>
      <c r="H821" s="2" t="s">
        <v>1223</v>
      </c>
      <c r="I821" s="2" t="s">
        <v>128</v>
      </c>
      <c r="J821" s="4" t="s">
        <v>59</v>
      </c>
      <c r="M821" s="2">
        <f t="shared" si="60"/>
        <v>150</v>
      </c>
      <c r="N821" s="2">
        <f t="shared" si="61"/>
        <v>67.6</v>
      </c>
      <c r="O821" s="2">
        <f>IF(M821="","",IF(M821&gt;=1000,95,IF(M821&lt;=12.5,50,LOOKUP(M821,{12.5,15,20,30,45,60,75,105,115,150,200,225,250,600,1000},{50,55,60,62,65,68,70,72,75,80,82,85,87,90,95})+(M821-LOOKUP(M821,{12.5,15,20,30,45,60,75,105,115,150,200,225,250,600},{12.5,15,20,30,45,60,75,105,115,150,200,225,250,600}))/(LOOKUP(M821,{12.5,15,20,30,45,60,75,105,115,150,200,225,250,600,1000},{15,20,30,45,60,75,105,115,150,200,225,250,600,1000,1000})-LOOKUP(M821,{12.5,15,20,30,45,60,75,105,115,150,200,225,250,600},{12.5,15,20,30,45,60,75,105,115,150,200,225,250,600}))*(LOOKUP(M821,{12.5,15,20,30,45,60,75,105,115,150,200,225,250,600,1000},{55,60,62,65,68,70,72,75,80,82,85,87,90,95,95})-LOOKUP(M821,{12.5,15,20,30,45,60,75,105,115,150,200,225,250,600,1000},{50,55,60,62,65,68,70,72,75,80,82,85,87,90,95})))))</f>
        <v>80</v>
      </c>
      <c r="P821" s="2">
        <f t="shared" si="63"/>
        <v>-12</v>
      </c>
      <c r="Q821" s="2">
        <f t="shared" si="64"/>
        <v>-5.67</v>
      </c>
    </row>
    <row r="822" customHeight="1" spans="1:17">
      <c r="B822" s="2">
        <v>821</v>
      </c>
      <c r="C822" s="17">
        <f t="shared" si="62"/>
        <v>61.9</v>
      </c>
      <c r="D822" s="2" t="s">
        <v>1224</v>
      </c>
      <c r="E822" s="12">
        <v>66</v>
      </c>
      <c r="F822" s="12">
        <v>65</v>
      </c>
      <c r="G822" s="9">
        <v>72</v>
      </c>
      <c r="H822" s="2" t="s">
        <v>1225</v>
      </c>
      <c r="I822" s="2" t="s">
        <v>229</v>
      </c>
      <c r="J822" s="4" t="s">
        <v>148</v>
      </c>
      <c r="M822" s="2">
        <f t="shared" si="60"/>
        <v>115</v>
      </c>
      <c r="N822" s="2">
        <f t="shared" si="61"/>
        <v>66.4</v>
      </c>
      <c r="O822" s="2">
        <f>IF(M822="","",IF(M822&gt;=1000,95,IF(M822&lt;=12.5,50,LOOKUP(M822,{12.5,15,20,30,45,60,75,105,115,150,200,225,250,600,1000},{50,55,60,62,65,68,70,72,75,80,82,85,87,90,95})+(M822-LOOKUP(M822,{12.5,15,20,30,45,60,75,105,115,150,200,225,250,600},{12.5,15,20,30,45,60,75,105,115,150,200,225,250,600}))/(LOOKUP(M822,{12.5,15,20,30,45,60,75,105,115,150,200,225,250,600,1000},{15,20,30,45,60,75,105,115,150,200,225,250,600,1000,1000})-LOOKUP(M822,{12.5,15,20,30,45,60,75,105,115,150,200,225,250,600},{12.5,15,20,30,45,60,75,105,115,150,200,225,250,600}))*(LOOKUP(M822,{12.5,15,20,30,45,60,75,105,115,150,200,225,250,600,1000},{55,60,62,65,68,70,72,75,80,82,85,87,90,95,95})-LOOKUP(M822,{12.5,15,20,30,45,60,75,105,115,150,200,225,250,600,1000},{50,55,60,62,65,68,70,72,75,80,82,85,87,90,95})))))</f>
        <v>75</v>
      </c>
      <c r="P822" s="2">
        <f t="shared" si="63"/>
        <v>-9</v>
      </c>
      <c r="Q822" s="2">
        <f t="shared" si="64"/>
        <v>-4.5</v>
      </c>
    </row>
    <row r="823" customHeight="1" spans="1:17">
      <c r="B823" s="2">
        <v>822</v>
      </c>
      <c r="C823" s="17">
        <f t="shared" si="62"/>
        <v>61.9</v>
      </c>
      <c r="D823" s="2" t="s">
        <v>1226</v>
      </c>
      <c r="E823" s="12">
        <v>65</v>
      </c>
      <c r="F823" s="12">
        <v>65</v>
      </c>
      <c r="G823" s="12">
        <v>69</v>
      </c>
      <c r="H823" s="2" t="s">
        <v>37</v>
      </c>
      <c r="I823" s="2" t="s">
        <v>435</v>
      </c>
      <c r="J823" s="4" t="s">
        <v>105</v>
      </c>
      <c r="M823" s="2">
        <f t="shared" si="60"/>
        <v>105</v>
      </c>
      <c r="N823" s="2">
        <f t="shared" si="61"/>
        <v>65.4</v>
      </c>
      <c r="O823" s="2">
        <f>IF(M823="","",IF(M823&gt;=1000,95,IF(M823&lt;=12.5,50,LOOKUP(M823,{12.5,15,20,30,45,60,75,105,115,150,200,225,250,600,1000},{50,55,60,62,65,68,70,72,75,80,82,85,87,90,95})+(M823-LOOKUP(M823,{12.5,15,20,30,45,60,75,105,115,150,200,225,250,600},{12.5,15,20,30,45,60,75,105,115,150,200,225,250,600}))/(LOOKUP(M823,{12.5,15,20,30,45,60,75,105,115,150,200,225,250,600,1000},{15,20,30,45,60,75,105,115,150,200,225,250,600,1000,1000})-LOOKUP(M823,{12.5,15,20,30,45,60,75,105,115,150,200,225,250,600},{12.5,15,20,30,45,60,75,105,115,150,200,225,250,600}))*(LOOKUP(M823,{12.5,15,20,30,45,60,75,105,115,150,200,225,250,600,1000},{55,60,62,65,68,70,72,75,80,82,85,87,90,95,95})-LOOKUP(M823,{12.5,15,20,30,45,60,75,105,115,150,200,225,250,600,1000},{50,55,60,62,65,68,70,72,75,80,82,85,87,90,95})))))</f>
        <v>72</v>
      </c>
      <c r="P823" s="2">
        <f t="shared" si="63"/>
        <v>-7</v>
      </c>
      <c r="Q823" s="2">
        <f t="shared" si="64"/>
        <v>-3.5</v>
      </c>
    </row>
    <row r="824" customHeight="1" spans="1:17">
      <c r="B824" s="2">
        <v>823</v>
      </c>
      <c r="C824" s="17">
        <f t="shared" si="62"/>
        <v>61.9</v>
      </c>
      <c r="D824" s="2" t="s">
        <v>1227</v>
      </c>
      <c r="E824" s="12">
        <v>65</v>
      </c>
      <c r="F824" s="12">
        <v>60</v>
      </c>
      <c r="G824" s="2">
        <v>59</v>
      </c>
      <c r="H824" s="2" t="s">
        <v>339</v>
      </c>
      <c r="I824" s="2" t="s">
        <v>28</v>
      </c>
      <c r="J824" s="4" t="s">
        <v>34</v>
      </c>
      <c r="M824" s="2">
        <f t="shared" si="60"/>
        <v>60</v>
      </c>
      <c r="N824" s="2">
        <f t="shared" si="61"/>
        <v>63.4</v>
      </c>
      <c r="O824" s="2">
        <f>IF(M824="","",IF(M824&gt;=1000,95,IF(M824&lt;=12.5,50,LOOKUP(M824,{12.5,15,20,30,45,60,75,105,115,150,200,225,250,600,1000},{50,55,60,62,65,68,70,72,75,80,82,85,87,90,95})+(M824-LOOKUP(M824,{12.5,15,20,30,45,60,75,105,115,150,200,225,250,600},{12.5,15,20,30,45,60,75,105,115,150,200,225,250,600}))/(LOOKUP(M824,{12.5,15,20,30,45,60,75,105,115,150,200,225,250,600,1000},{15,20,30,45,60,75,105,115,150,200,225,250,600,1000,1000})-LOOKUP(M824,{12.5,15,20,30,45,60,75,105,115,150,200,225,250,600},{12.5,15,20,30,45,60,75,105,115,150,200,225,250,600}))*(LOOKUP(M824,{12.5,15,20,30,45,60,75,105,115,150,200,225,250,600,1000},{55,60,62,65,68,70,72,75,80,82,85,87,90,95,95})-LOOKUP(M824,{12.5,15,20,30,45,60,75,105,115,150,200,225,250,600,1000},{50,55,60,62,65,68,70,72,75,80,82,85,87,90,95})))))</f>
        <v>68</v>
      </c>
      <c r="P824" s="2">
        <f t="shared" si="63"/>
        <v>-3</v>
      </c>
      <c r="Q824" s="2">
        <f t="shared" si="64"/>
        <v>-1.5</v>
      </c>
    </row>
    <row r="825" customHeight="1" spans="1:17">
      <c r="A825" s="2">
        <v>2026</v>
      </c>
      <c r="B825" s="2">
        <v>824</v>
      </c>
      <c r="C825" s="17">
        <f t="shared" si="62"/>
        <v>61.9</v>
      </c>
      <c r="D825" s="2" t="s">
        <v>1228</v>
      </c>
      <c r="E825" s="12">
        <v>63</v>
      </c>
      <c r="F825" s="12">
        <v>63</v>
      </c>
      <c r="G825" s="2">
        <v>37</v>
      </c>
      <c r="H825" s="2" t="s">
        <v>54</v>
      </c>
      <c r="I825" s="2" t="s">
        <v>28</v>
      </c>
      <c r="J825" s="4" t="s">
        <v>140</v>
      </c>
      <c r="M825" s="2">
        <f t="shared" si="60"/>
        <v>20</v>
      </c>
      <c r="N825" s="2">
        <f t="shared" si="61"/>
        <v>60.4</v>
      </c>
      <c r="O825" s="2">
        <f>IF(M825="","",IF(M825&gt;=1000,95,IF(M825&lt;=12.5,50,LOOKUP(M825,{12.5,15,20,30,45,60,75,105,115,150,200,225,250,600,1000},{50,55,60,62,65,68,70,72,75,80,82,85,87,90,95})+(M825-LOOKUP(M825,{12.5,15,20,30,45,60,75,105,115,150,200,225,250,600},{12.5,15,20,30,45,60,75,105,115,150,200,225,250,600}))/(LOOKUP(M825,{12.5,15,20,30,45,60,75,105,115,150,200,225,250,600,1000},{15,20,30,45,60,75,105,115,150,200,225,250,600,1000,1000})-LOOKUP(M825,{12.5,15,20,30,45,60,75,105,115,150,200,225,250,600},{12.5,15,20,30,45,60,75,105,115,150,200,225,250,600}))*(LOOKUP(M825,{12.5,15,20,30,45,60,75,105,115,150,200,225,250,600,1000},{55,60,62,65,68,70,72,75,80,82,85,87,90,95,95})-LOOKUP(M825,{12.5,15,20,30,45,60,75,105,115,150,200,225,250,600,1000},{50,55,60,62,65,68,70,72,75,80,82,85,87,90,95})))))</f>
        <v>60</v>
      </c>
      <c r="P825" s="2">
        <f t="shared" si="63"/>
        <v>3</v>
      </c>
      <c r="Q825" s="2">
        <f t="shared" si="64"/>
        <v>1.5</v>
      </c>
    </row>
    <row r="826" customHeight="1" spans="1:17">
      <c r="B826" s="2">
        <v>825</v>
      </c>
      <c r="C826" s="17">
        <f t="shared" si="62"/>
        <v>61.9</v>
      </c>
      <c r="D826" s="2" t="s">
        <v>1229</v>
      </c>
      <c r="E826" s="12">
        <v>65</v>
      </c>
      <c r="F826" s="2">
        <v>48</v>
      </c>
      <c r="G826" s="12">
        <v>68</v>
      </c>
      <c r="H826" s="2" t="s">
        <v>41</v>
      </c>
      <c r="I826" s="2" t="s">
        <v>23</v>
      </c>
      <c r="J826" s="4" t="s">
        <v>38</v>
      </c>
      <c r="M826" s="2">
        <f t="shared" si="60"/>
        <v>45</v>
      </c>
      <c r="N826" s="2">
        <f t="shared" si="61"/>
        <v>61.9</v>
      </c>
      <c r="O826" s="2">
        <f>IF(M826="","",IF(M826&gt;=1000,95,IF(M826&lt;=12.5,50,LOOKUP(M826,{12.5,15,20,30,45,60,75,105,115,150,200,225,250,600,1000},{50,55,60,62,65,68,70,72,75,80,82,85,87,90,95})+(M826-LOOKUP(M826,{12.5,15,20,30,45,60,75,105,115,150,200,225,250,600},{12.5,15,20,30,45,60,75,105,115,150,200,225,250,600}))/(LOOKUP(M826,{12.5,15,20,30,45,60,75,105,115,150,200,225,250,600,1000},{15,20,30,45,60,75,105,115,150,200,225,250,600,1000,1000})-LOOKUP(M826,{12.5,15,20,30,45,60,75,105,115,150,200,225,250,600},{12.5,15,20,30,45,60,75,105,115,150,200,225,250,600}))*(LOOKUP(M826,{12.5,15,20,30,45,60,75,105,115,150,200,225,250,600,1000},{55,60,62,65,68,70,72,75,80,82,85,87,90,95,95})-LOOKUP(M826,{12.5,15,20,30,45,60,75,105,115,150,200,225,250,600,1000},{50,55,60,62,65,68,70,72,75,80,82,85,87,90,95})))))</f>
        <v>65</v>
      </c>
      <c r="P826" s="2">
        <f t="shared" si="63"/>
        <v>0</v>
      </c>
      <c r="Q826" s="2">
        <f t="shared" si="64"/>
        <v>0</v>
      </c>
    </row>
    <row r="827" customHeight="1" spans="1:17">
      <c r="A827" s="2">
        <v>2026</v>
      </c>
      <c r="B827" s="2">
        <v>826</v>
      </c>
      <c r="C827" s="17">
        <f t="shared" si="62"/>
        <v>61.9</v>
      </c>
      <c r="D827" s="2" t="s">
        <v>1230</v>
      </c>
      <c r="E827" s="12">
        <v>67</v>
      </c>
      <c r="F827" s="2">
        <v>58</v>
      </c>
      <c r="G827" s="2">
        <v>49</v>
      </c>
      <c r="H827" s="2" t="s">
        <v>347</v>
      </c>
      <c r="I827" s="2" t="s">
        <v>55</v>
      </c>
      <c r="J827" s="4" t="s">
        <v>24</v>
      </c>
      <c r="M827" s="2">
        <f t="shared" si="60"/>
        <v>75</v>
      </c>
      <c r="N827" s="2">
        <f t="shared" si="61"/>
        <v>63.4</v>
      </c>
      <c r="O827" s="2">
        <f>IF(M827="","",IF(M827&gt;=1000,95,IF(M827&lt;=12.5,50,LOOKUP(M827,{12.5,15,20,30,45,60,75,105,115,150,200,225,250,600,1000},{50,55,60,62,65,68,70,72,75,80,82,85,87,90,95})+(M827-LOOKUP(M827,{12.5,15,20,30,45,60,75,105,115,150,200,225,250,600},{12.5,15,20,30,45,60,75,105,115,150,200,225,250,600}))/(LOOKUP(M827,{12.5,15,20,30,45,60,75,105,115,150,200,225,250,600,1000},{15,20,30,45,60,75,105,115,150,200,225,250,600,1000,1000})-LOOKUP(M827,{12.5,15,20,30,45,60,75,105,115,150,200,225,250,600},{12.5,15,20,30,45,60,75,105,115,150,200,225,250,600}))*(LOOKUP(M827,{12.5,15,20,30,45,60,75,105,115,150,200,225,250,600,1000},{55,60,62,65,68,70,72,75,80,82,85,87,90,95,95})-LOOKUP(M827,{12.5,15,20,30,45,60,75,105,115,150,200,225,250,600,1000},{50,55,60,62,65,68,70,72,75,80,82,85,87,90,95})))))</f>
        <v>70</v>
      </c>
      <c r="P827" s="2">
        <f t="shared" si="63"/>
        <v>-3</v>
      </c>
      <c r="Q827" s="2">
        <f t="shared" si="64"/>
        <v>-1.5</v>
      </c>
    </row>
    <row r="828" customHeight="1" spans="1:17">
      <c r="A828" s="2">
        <v>2026</v>
      </c>
      <c r="B828" s="2">
        <v>827</v>
      </c>
      <c r="C828" s="17">
        <f t="shared" si="62"/>
        <v>61.8</v>
      </c>
      <c r="D828" s="2" t="s">
        <v>1231</v>
      </c>
      <c r="E828" s="12">
        <v>62</v>
      </c>
      <c r="F828" s="12">
        <v>61</v>
      </c>
      <c r="G828" s="2">
        <v>52</v>
      </c>
      <c r="H828" s="2" t="s">
        <v>37</v>
      </c>
      <c r="I828" s="2" t="s">
        <v>28</v>
      </c>
      <c r="J828" s="4" t="s">
        <v>140</v>
      </c>
      <c r="M828" s="2">
        <f t="shared" si="60"/>
        <v>20</v>
      </c>
      <c r="N828" s="2">
        <f t="shared" si="61"/>
        <v>60.8</v>
      </c>
      <c r="O828" s="2">
        <f>IF(M828="","",IF(M828&gt;=1000,95,IF(M828&lt;=12.5,50,LOOKUP(M828,{12.5,15,20,30,45,60,75,105,115,150,200,225,250,600,1000},{50,55,60,62,65,68,70,72,75,80,82,85,87,90,95})+(M828-LOOKUP(M828,{12.5,15,20,30,45,60,75,105,115,150,200,225,250,600},{12.5,15,20,30,45,60,75,105,115,150,200,225,250,600}))/(LOOKUP(M828,{12.5,15,20,30,45,60,75,105,115,150,200,225,250,600,1000},{15,20,30,45,60,75,105,115,150,200,225,250,600,1000,1000})-LOOKUP(M828,{12.5,15,20,30,45,60,75,105,115,150,200,225,250,600},{12.5,15,20,30,45,60,75,105,115,150,200,225,250,600}))*(LOOKUP(M828,{12.5,15,20,30,45,60,75,105,115,150,200,225,250,600,1000},{55,60,62,65,68,70,72,75,80,82,85,87,90,95,95})-LOOKUP(M828,{12.5,15,20,30,45,60,75,105,115,150,200,225,250,600,1000},{50,55,60,62,65,68,70,72,75,80,82,85,87,90,95})))))</f>
        <v>60</v>
      </c>
      <c r="P828" s="2">
        <f t="shared" si="63"/>
        <v>2</v>
      </c>
      <c r="Q828" s="2">
        <f t="shared" si="64"/>
        <v>1</v>
      </c>
    </row>
    <row r="829" customHeight="1" spans="1:17">
      <c r="B829" s="2">
        <v>828</v>
      </c>
      <c r="C829" s="17">
        <f t="shared" si="62"/>
        <v>61.8</v>
      </c>
      <c r="D829" s="2" t="s">
        <v>1232</v>
      </c>
      <c r="E829" s="12">
        <v>67</v>
      </c>
      <c r="F829" s="9">
        <v>77</v>
      </c>
      <c r="G829" s="2">
        <v>55</v>
      </c>
      <c r="H829" s="2" t="s">
        <v>17</v>
      </c>
      <c r="I829" s="2" t="s">
        <v>104</v>
      </c>
      <c r="J829" s="4" t="s">
        <v>59</v>
      </c>
      <c r="M829" s="2">
        <f t="shared" si="60"/>
        <v>150</v>
      </c>
      <c r="N829" s="2">
        <f t="shared" si="61"/>
        <v>67.8</v>
      </c>
      <c r="O829" s="2">
        <f>IF(M829="","",IF(M829&gt;=1000,95,IF(M829&lt;=12.5,50,LOOKUP(M829,{12.5,15,20,30,45,60,75,105,115,150,200,225,250,600,1000},{50,55,60,62,65,68,70,72,75,80,82,85,87,90,95})+(M829-LOOKUP(M829,{12.5,15,20,30,45,60,75,105,115,150,200,225,250,600},{12.5,15,20,30,45,60,75,105,115,150,200,225,250,600}))/(LOOKUP(M829,{12.5,15,20,30,45,60,75,105,115,150,200,225,250,600,1000},{15,20,30,45,60,75,105,115,150,200,225,250,600,1000,1000})-LOOKUP(M829,{12.5,15,20,30,45,60,75,105,115,150,200,225,250,600},{12.5,15,20,30,45,60,75,105,115,150,200,225,250,600}))*(LOOKUP(M829,{12.5,15,20,30,45,60,75,105,115,150,200,225,250,600,1000},{55,60,62,65,68,70,72,75,80,82,85,87,90,95,95})-LOOKUP(M829,{12.5,15,20,30,45,60,75,105,115,150,200,225,250,600,1000},{50,55,60,62,65,68,70,72,75,80,82,85,87,90,95})))))</f>
        <v>80</v>
      </c>
      <c r="P829" s="2">
        <f t="shared" si="63"/>
        <v>-13</v>
      </c>
      <c r="Q829" s="2">
        <f t="shared" si="64"/>
        <v>-6</v>
      </c>
    </row>
    <row r="830" customHeight="1" spans="1:17">
      <c r="B830" s="2">
        <v>829</v>
      </c>
      <c r="C830" s="17">
        <f t="shared" si="62"/>
        <v>61.8</v>
      </c>
      <c r="D830" s="2" t="s">
        <v>1233</v>
      </c>
      <c r="E830" s="12">
        <v>67</v>
      </c>
      <c r="F830" s="12">
        <v>64</v>
      </c>
      <c r="G830" s="12">
        <v>61</v>
      </c>
      <c r="H830" s="2" t="s">
        <v>175</v>
      </c>
      <c r="I830" s="2" t="s">
        <v>852</v>
      </c>
      <c r="J830" s="4" t="s">
        <v>148</v>
      </c>
      <c r="M830" s="2">
        <f t="shared" si="60"/>
        <v>115</v>
      </c>
      <c r="N830" s="2">
        <f t="shared" si="61"/>
        <v>65.8</v>
      </c>
      <c r="O830" s="2">
        <f>IF(M830="","",IF(M830&gt;=1000,95,IF(M830&lt;=12.5,50,LOOKUP(M830,{12.5,15,20,30,45,60,75,105,115,150,200,225,250,600,1000},{50,55,60,62,65,68,70,72,75,80,82,85,87,90,95})+(M830-LOOKUP(M830,{12.5,15,20,30,45,60,75,105,115,150,200,225,250,600},{12.5,15,20,30,45,60,75,105,115,150,200,225,250,600}))/(LOOKUP(M830,{12.5,15,20,30,45,60,75,105,115,150,200,225,250,600,1000},{15,20,30,45,60,75,105,115,150,200,225,250,600,1000,1000})-LOOKUP(M830,{12.5,15,20,30,45,60,75,105,115,150,200,225,250,600},{12.5,15,20,30,45,60,75,105,115,150,200,225,250,600}))*(LOOKUP(M830,{12.5,15,20,30,45,60,75,105,115,150,200,225,250,600,1000},{55,60,62,65,68,70,72,75,80,82,85,87,90,95,95})-LOOKUP(M830,{12.5,15,20,30,45,60,75,105,115,150,200,225,250,600,1000},{50,55,60,62,65,68,70,72,75,80,82,85,87,90,95})))))</f>
        <v>75</v>
      </c>
      <c r="P830" s="2">
        <f t="shared" si="63"/>
        <v>-8</v>
      </c>
      <c r="Q830" s="2">
        <f t="shared" si="64"/>
        <v>-4</v>
      </c>
    </row>
    <row r="831" customHeight="1" spans="1:17">
      <c r="A831" s="2">
        <v>2026</v>
      </c>
      <c r="B831" s="2">
        <v>830</v>
      </c>
      <c r="C831" s="17">
        <f t="shared" si="62"/>
        <v>61.8</v>
      </c>
      <c r="D831" s="2" t="s">
        <v>1234</v>
      </c>
      <c r="E831" s="12">
        <v>64</v>
      </c>
      <c r="F831" s="2">
        <v>58</v>
      </c>
      <c r="G831" s="2">
        <v>44</v>
      </c>
      <c r="H831" s="2" t="s">
        <v>54</v>
      </c>
      <c r="I831" s="2" t="s">
        <v>28</v>
      </c>
      <c r="J831" s="4" t="s">
        <v>88</v>
      </c>
      <c r="M831" s="2">
        <f t="shared" si="60"/>
        <v>30</v>
      </c>
      <c r="N831" s="2">
        <f t="shared" si="61"/>
        <v>60.8</v>
      </c>
      <c r="O831" s="2">
        <f>IF(M831="","",IF(M831&gt;=1000,95,IF(M831&lt;=12.5,50,LOOKUP(M831,{12.5,15,20,30,45,60,75,105,115,150,200,225,250,600,1000},{50,55,60,62,65,68,70,72,75,80,82,85,87,90,95})+(M831-LOOKUP(M831,{12.5,15,20,30,45,60,75,105,115,150,200,225,250,600},{12.5,15,20,30,45,60,75,105,115,150,200,225,250,600}))/(LOOKUP(M831,{12.5,15,20,30,45,60,75,105,115,150,200,225,250,600,1000},{15,20,30,45,60,75,105,115,150,200,225,250,600,1000,1000})-LOOKUP(M831,{12.5,15,20,30,45,60,75,105,115,150,200,225,250,600},{12.5,15,20,30,45,60,75,105,115,150,200,225,250,600}))*(LOOKUP(M831,{12.5,15,20,30,45,60,75,105,115,150,200,225,250,600,1000},{55,60,62,65,68,70,72,75,80,82,85,87,90,95,95})-LOOKUP(M831,{12.5,15,20,30,45,60,75,105,115,150,200,225,250,600,1000},{50,55,60,62,65,68,70,72,75,80,82,85,87,90,95})))))</f>
        <v>62</v>
      </c>
      <c r="P831" s="2">
        <f t="shared" si="63"/>
        <v>2</v>
      </c>
      <c r="Q831" s="2">
        <f t="shared" si="64"/>
        <v>1</v>
      </c>
    </row>
    <row r="832" customHeight="1" spans="1:17">
      <c r="A832" s="2">
        <v>2026</v>
      </c>
      <c r="B832" s="2">
        <v>831</v>
      </c>
      <c r="C832" s="17">
        <f t="shared" si="62"/>
        <v>61.8</v>
      </c>
      <c r="D832" s="2" t="s">
        <v>1235</v>
      </c>
      <c r="E832" s="12">
        <v>69</v>
      </c>
      <c r="F832" s="2">
        <v>54</v>
      </c>
      <c r="G832" s="2">
        <v>57</v>
      </c>
      <c r="H832" s="2" t="s">
        <v>108</v>
      </c>
      <c r="I832" s="2" t="s">
        <v>33</v>
      </c>
      <c r="J832" s="4" t="s">
        <v>148</v>
      </c>
      <c r="M832" s="2">
        <f t="shared" si="60"/>
        <v>115</v>
      </c>
      <c r="N832" s="2">
        <f t="shared" si="61"/>
        <v>64.8</v>
      </c>
      <c r="O832" s="2">
        <f>IF(M832="","",IF(M832&gt;=1000,95,IF(M832&lt;=12.5,50,LOOKUP(M832,{12.5,15,20,30,45,60,75,105,115,150,200,225,250,600,1000},{50,55,60,62,65,68,70,72,75,80,82,85,87,90,95})+(M832-LOOKUP(M832,{12.5,15,20,30,45,60,75,105,115,150,200,225,250,600},{12.5,15,20,30,45,60,75,105,115,150,200,225,250,600}))/(LOOKUP(M832,{12.5,15,20,30,45,60,75,105,115,150,200,225,250,600,1000},{15,20,30,45,60,75,105,115,150,200,225,250,600,1000,1000})-LOOKUP(M832,{12.5,15,20,30,45,60,75,105,115,150,200,225,250,600},{12.5,15,20,30,45,60,75,105,115,150,200,225,250,600}))*(LOOKUP(M832,{12.5,15,20,30,45,60,75,105,115,150,200,225,250,600,1000},{55,60,62,65,68,70,72,75,80,82,85,87,90,95,95})-LOOKUP(M832,{12.5,15,20,30,45,60,75,105,115,150,200,225,250,600,1000},{50,55,60,62,65,68,70,72,75,80,82,85,87,90,95})))))</f>
        <v>75</v>
      </c>
      <c r="P832" s="2">
        <f t="shared" si="63"/>
        <v>-6</v>
      </c>
      <c r="Q832" s="2">
        <f t="shared" si="64"/>
        <v>-3</v>
      </c>
    </row>
    <row r="833" customHeight="1" spans="1:17">
      <c r="A833" s="2">
        <v>2026</v>
      </c>
      <c r="B833" s="2">
        <v>832</v>
      </c>
      <c r="C833" s="17">
        <f t="shared" si="62"/>
        <v>61.7</v>
      </c>
      <c r="D833" s="2" t="s">
        <v>1236</v>
      </c>
      <c r="E833" s="12">
        <v>68</v>
      </c>
      <c r="F833" s="2">
        <v>55</v>
      </c>
      <c r="G833" s="2">
        <v>51</v>
      </c>
      <c r="H833" s="2" t="s">
        <v>66</v>
      </c>
      <c r="I833" s="2" t="s">
        <v>33</v>
      </c>
      <c r="J833" s="4" t="s">
        <v>105</v>
      </c>
      <c r="M833" s="2">
        <f t="shared" si="60"/>
        <v>105</v>
      </c>
      <c r="N833" s="2">
        <f t="shared" si="61"/>
        <v>63.7</v>
      </c>
      <c r="O833" s="2">
        <f>IF(M833="","",IF(M833&gt;=1000,95,IF(M833&lt;=12.5,50,LOOKUP(M833,{12.5,15,20,30,45,60,75,105,115,150,200,225,250,600,1000},{50,55,60,62,65,68,70,72,75,80,82,85,87,90,95})+(M833-LOOKUP(M833,{12.5,15,20,30,45,60,75,105,115,150,200,225,250,600},{12.5,15,20,30,45,60,75,105,115,150,200,225,250,600}))/(LOOKUP(M833,{12.5,15,20,30,45,60,75,105,115,150,200,225,250,600,1000},{15,20,30,45,60,75,105,115,150,200,225,250,600,1000,1000})-LOOKUP(M833,{12.5,15,20,30,45,60,75,105,115,150,200,225,250,600},{12.5,15,20,30,45,60,75,105,115,150,200,225,250,600}))*(LOOKUP(M833,{12.5,15,20,30,45,60,75,105,115,150,200,225,250,600,1000},{55,60,62,65,68,70,72,75,80,82,85,87,90,95,95})-LOOKUP(M833,{12.5,15,20,30,45,60,75,105,115,150,200,225,250,600,1000},{50,55,60,62,65,68,70,72,75,80,82,85,87,90,95})))))</f>
        <v>72</v>
      </c>
      <c r="P833" s="2">
        <f t="shared" si="63"/>
        <v>-4</v>
      </c>
      <c r="Q833" s="2">
        <f t="shared" si="64"/>
        <v>-2</v>
      </c>
    </row>
    <row r="834" customHeight="1" spans="1:17">
      <c r="B834" s="2">
        <v>833</v>
      </c>
      <c r="C834" s="17">
        <f t="shared" si="62"/>
        <v>61.7</v>
      </c>
      <c r="D834" s="2" t="s">
        <v>1237</v>
      </c>
      <c r="E834" s="12">
        <v>65</v>
      </c>
      <c r="F834" s="9">
        <v>72</v>
      </c>
      <c r="G834" s="2">
        <v>53</v>
      </c>
      <c r="H834" s="2" t="s">
        <v>22</v>
      </c>
      <c r="I834" s="2" t="s">
        <v>183</v>
      </c>
      <c r="J834" s="4" t="s">
        <v>105</v>
      </c>
      <c r="M834" s="2">
        <f t="shared" ref="M834:M897" si="65">IF(J834="1000+",1000,(LEFT(J834,FIND("-",J834)-1)+RIGHT(J834,LEN(J834)-FIND("-",J834)))/2)</f>
        <v>105</v>
      </c>
      <c r="N834" s="2">
        <f t="shared" ref="N834:N897" si="66">ROUND(E834*0.7+F834*0.2+G834*0.1,2)</f>
        <v>65.2</v>
      </c>
      <c r="O834" s="2">
        <f>IF(M834="","",IF(M834&gt;=1000,95,IF(M834&lt;=12.5,50,LOOKUP(M834,{12.5,15,20,30,45,60,75,105,115,150,200,225,250,600,1000},{50,55,60,62,65,68,70,72,75,80,82,85,87,90,95})+(M834-LOOKUP(M834,{12.5,15,20,30,45,60,75,105,115,150,200,225,250,600},{12.5,15,20,30,45,60,75,105,115,150,200,225,250,600}))/(LOOKUP(M834,{12.5,15,20,30,45,60,75,105,115,150,200,225,250,600,1000},{15,20,30,45,60,75,105,115,150,200,225,250,600,1000,1000})-LOOKUP(M834,{12.5,15,20,30,45,60,75,105,115,150,200,225,250,600},{12.5,15,20,30,45,60,75,105,115,150,200,225,250,600}))*(LOOKUP(M834,{12.5,15,20,30,45,60,75,105,115,150,200,225,250,600,1000},{55,60,62,65,68,70,72,75,80,82,85,87,90,95,95})-LOOKUP(M834,{12.5,15,20,30,45,60,75,105,115,150,200,225,250,600,1000},{50,55,60,62,65,68,70,72,75,80,82,85,87,90,95})))))</f>
        <v>72</v>
      </c>
      <c r="P834" s="2">
        <f t="shared" si="63"/>
        <v>-7</v>
      </c>
      <c r="Q834" s="2">
        <f t="shared" si="64"/>
        <v>-3.5</v>
      </c>
    </row>
    <row r="835" customHeight="1" spans="1:17">
      <c r="B835" s="2">
        <v>834</v>
      </c>
      <c r="C835" s="17">
        <f t="shared" si="62"/>
        <v>61.7</v>
      </c>
      <c r="D835" s="2" t="s">
        <v>1238</v>
      </c>
      <c r="E835" s="12">
        <v>69</v>
      </c>
      <c r="F835" s="12">
        <v>68</v>
      </c>
      <c r="G835" s="12">
        <v>68</v>
      </c>
      <c r="H835" s="2" t="s">
        <v>1239</v>
      </c>
      <c r="I835" s="2" t="s">
        <v>1055</v>
      </c>
      <c r="J835" s="4" t="s">
        <v>19</v>
      </c>
      <c r="M835" s="2">
        <f t="shared" si="65"/>
        <v>225</v>
      </c>
      <c r="N835" s="2">
        <f t="shared" si="66"/>
        <v>68.7</v>
      </c>
      <c r="O835" s="2">
        <f>IF(M835="","",IF(M835&gt;=1000,95,IF(M835&lt;=12.5,50,LOOKUP(M835,{12.5,15,20,30,45,60,75,105,115,150,200,225,250,600,1000},{50,55,60,62,65,68,70,72,75,80,82,85,87,90,95})+(M835-LOOKUP(M835,{12.5,15,20,30,45,60,75,105,115,150,200,225,250,600},{12.5,15,20,30,45,60,75,105,115,150,200,225,250,600}))/(LOOKUP(M835,{12.5,15,20,30,45,60,75,105,115,150,200,225,250,600,1000},{15,20,30,45,60,75,105,115,150,200,225,250,600,1000,1000})-LOOKUP(M835,{12.5,15,20,30,45,60,75,105,115,150,200,225,250,600},{12.5,15,20,30,45,60,75,105,115,150,200,225,250,600}))*(LOOKUP(M835,{12.5,15,20,30,45,60,75,105,115,150,200,225,250,600,1000},{55,60,62,65,68,70,72,75,80,82,85,87,90,95,95})-LOOKUP(M835,{12.5,15,20,30,45,60,75,105,115,150,200,225,250,600,1000},{50,55,60,62,65,68,70,72,75,80,82,85,87,90,95})))))</f>
        <v>85</v>
      </c>
      <c r="P835" s="2">
        <f t="shared" si="63"/>
        <v>-16</v>
      </c>
      <c r="Q835" s="2">
        <f t="shared" si="64"/>
        <v>-7</v>
      </c>
    </row>
    <row r="836" customHeight="1" spans="1:17">
      <c r="B836" s="2">
        <v>835</v>
      </c>
      <c r="C836" s="17">
        <f t="shared" si="62"/>
        <v>61.7</v>
      </c>
      <c r="D836" s="2" t="s">
        <v>1240</v>
      </c>
      <c r="E836" s="12">
        <v>64</v>
      </c>
      <c r="F836" s="12">
        <v>60</v>
      </c>
      <c r="G836" s="2">
        <v>54</v>
      </c>
      <c r="H836" s="2" t="s">
        <v>37</v>
      </c>
      <c r="I836" s="2" t="s">
        <v>586</v>
      </c>
      <c r="J836" s="4" t="s">
        <v>38</v>
      </c>
      <c r="M836" s="2">
        <f t="shared" si="65"/>
        <v>45</v>
      </c>
      <c r="N836" s="2">
        <f t="shared" si="66"/>
        <v>62.2</v>
      </c>
      <c r="O836" s="2">
        <f>IF(M836="","",IF(M836&gt;=1000,95,IF(M836&lt;=12.5,50,LOOKUP(M836,{12.5,15,20,30,45,60,75,105,115,150,200,225,250,600,1000},{50,55,60,62,65,68,70,72,75,80,82,85,87,90,95})+(M836-LOOKUP(M836,{12.5,15,20,30,45,60,75,105,115,150,200,225,250,600},{12.5,15,20,30,45,60,75,105,115,150,200,225,250,600}))/(LOOKUP(M836,{12.5,15,20,30,45,60,75,105,115,150,200,225,250,600,1000},{15,20,30,45,60,75,105,115,150,200,225,250,600,1000,1000})-LOOKUP(M836,{12.5,15,20,30,45,60,75,105,115,150,200,225,250,600},{12.5,15,20,30,45,60,75,105,115,150,200,225,250,600}))*(LOOKUP(M836,{12.5,15,20,30,45,60,75,105,115,150,200,225,250,600,1000},{55,60,62,65,68,70,72,75,80,82,85,87,90,95,95})-LOOKUP(M836,{12.5,15,20,30,45,60,75,105,115,150,200,225,250,600,1000},{50,55,60,62,65,68,70,72,75,80,82,85,87,90,95})))))</f>
        <v>65</v>
      </c>
      <c r="P836" s="2">
        <f t="shared" si="63"/>
        <v>-1</v>
      </c>
      <c r="Q836" s="2">
        <f t="shared" si="64"/>
        <v>-0.5</v>
      </c>
    </row>
    <row r="837" customHeight="1" spans="1:17">
      <c r="A837" s="2">
        <v>2026</v>
      </c>
      <c r="B837" s="2">
        <v>836</v>
      </c>
      <c r="C837" s="17">
        <f t="shared" si="62"/>
        <v>61.7</v>
      </c>
      <c r="D837" s="2" t="s">
        <v>1241</v>
      </c>
      <c r="E837" s="12">
        <v>66</v>
      </c>
      <c r="F837" s="12">
        <v>61</v>
      </c>
      <c r="G837" s="2">
        <v>53</v>
      </c>
      <c r="H837" s="2" t="s">
        <v>54</v>
      </c>
      <c r="I837" s="2" t="s">
        <v>104</v>
      </c>
      <c r="J837" s="4" t="s">
        <v>24</v>
      </c>
      <c r="M837" s="2">
        <f t="shared" si="65"/>
        <v>75</v>
      </c>
      <c r="N837" s="2">
        <f t="shared" si="66"/>
        <v>63.7</v>
      </c>
      <c r="O837" s="2">
        <f>IF(M837="","",IF(M837&gt;=1000,95,IF(M837&lt;=12.5,50,LOOKUP(M837,{12.5,15,20,30,45,60,75,105,115,150,200,225,250,600,1000},{50,55,60,62,65,68,70,72,75,80,82,85,87,90,95})+(M837-LOOKUP(M837,{12.5,15,20,30,45,60,75,105,115,150,200,225,250,600},{12.5,15,20,30,45,60,75,105,115,150,200,225,250,600}))/(LOOKUP(M837,{12.5,15,20,30,45,60,75,105,115,150,200,225,250,600,1000},{15,20,30,45,60,75,105,115,150,200,225,250,600,1000,1000})-LOOKUP(M837,{12.5,15,20,30,45,60,75,105,115,150,200,225,250,600},{12.5,15,20,30,45,60,75,105,115,150,200,225,250,600}))*(LOOKUP(M837,{12.5,15,20,30,45,60,75,105,115,150,200,225,250,600,1000},{55,60,62,65,68,70,72,75,80,82,85,87,90,95,95})-LOOKUP(M837,{12.5,15,20,30,45,60,75,105,115,150,200,225,250,600,1000},{50,55,60,62,65,68,70,72,75,80,82,85,87,90,95})))))</f>
        <v>70</v>
      </c>
      <c r="P837" s="2">
        <f t="shared" si="63"/>
        <v>-4</v>
      </c>
      <c r="Q837" s="2">
        <f t="shared" si="64"/>
        <v>-2</v>
      </c>
    </row>
    <row r="838" customHeight="1" spans="1:17">
      <c r="B838" s="2">
        <v>837</v>
      </c>
      <c r="C838" s="17">
        <f t="shared" ref="C838:C901" si="67">ROUND(MAX(MIN(N838+Q838,100),0),2)</f>
        <v>61.7</v>
      </c>
      <c r="D838" s="2" t="s">
        <v>1242</v>
      </c>
      <c r="E838" s="12">
        <v>66</v>
      </c>
      <c r="F838" s="12">
        <v>60</v>
      </c>
      <c r="G838" s="2">
        <v>45</v>
      </c>
      <c r="H838" s="2" t="s">
        <v>32</v>
      </c>
      <c r="I838" s="2" t="s">
        <v>33</v>
      </c>
      <c r="J838" s="4" t="s">
        <v>34</v>
      </c>
      <c r="M838" s="2">
        <f t="shared" si="65"/>
        <v>60</v>
      </c>
      <c r="N838" s="2">
        <f t="shared" si="66"/>
        <v>62.7</v>
      </c>
      <c r="O838" s="2">
        <f>IF(M838="","",IF(M838&gt;=1000,95,IF(M838&lt;=12.5,50,LOOKUP(M838,{12.5,15,20,30,45,60,75,105,115,150,200,225,250,600,1000},{50,55,60,62,65,68,70,72,75,80,82,85,87,90,95})+(M838-LOOKUP(M838,{12.5,15,20,30,45,60,75,105,115,150,200,225,250,600},{12.5,15,20,30,45,60,75,105,115,150,200,225,250,600}))/(LOOKUP(M838,{12.5,15,20,30,45,60,75,105,115,150,200,225,250,600,1000},{15,20,30,45,60,75,105,115,150,200,225,250,600,1000,1000})-LOOKUP(M838,{12.5,15,20,30,45,60,75,105,115,150,200,225,250,600},{12.5,15,20,30,45,60,75,105,115,150,200,225,250,600}))*(LOOKUP(M838,{12.5,15,20,30,45,60,75,105,115,150,200,225,250,600,1000},{55,60,62,65,68,70,72,75,80,82,85,87,90,95,95})-LOOKUP(M838,{12.5,15,20,30,45,60,75,105,115,150,200,225,250,600,1000},{50,55,60,62,65,68,70,72,75,80,82,85,87,90,95})))))</f>
        <v>68</v>
      </c>
      <c r="P838" s="2">
        <f t="shared" ref="P838:P901" si="68">E838-O838</f>
        <v>-2</v>
      </c>
      <c r="Q838" s="2">
        <f t="shared" ref="Q838:Q901" si="69">ROUND(SIGN(P838)*IF(ABS(P838)&lt;=10,ABS(P838)*0.5,IF(ABS(P838)&lt;=15,5+(ABS(P838)-10)*(1.67/5),6.67+(ABS(P838)-15)*0.333)),2)</f>
        <v>-1</v>
      </c>
    </row>
    <row r="839" customHeight="1" spans="1:17">
      <c r="B839" s="2">
        <v>838</v>
      </c>
      <c r="C839" s="17">
        <f t="shared" si="67"/>
        <v>61.7</v>
      </c>
      <c r="D839" s="2" t="s">
        <v>1243</v>
      </c>
      <c r="E839" s="12">
        <v>65</v>
      </c>
      <c r="F839" s="2">
        <v>56</v>
      </c>
      <c r="G839" s="2">
        <v>50</v>
      </c>
      <c r="H839" s="2" t="s">
        <v>367</v>
      </c>
      <c r="I839" s="2" t="s">
        <v>33</v>
      </c>
      <c r="J839" s="4" t="s">
        <v>38</v>
      </c>
      <c r="M839" s="2">
        <f t="shared" si="65"/>
        <v>45</v>
      </c>
      <c r="N839" s="2">
        <f t="shared" si="66"/>
        <v>61.7</v>
      </c>
      <c r="O839" s="2">
        <f>IF(M839="","",IF(M839&gt;=1000,95,IF(M839&lt;=12.5,50,LOOKUP(M839,{12.5,15,20,30,45,60,75,105,115,150,200,225,250,600,1000},{50,55,60,62,65,68,70,72,75,80,82,85,87,90,95})+(M839-LOOKUP(M839,{12.5,15,20,30,45,60,75,105,115,150,200,225,250,600},{12.5,15,20,30,45,60,75,105,115,150,200,225,250,600}))/(LOOKUP(M839,{12.5,15,20,30,45,60,75,105,115,150,200,225,250,600,1000},{15,20,30,45,60,75,105,115,150,200,225,250,600,1000,1000})-LOOKUP(M839,{12.5,15,20,30,45,60,75,105,115,150,200,225,250,600},{12.5,15,20,30,45,60,75,105,115,150,200,225,250,600}))*(LOOKUP(M839,{12.5,15,20,30,45,60,75,105,115,150,200,225,250,600,1000},{55,60,62,65,68,70,72,75,80,82,85,87,90,95,95})-LOOKUP(M839,{12.5,15,20,30,45,60,75,105,115,150,200,225,250,600,1000},{50,55,60,62,65,68,70,72,75,80,82,85,87,90,95})))))</f>
        <v>65</v>
      </c>
      <c r="P839" s="2">
        <f t="shared" si="68"/>
        <v>0</v>
      </c>
      <c r="Q839" s="2">
        <f t="shared" si="69"/>
        <v>0</v>
      </c>
    </row>
    <row r="840" customHeight="1" spans="1:17">
      <c r="B840" s="2">
        <v>839</v>
      </c>
      <c r="C840" s="17">
        <f t="shared" si="67"/>
        <v>61.7</v>
      </c>
      <c r="D840" s="2" t="s">
        <v>1244</v>
      </c>
      <c r="E840" s="12">
        <v>69</v>
      </c>
      <c r="F840" s="2">
        <v>56</v>
      </c>
      <c r="G840" s="2">
        <v>52</v>
      </c>
      <c r="H840" s="2" t="s">
        <v>444</v>
      </c>
      <c r="I840" s="2" t="s">
        <v>577</v>
      </c>
      <c r="J840" s="4" t="s">
        <v>148</v>
      </c>
      <c r="M840" s="2">
        <f t="shared" si="65"/>
        <v>115</v>
      </c>
      <c r="N840" s="2">
        <f t="shared" si="66"/>
        <v>64.7</v>
      </c>
      <c r="O840" s="2">
        <f>IF(M840="","",IF(M840&gt;=1000,95,IF(M840&lt;=12.5,50,LOOKUP(M840,{12.5,15,20,30,45,60,75,105,115,150,200,225,250,600,1000},{50,55,60,62,65,68,70,72,75,80,82,85,87,90,95})+(M840-LOOKUP(M840,{12.5,15,20,30,45,60,75,105,115,150,200,225,250,600},{12.5,15,20,30,45,60,75,105,115,150,200,225,250,600}))/(LOOKUP(M840,{12.5,15,20,30,45,60,75,105,115,150,200,225,250,600,1000},{15,20,30,45,60,75,105,115,150,200,225,250,600,1000,1000})-LOOKUP(M840,{12.5,15,20,30,45,60,75,105,115,150,200,225,250,600},{12.5,15,20,30,45,60,75,105,115,150,200,225,250,600}))*(LOOKUP(M840,{12.5,15,20,30,45,60,75,105,115,150,200,225,250,600,1000},{55,60,62,65,68,70,72,75,80,82,85,87,90,95,95})-LOOKUP(M840,{12.5,15,20,30,45,60,75,105,115,150,200,225,250,600,1000},{50,55,60,62,65,68,70,72,75,80,82,85,87,90,95})))))</f>
        <v>75</v>
      </c>
      <c r="P840" s="2">
        <f t="shared" si="68"/>
        <v>-6</v>
      </c>
      <c r="Q840" s="2">
        <f t="shared" si="69"/>
        <v>-3</v>
      </c>
    </row>
    <row r="841" customHeight="1" spans="1:17">
      <c r="A841" s="2">
        <v>2026</v>
      </c>
      <c r="B841" s="2">
        <v>840</v>
      </c>
      <c r="C841" s="17">
        <f t="shared" si="67"/>
        <v>61.6</v>
      </c>
      <c r="D841" s="2" t="s">
        <v>1245</v>
      </c>
      <c r="E841" s="12">
        <v>63</v>
      </c>
      <c r="F841" s="12">
        <v>66</v>
      </c>
      <c r="G841" s="2">
        <v>53</v>
      </c>
      <c r="H841" s="2" t="s">
        <v>54</v>
      </c>
      <c r="I841" s="2" t="s">
        <v>63</v>
      </c>
      <c r="J841" s="4" t="s">
        <v>38</v>
      </c>
      <c r="M841" s="2">
        <f t="shared" si="65"/>
        <v>45</v>
      </c>
      <c r="N841" s="2">
        <f t="shared" si="66"/>
        <v>62.6</v>
      </c>
      <c r="O841" s="2">
        <f>IF(M841="","",IF(M841&gt;=1000,95,IF(M841&lt;=12.5,50,LOOKUP(M841,{12.5,15,20,30,45,60,75,105,115,150,200,225,250,600,1000},{50,55,60,62,65,68,70,72,75,80,82,85,87,90,95})+(M841-LOOKUP(M841,{12.5,15,20,30,45,60,75,105,115,150,200,225,250,600},{12.5,15,20,30,45,60,75,105,115,150,200,225,250,600}))/(LOOKUP(M841,{12.5,15,20,30,45,60,75,105,115,150,200,225,250,600,1000},{15,20,30,45,60,75,105,115,150,200,225,250,600,1000,1000})-LOOKUP(M841,{12.5,15,20,30,45,60,75,105,115,150,200,225,250,600},{12.5,15,20,30,45,60,75,105,115,150,200,225,250,600}))*(LOOKUP(M841,{12.5,15,20,30,45,60,75,105,115,150,200,225,250,600,1000},{55,60,62,65,68,70,72,75,80,82,85,87,90,95,95})-LOOKUP(M841,{12.5,15,20,30,45,60,75,105,115,150,200,225,250,600,1000},{50,55,60,62,65,68,70,72,75,80,82,85,87,90,95})))))</f>
        <v>65</v>
      </c>
      <c r="P841" s="2">
        <f t="shared" si="68"/>
        <v>-2</v>
      </c>
      <c r="Q841" s="2">
        <f t="shared" si="69"/>
        <v>-1</v>
      </c>
    </row>
    <row r="842" customHeight="1" spans="1:17">
      <c r="B842" s="2">
        <v>841</v>
      </c>
      <c r="C842" s="17">
        <f t="shared" si="67"/>
        <v>61.6</v>
      </c>
      <c r="D842" s="2" t="s">
        <v>1246</v>
      </c>
      <c r="E842" s="12">
        <v>65</v>
      </c>
      <c r="F842" s="12">
        <v>60</v>
      </c>
      <c r="G842" s="12">
        <v>66</v>
      </c>
      <c r="H842" s="2" t="s">
        <v>37</v>
      </c>
      <c r="I842" s="2" t="s">
        <v>803</v>
      </c>
      <c r="J842" s="4" t="s">
        <v>24</v>
      </c>
      <c r="M842" s="2">
        <f t="shared" si="65"/>
        <v>75</v>
      </c>
      <c r="N842" s="2">
        <f t="shared" si="66"/>
        <v>64.1</v>
      </c>
      <c r="O842" s="2">
        <f>IF(M842="","",IF(M842&gt;=1000,95,IF(M842&lt;=12.5,50,LOOKUP(M842,{12.5,15,20,30,45,60,75,105,115,150,200,225,250,600,1000},{50,55,60,62,65,68,70,72,75,80,82,85,87,90,95})+(M842-LOOKUP(M842,{12.5,15,20,30,45,60,75,105,115,150,200,225,250,600},{12.5,15,20,30,45,60,75,105,115,150,200,225,250,600}))/(LOOKUP(M842,{12.5,15,20,30,45,60,75,105,115,150,200,225,250,600,1000},{15,20,30,45,60,75,105,115,150,200,225,250,600,1000,1000})-LOOKUP(M842,{12.5,15,20,30,45,60,75,105,115,150,200,225,250,600},{12.5,15,20,30,45,60,75,105,115,150,200,225,250,600}))*(LOOKUP(M842,{12.5,15,20,30,45,60,75,105,115,150,200,225,250,600,1000},{55,60,62,65,68,70,72,75,80,82,85,87,90,95,95})-LOOKUP(M842,{12.5,15,20,30,45,60,75,105,115,150,200,225,250,600,1000},{50,55,60,62,65,68,70,72,75,80,82,85,87,90,95})))))</f>
        <v>70</v>
      </c>
      <c r="P842" s="2">
        <f t="shared" si="68"/>
        <v>-5</v>
      </c>
      <c r="Q842" s="2">
        <f t="shared" si="69"/>
        <v>-2.5</v>
      </c>
    </row>
    <row r="843" customHeight="1" spans="1:17">
      <c r="B843" s="2">
        <v>842</v>
      </c>
      <c r="C843" s="17">
        <f t="shared" si="67"/>
        <v>61.6</v>
      </c>
      <c r="D843" s="2" t="s">
        <v>1247</v>
      </c>
      <c r="E843" s="12">
        <v>68</v>
      </c>
      <c r="F843" s="12">
        <v>65</v>
      </c>
      <c r="G843" s="2">
        <v>45</v>
      </c>
      <c r="H843" s="2" t="s">
        <v>91</v>
      </c>
      <c r="I843" s="2" t="s">
        <v>612</v>
      </c>
      <c r="J843" s="4" t="s">
        <v>148</v>
      </c>
      <c r="K843" s="2" t="s">
        <v>1248</v>
      </c>
      <c r="M843" s="2">
        <f t="shared" si="65"/>
        <v>115</v>
      </c>
      <c r="N843" s="2">
        <f t="shared" si="66"/>
        <v>65.1</v>
      </c>
      <c r="O843" s="2">
        <f>IF(M843="","",IF(M843&gt;=1000,95,IF(M843&lt;=12.5,50,LOOKUP(M843,{12.5,15,20,30,45,60,75,105,115,150,200,225,250,600,1000},{50,55,60,62,65,68,70,72,75,80,82,85,87,90,95})+(M843-LOOKUP(M843,{12.5,15,20,30,45,60,75,105,115,150,200,225,250,600},{12.5,15,20,30,45,60,75,105,115,150,200,225,250,600}))/(LOOKUP(M843,{12.5,15,20,30,45,60,75,105,115,150,200,225,250,600,1000},{15,20,30,45,60,75,105,115,150,200,225,250,600,1000,1000})-LOOKUP(M843,{12.5,15,20,30,45,60,75,105,115,150,200,225,250,600},{12.5,15,20,30,45,60,75,105,115,150,200,225,250,600}))*(LOOKUP(M843,{12.5,15,20,30,45,60,75,105,115,150,200,225,250,600,1000},{55,60,62,65,68,70,72,75,80,82,85,87,90,95,95})-LOOKUP(M843,{12.5,15,20,30,45,60,75,105,115,150,200,225,250,600,1000},{50,55,60,62,65,68,70,72,75,80,82,85,87,90,95})))))</f>
        <v>75</v>
      </c>
      <c r="P843" s="2">
        <f t="shared" si="68"/>
        <v>-7</v>
      </c>
      <c r="Q843" s="2">
        <f t="shared" si="69"/>
        <v>-3.5</v>
      </c>
    </row>
    <row r="844" customHeight="1" spans="1:17">
      <c r="B844" s="2">
        <v>843</v>
      </c>
      <c r="C844" s="17">
        <f t="shared" si="67"/>
        <v>61.6</v>
      </c>
      <c r="D844" s="2" t="s">
        <v>1249</v>
      </c>
      <c r="E844" s="12">
        <v>65</v>
      </c>
      <c r="F844" s="2">
        <v>58</v>
      </c>
      <c r="G844" s="2">
        <v>45</v>
      </c>
      <c r="H844" s="2" t="s">
        <v>41</v>
      </c>
      <c r="I844" s="2" t="s">
        <v>128</v>
      </c>
      <c r="J844" s="4" t="s">
        <v>38</v>
      </c>
      <c r="M844" s="2">
        <f t="shared" si="65"/>
        <v>45</v>
      </c>
      <c r="N844" s="2">
        <f t="shared" si="66"/>
        <v>61.6</v>
      </c>
      <c r="O844" s="2">
        <f>IF(M844="","",IF(M844&gt;=1000,95,IF(M844&lt;=12.5,50,LOOKUP(M844,{12.5,15,20,30,45,60,75,105,115,150,200,225,250,600,1000},{50,55,60,62,65,68,70,72,75,80,82,85,87,90,95})+(M844-LOOKUP(M844,{12.5,15,20,30,45,60,75,105,115,150,200,225,250,600},{12.5,15,20,30,45,60,75,105,115,150,200,225,250,600}))/(LOOKUP(M844,{12.5,15,20,30,45,60,75,105,115,150,200,225,250,600,1000},{15,20,30,45,60,75,105,115,150,200,225,250,600,1000,1000})-LOOKUP(M844,{12.5,15,20,30,45,60,75,105,115,150,200,225,250,600},{12.5,15,20,30,45,60,75,105,115,150,200,225,250,600}))*(LOOKUP(M844,{12.5,15,20,30,45,60,75,105,115,150,200,225,250,600,1000},{55,60,62,65,68,70,72,75,80,82,85,87,90,95,95})-LOOKUP(M844,{12.5,15,20,30,45,60,75,105,115,150,200,225,250,600,1000},{50,55,60,62,65,68,70,72,75,80,82,85,87,90,95})))))</f>
        <v>65</v>
      </c>
      <c r="P844" s="2">
        <f t="shared" si="68"/>
        <v>0</v>
      </c>
      <c r="Q844" s="2">
        <f t="shared" si="69"/>
        <v>0</v>
      </c>
    </row>
    <row r="845" customHeight="1" spans="1:17">
      <c r="B845" s="2">
        <v>844</v>
      </c>
      <c r="C845" s="17">
        <f t="shared" si="67"/>
        <v>61.6</v>
      </c>
      <c r="D845" s="2" t="s">
        <v>1250</v>
      </c>
      <c r="E845" s="12">
        <v>68</v>
      </c>
      <c r="F845" s="12">
        <v>60</v>
      </c>
      <c r="G845" s="2">
        <v>40</v>
      </c>
      <c r="H845" s="2" t="s">
        <v>175</v>
      </c>
      <c r="I845" s="2" t="s">
        <v>852</v>
      </c>
      <c r="J845" s="4" t="s">
        <v>105</v>
      </c>
      <c r="M845" s="2">
        <f t="shared" si="65"/>
        <v>105</v>
      </c>
      <c r="N845" s="2">
        <f t="shared" si="66"/>
        <v>63.6</v>
      </c>
      <c r="O845" s="2">
        <f>IF(M845="","",IF(M845&gt;=1000,95,IF(M845&lt;=12.5,50,LOOKUP(M845,{12.5,15,20,30,45,60,75,105,115,150,200,225,250,600,1000},{50,55,60,62,65,68,70,72,75,80,82,85,87,90,95})+(M845-LOOKUP(M845,{12.5,15,20,30,45,60,75,105,115,150,200,225,250,600},{12.5,15,20,30,45,60,75,105,115,150,200,225,250,600}))/(LOOKUP(M845,{12.5,15,20,30,45,60,75,105,115,150,200,225,250,600,1000},{15,20,30,45,60,75,105,115,150,200,225,250,600,1000,1000})-LOOKUP(M845,{12.5,15,20,30,45,60,75,105,115,150,200,225,250,600},{12.5,15,20,30,45,60,75,105,115,150,200,225,250,600}))*(LOOKUP(M845,{12.5,15,20,30,45,60,75,105,115,150,200,225,250,600,1000},{55,60,62,65,68,70,72,75,80,82,85,87,90,95,95})-LOOKUP(M845,{12.5,15,20,30,45,60,75,105,115,150,200,225,250,600,1000},{50,55,60,62,65,68,70,72,75,80,82,85,87,90,95})))))</f>
        <v>72</v>
      </c>
      <c r="P845" s="2">
        <f t="shared" si="68"/>
        <v>-4</v>
      </c>
      <c r="Q845" s="2">
        <f t="shared" si="69"/>
        <v>-2</v>
      </c>
    </row>
    <row r="846" customHeight="1" spans="1:17">
      <c r="A846" s="2">
        <v>2026</v>
      </c>
      <c r="B846" s="2">
        <v>845</v>
      </c>
      <c r="C846" s="17">
        <f t="shared" si="67"/>
        <v>61.6</v>
      </c>
      <c r="D846" s="2" t="s">
        <v>1251</v>
      </c>
      <c r="E846" s="12">
        <v>63</v>
      </c>
      <c r="F846" s="2">
        <v>54</v>
      </c>
      <c r="G846" s="2">
        <v>27</v>
      </c>
      <c r="H846" s="2" t="s">
        <v>54</v>
      </c>
      <c r="I846" s="2" t="s">
        <v>28</v>
      </c>
      <c r="J846" s="4" t="s">
        <v>29</v>
      </c>
      <c r="M846" s="2">
        <f t="shared" si="65"/>
        <v>15</v>
      </c>
      <c r="N846" s="2">
        <f t="shared" si="66"/>
        <v>57.6</v>
      </c>
      <c r="O846" s="2">
        <f>IF(M846="","",IF(M846&gt;=1000,95,IF(M846&lt;=12.5,50,LOOKUP(M846,{12.5,15,20,30,45,60,75,105,115,150,200,225,250,600,1000},{50,55,60,62,65,68,70,72,75,80,82,85,87,90,95})+(M846-LOOKUP(M846,{12.5,15,20,30,45,60,75,105,115,150,200,225,250,600},{12.5,15,20,30,45,60,75,105,115,150,200,225,250,600}))/(LOOKUP(M846,{12.5,15,20,30,45,60,75,105,115,150,200,225,250,600,1000},{15,20,30,45,60,75,105,115,150,200,225,250,600,1000,1000})-LOOKUP(M846,{12.5,15,20,30,45,60,75,105,115,150,200,225,250,600},{12.5,15,20,30,45,60,75,105,115,150,200,225,250,600}))*(LOOKUP(M846,{12.5,15,20,30,45,60,75,105,115,150,200,225,250,600,1000},{55,60,62,65,68,70,72,75,80,82,85,87,90,95,95})-LOOKUP(M846,{12.5,15,20,30,45,60,75,105,115,150,200,225,250,600,1000},{50,55,60,62,65,68,70,72,75,80,82,85,87,90,95})))))</f>
        <v>55</v>
      </c>
      <c r="P846" s="2">
        <f t="shared" si="68"/>
        <v>8</v>
      </c>
      <c r="Q846" s="2">
        <f t="shared" si="69"/>
        <v>4</v>
      </c>
    </row>
    <row r="847" customHeight="1" spans="1:17">
      <c r="B847" s="2">
        <v>846</v>
      </c>
      <c r="C847" s="17">
        <f t="shared" si="67"/>
        <v>61.57</v>
      </c>
      <c r="D847" s="2" t="s">
        <v>1252</v>
      </c>
      <c r="E847" s="12">
        <v>64</v>
      </c>
      <c r="F847" s="9">
        <v>72</v>
      </c>
      <c r="G847" s="9">
        <v>77</v>
      </c>
      <c r="H847" s="2" t="s">
        <v>37</v>
      </c>
      <c r="I847" s="2" t="s">
        <v>435</v>
      </c>
      <c r="J847" s="4" t="s">
        <v>148</v>
      </c>
      <c r="M847" s="2">
        <f t="shared" si="65"/>
        <v>115</v>
      </c>
      <c r="N847" s="2">
        <f t="shared" si="66"/>
        <v>66.9</v>
      </c>
      <c r="O847" s="2">
        <f>IF(M847="","",IF(M847&gt;=1000,95,IF(M847&lt;=12.5,50,LOOKUP(M847,{12.5,15,20,30,45,60,75,105,115,150,200,225,250,600,1000},{50,55,60,62,65,68,70,72,75,80,82,85,87,90,95})+(M847-LOOKUP(M847,{12.5,15,20,30,45,60,75,105,115,150,200,225,250,600},{12.5,15,20,30,45,60,75,105,115,150,200,225,250,600}))/(LOOKUP(M847,{12.5,15,20,30,45,60,75,105,115,150,200,225,250,600,1000},{15,20,30,45,60,75,105,115,150,200,225,250,600,1000,1000})-LOOKUP(M847,{12.5,15,20,30,45,60,75,105,115,150,200,225,250,600},{12.5,15,20,30,45,60,75,105,115,150,200,225,250,600}))*(LOOKUP(M847,{12.5,15,20,30,45,60,75,105,115,150,200,225,250,600,1000},{55,60,62,65,68,70,72,75,80,82,85,87,90,95,95})-LOOKUP(M847,{12.5,15,20,30,45,60,75,105,115,150,200,225,250,600,1000},{50,55,60,62,65,68,70,72,75,80,82,85,87,90,95})))))</f>
        <v>75</v>
      </c>
      <c r="P847" s="2">
        <f t="shared" si="68"/>
        <v>-11</v>
      </c>
      <c r="Q847" s="2">
        <f t="shared" si="69"/>
        <v>-5.33</v>
      </c>
    </row>
    <row r="848" customHeight="1" spans="1:17">
      <c r="A848" s="2">
        <v>2026</v>
      </c>
      <c r="B848" s="2">
        <v>847</v>
      </c>
      <c r="C848" s="17">
        <f t="shared" si="67"/>
        <v>61.5</v>
      </c>
      <c r="D848" s="2" t="s">
        <v>1253</v>
      </c>
      <c r="E848" s="12">
        <v>66</v>
      </c>
      <c r="F848" s="12">
        <v>60</v>
      </c>
      <c r="G848" s="2">
        <v>53</v>
      </c>
      <c r="H848" s="2" t="s">
        <v>54</v>
      </c>
      <c r="I848" s="2" t="s">
        <v>104</v>
      </c>
      <c r="J848" s="4" t="s">
        <v>24</v>
      </c>
      <c r="M848" s="2">
        <f t="shared" si="65"/>
        <v>75</v>
      </c>
      <c r="N848" s="2">
        <f t="shared" si="66"/>
        <v>63.5</v>
      </c>
      <c r="O848" s="2">
        <f>IF(M848="","",IF(M848&gt;=1000,95,IF(M848&lt;=12.5,50,LOOKUP(M848,{12.5,15,20,30,45,60,75,105,115,150,200,225,250,600,1000},{50,55,60,62,65,68,70,72,75,80,82,85,87,90,95})+(M848-LOOKUP(M848,{12.5,15,20,30,45,60,75,105,115,150,200,225,250,600},{12.5,15,20,30,45,60,75,105,115,150,200,225,250,600}))/(LOOKUP(M848,{12.5,15,20,30,45,60,75,105,115,150,200,225,250,600,1000},{15,20,30,45,60,75,105,115,150,200,225,250,600,1000,1000})-LOOKUP(M848,{12.5,15,20,30,45,60,75,105,115,150,200,225,250,600},{12.5,15,20,30,45,60,75,105,115,150,200,225,250,600}))*(LOOKUP(M848,{12.5,15,20,30,45,60,75,105,115,150,200,225,250,600,1000},{55,60,62,65,68,70,72,75,80,82,85,87,90,95,95})-LOOKUP(M848,{12.5,15,20,30,45,60,75,105,115,150,200,225,250,600,1000},{50,55,60,62,65,68,70,72,75,80,82,85,87,90,95})))))</f>
        <v>70</v>
      </c>
      <c r="P848" s="2">
        <f t="shared" si="68"/>
        <v>-4</v>
      </c>
      <c r="Q848" s="2">
        <f t="shared" si="69"/>
        <v>-2</v>
      </c>
    </row>
    <row r="849" customHeight="1" spans="1:17">
      <c r="A849" s="2">
        <v>2026</v>
      </c>
      <c r="B849" s="2">
        <v>848</v>
      </c>
      <c r="C849" s="17">
        <f t="shared" si="67"/>
        <v>61.5</v>
      </c>
      <c r="D849" s="2" t="s">
        <v>1254</v>
      </c>
      <c r="E849" s="2">
        <v>63</v>
      </c>
      <c r="F849" s="2">
        <v>53</v>
      </c>
      <c r="G849" s="2">
        <v>53</v>
      </c>
      <c r="H849" s="2" t="s">
        <v>37</v>
      </c>
      <c r="I849" s="2" t="s">
        <v>28</v>
      </c>
      <c r="J849" s="4" t="s">
        <v>140</v>
      </c>
      <c r="M849" s="2">
        <f t="shared" si="65"/>
        <v>20</v>
      </c>
      <c r="N849" s="2">
        <f t="shared" si="66"/>
        <v>60</v>
      </c>
      <c r="O849" s="2">
        <f>IF(M849="","",IF(M849&gt;=1000,95,IF(M849&lt;=12.5,50,LOOKUP(M849,{12.5,15,20,30,45,60,75,105,115,150,200,225,250,600,1000},{50,55,60,62,65,68,70,72,75,80,82,85,87,90,95})+(M849-LOOKUP(M849,{12.5,15,20,30,45,60,75,105,115,150,200,225,250,600},{12.5,15,20,30,45,60,75,105,115,150,200,225,250,600}))/(LOOKUP(M849,{12.5,15,20,30,45,60,75,105,115,150,200,225,250,600,1000},{15,20,30,45,60,75,105,115,150,200,225,250,600,1000,1000})-LOOKUP(M849,{12.5,15,20,30,45,60,75,105,115,150,200,225,250,600},{12.5,15,20,30,45,60,75,105,115,150,200,225,250,600}))*(LOOKUP(M849,{12.5,15,20,30,45,60,75,105,115,150,200,225,250,600,1000},{55,60,62,65,68,70,72,75,80,82,85,87,90,95,95})-LOOKUP(M849,{12.5,15,20,30,45,60,75,105,115,150,200,225,250,600,1000},{50,55,60,62,65,68,70,72,75,80,82,85,87,90,95})))))</f>
        <v>60</v>
      </c>
      <c r="P849" s="2">
        <f t="shared" si="68"/>
        <v>3</v>
      </c>
      <c r="Q849" s="2">
        <f t="shared" si="69"/>
        <v>1.5</v>
      </c>
    </row>
    <row r="850" customHeight="1" spans="1:17">
      <c r="A850" s="2">
        <v>2026</v>
      </c>
      <c r="B850" s="2">
        <v>849</v>
      </c>
      <c r="C850" s="17">
        <f t="shared" si="67"/>
        <v>61.5</v>
      </c>
      <c r="D850" s="2" t="s">
        <v>1255</v>
      </c>
      <c r="E850" s="12">
        <v>65</v>
      </c>
      <c r="F850" s="12">
        <v>65</v>
      </c>
      <c r="G850" s="12">
        <v>65</v>
      </c>
      <c r="H850" s="2" t="s">
        <v>1256</v>
      </c>
      <c r="I850" s="2" t="s">
        <v>33</v>
      </c>
      <c r="J850" s="4" t="s">
        <v>105</v>
      </c>
      <c r="M850" s="2">
        <f t="shared" si="65"/>
        <v>105</v>
      </c>
      <c r="N850" s="2">
        <f t="shared" si="66"/>
        <v>65</v>
      </c>
      <c r="O850" s="2">
        <f>IF(M850="","",IF(M850&gt;=1000,95,IF(M850&lt;=12.5,50,LOOKUP(M850,{12.5,15,20,30,45,60,75,105,115,150,200,225,250,600,1000},{50,55,60,62,65,68,70,72,75,80,82,85,87,90,95})+(M850-LOOKUP(M850,{12.5,15,20,30,45,60,75,105,115,150,200,225,250,600},{12.5,15,20,30,45,60,75,105,115,150,200,225,250,600}))/(LOOKUP(M850,{12.5,15,20,30,45,60,75,105,115,150,200,225,250,600,1000},{15,20,30,45,60,75,105,115,150,200,225,250,600,1000,1000})-LOOKUP(M850,{12.5,15,20,30,45,60,75,105,115,150,200,225,250,600},{12.5,15,20,30,45,60,75,105,115,150,200,225,250,600}))*(LOOKUP(M850,{12.5,15,20,30,45,60,75,105,115,150,200,225,250,600,1000},{55,60,62,65,68,70,72,75,80,82,85,87,90,95,95})-LOOKUP(M850,{12.5,15,20,30,45,60,75,105,115,150,200,225,250,600,1000},{50,55,60,62,65,68,70,72,75,80,82,85,87,90,95})))))</f>
        <v>72</v>
      </c>
      <c r="P850" s="2">
        <f t="shared" si="68"/>
        <v>-7</v>
      </c>
      <c r="Q850" s="2">
        <f t="shared" si="69"/>
        <v>-3.5</v>
      </c>
    </row>
    <row r="851" customHeight="1" spans="1:17">
      <c r="B851" s="2">
        <v>850</v>
      </c>
      <c r="C851" s="17">
        <f t="shared" si="67"/>
        <v>61.5</v>
      </c>
      <c r="D851" s="2" t="s">
        <v>1257</v>
      </c>
      <c r="E851" s="12">
        <v>65</v>
      </c>
      <c r="F851" s="12">
        <v>60</v>
      </c>
      <c r="G851" s="12">
        <v>65</v>
      </c>
      <c r="H851" s="2" t="s">
        <v>66</v>
      </c>
      <c r="I851" s="2" t="s">
        <v>63</v>
      </c>
      <c r="J851" s="4" t="s">
        <v>24</v>
      </c>
      <c r="M851" s="2">
        <f t="shared" si="65"/>
        <v>75</v>
      </c>
      <c r="N851" s="2">
        <f t="shared" si="66"/>
        <v>64</v>
      </c>
      <c r="O851" s="2">
        <f>IF(M851="","",IF(M851&gt;=1000,95,IF(M851&lt;=12.5,50,LOOKUP(M851,{12.5,15,20,30,45,60,75,105,115,150,200,225,250,600,1000},{50,55,60,62,65,68,70,72,75,80,82,85,87,90,95})+(M851-LOOKUP(M851,{12.5,15,20,30,45,60,75,105,115,150,200,225,250,600},{12.5,15,20,30,45,60,75,105,115,150,200,225,250,600}))/(LOOKUP(M851,{12.5,15,20,30,45,60,75,105,115,150,200,225,250,600,1000},{15,20,30,45,60,75,105,115,150,200,225,250,600,1000,1000})-LOOKUP(M851,{12.5,15,20,30,45,60,75,105,115,150,200,225,250,600},{12.5,15,20,30,45,60,75,105,115,150,200,225,250,600}))*(LOOKUP(M851,{12.5,15,20,30,45,60,75,105,115,150,200,225,250,600,1000},{55,60,62,65,68,70,72,75,80,82,85,87,90,95,95})-LOOKUP(M851,{12.5,15,20,30,45,60,75,105,115,150,200,225,250,600,1000},{50,55,60,62,65,68,70,72,75,80,82,85,87,90,95})))))</f>
        <v>70</v>
      </c>
      <c r="P851" s="2">
        <f t="shared" si="68"/>
        <v>-5</v>
      </c>
      <c r="Q851" s="2">
        <f t="shared" si="69"/>
        <v>-2.5</v>
      </c>
    </row>
    <row r="852" customHeight="1" spans="1:17">
      <c r="B852" s="2">
        <v>851</v>
      </c>
      <c r="C852" s="17">
        <f t="shared" si="67"/>
        <v>61.5</v>
      </c>
      <c r="D852" s="2" t="s">
        <v>1258</v>
      </c>
      <c r="E852" s="12">
        <v>66</v>
      </c>
      <c r="F852" s="12">
        <v>60</v>
      </c>
      <c r="G852" s="2">
        <v>53</v>
      </c>
      <c r="H852" s="2" t="s">
        <v>1000</v>
      </c>
      <c r="I852" s="2" t="s">
        <v>33</v>
      </c>
      <c r="J852" s="4" t="s">
        <v>24</v>
      </c>
      <c r="M852" s="2">
        <f t="shared" si="65"/>
        <v>75</v>
      </c>
      <c r="N852" s="2">
        <f t="shared" si="66"/>
        <v>63.5</v>
      </c>
      <c r="O852" s="2">
        <f>IF(M852="","",IF(M852&gt;=1000,95,IF(M852&lt;=12.5,50,LOOKUP(M852,{12.5,15,20,30,45,60,75,105,115,150,200,225,250,600,1000},{50,55,60,62,65,68,70,72,75,80,82,85,87,90,95})+(M852-LOOKUP(M852,{12.5,15,20,30,45,60,75,105,115,150,200,225,250,600},{12.5,15,20,30,45,60,75,105,115,150,200,225,250,600}))/(LOOKUP(M852,{12.5,15,20,30,45,60,75,105,115,150,200,225,250,600,1000},{15,20,30,45,60,75,105,115,150,200,225,250,600,1000,1000})-LOOKUP(M852,{12.5,15,20,30,45,60,75,105,115,150,200,225,250,600},{12.5,15,20,30,45,60,75,105,115,150,200,225,250,600}))*(LOOKUP(M852,{12.5,15,20,30,45,60,75,105,115,150,200,225,250,600,1000},{55,60,62,65,68,70,72,75,80,82,85,87,90,95,95})-LOOKUP(M852,{12.5,15,20,30,45,60,75,105,115,150,200,225,250,600,1000},{50,55,60,62,65,68,70,72,75,80,82,85,87,90,95})))))</f>
        <v>70</v>
      </c>
      <c r="P852" s="2">
        <f t="shared" si="68"/>
        <v>-4</v>
      </c>
      <c r="Q852" s="2">
        <f t="shared" si="69"/>
        <v>-2</v>
      </c>
    </row>
    <row r="853" customHeight="1" spans="1:17">
      <c r="A853" s="2">
        <v>2026</v>
      </c>
      <c r="B853" s="2">
        <v>852</v>
      </c>
      <c r="C853" s="17">
        <f t="shared" si="67"/>
        <v>61.5</v>
      </c>
      <c r="D853" s="2" t="s">
        <v>1259</v>
      </c>
      <c r="E853" s="12">
        <v>66</v>
      </c>
      <c r="F853" s="2">
        <v>55</v>
      </c>
      <c r="G853" s="2">
        <v>53</v>
      </c>
      <c r="H853" s="2" t="s">
        <v>41</v>
      </c>
      <c r="I853" s="2" t="s">
        <v>63</v>
      </c>
      <c r="J853" s="4" t="s">
        <v>34</v>
      </c>
      <c r="M853" s="2">
        <f t="shared" si="65"/>
        <v>60</v>
      </c>
      <c r="N853" s="2">
        <f t="shared" si="66"/>
        <v>62.5</v>
      </c>
      <c r="O853" s="2">
        <f>IF(M853="","",IF(M853&gt;=1000,95,IF(M853&lt;=12.5,50,LOOKUP(M853,{12.5,15,20,30,45,60,75,105,115,150,200,225,250,600,1000},{50,55,60,62,65,68,70,72,75,80,82,85,87,90,95})+(M853-LOOKUP(M853,{12.5,15,20,30,45,60,75,105,115,150,200,225,250,600},{12.5,15,20,30,45,60,75,105,115,150,200,225,250,600}))/(LOOKUP(M853,{12.5,15,20,30,45,60,75,105,115,150,200,225,250,600,1000},{15,20,30,45,60,75,105,115,150,200,225,250,600,1000,1000})-LOOKUP(M853,{12.5,15,20,30,45,60,75,105,115,150,200,225,250,600},{12.5,15,20,30,45,60,75,105,115,150,200,225,250,600}))*(LOOKUP(M853,{12.5,15,20,30,45,60,75,105,115,150,200,225,250,600,1000},{55,60,62,65,68,70,72,75,80,82,85,87,90,95,95})-LOOKUP(M853,{12.5,15,20,30,45,60,75,105,115,150,200,225,250,600,1000},{50,55,60,62,65,68,70,72,75,80,82,85,87,90,95})))))</f>
        <v>68</v>
      </c>
      <c r="P853" s="2">
        <f t="shared" si="68"/>
        <v>-2</v>
      </c>
      <c r="Q853" s="2">
        <f t="shared" si="69"/>
        <v>-1</v>
      </c>
    </row>
    <row r="854" customHeight="1" spans="1:17">
      <c r="B854" s="2">
        <v>853</v>
      </c>
      <c r="C854" s="17">
        <f t="shared" si="67"/>
        <v>61.5</v>
      </c>
      <c r="D854" s="2" t="s">
        <v>1260</v>
      </c>
      <c r="E854" s="12">
        <v>65</v>
      </c>
      <c r="F854" s="2">
        <v>55</v>
      </c>
      <c r="G854" s="2">
        <v>50</v>
      </c>
      <c r="H854" s="2" t="s">
        <v>41</v>
      </c>
      <c r="I854" s="2" t="s">
        <v>63</v>
      </c>
      <c r="J854" s="4" t="s">
        <v>38</v>
      </c>
      <c r="M854" s="2">
        <f t="shared" si="65"/>
        <v>45</v>
      </c>
      <c r="N854" s="2">
        <f t="shared" si="66"/>
        <v>61.5</v>
      </c>
      <c r="O854" s="2">
        <f>IF(M854="","",IF(M854&gt;=1000,95,IF(M854&lt;=12.5,50,LOOKUP(M854,{12.5,15,20,30,45,60,75,105,115,150,200,225,250,600,1000},{50,55,60,62,65,68,70,72,75,80,82,85,87,90,95})+(M854-LOOKUP(M854,{12.5,15,20,30,45,60,75,105,115,150,200,225,250,600},{12.5,15,20,30,45,60,75,105,115,150,200,225,250,600}))/(LOOKUP(M854,{12.5,15,20,30,45,60,75,105,115,150,200,225,250,600,1000},{15,20,30,45,60,75,105,115,150,200,225,250,600,1000,1000})-LOOKUP(M854,{12.5,15,20,30,45,60,75,105,115,150,200,225,250,600},{12.5,15,20,30,45,60,75,105,115,150,200,225,250,600}))*(LOOKUP(M854,{12.5,15,20,30,45,60,75,105,115,150,200,225,250,600,1000},{55,60,62,65,68,70,72,75,80,82,85,87,90,95,95})-LOOKUP(M854,{12.5,15,20,30,45,60,75,105,115,150,200,225,250,600,1000},{50,55,60,62,65,68,70,72,75,80,82,85,87,90,95})))))</f>
        <v>65</v>
      </c>
      <c r="P854" s="2">
        <f t="shared" si="68"/>
        <v>0</v>
      </c>
      <c r="Q854" s="2">
        <f t="shared" si="69"/>
        <v>0</v>
      </c>
    </row>
    <row r="855" customHeight="1" spans="1:17">
      <c r="B855" s="2">
        <v>854</v>
      </c>
      <c r="C855" s="17">
        <f t="shared" si="67"/>
        <v>61.47</v>
      </c>
      <c r="D855" s="2" t="s">
        <v>1261</v>
      </c>
      <c r="E855" s="12">
        <v>69</v>
      </c>
      <c r="F855" s="12">
        <v>60</v>
      </c>
      <c r="G855" s="12">
        <v>65</v>
      </c>
      <c r="H855" s="2" t="s">
        <v>244</v>
      </c>
      <c r="I855" s="2" t="s">
        <v>23</v>
      </c>
      <c r="J855" s="4" t="s">
        <v>59</v>
      </c>
      <c r="M855" s="2">
        <f t="shared" si="65"/>
        <v>150</v>
      </c>
      <c r="N855" s="2">
        <f t="shared" si="66"/>
        <v>66.8</v>
      </c>
      <c r="O855" s="2">
        <f>IF(M855="","",IF(M855&gt;=1000,95,IF(M855&lt;=12.5,50,LOOKUP(M855,{12.5,15,20,30,45,60,75,105,115,150,200,225,250,600,1000},{50,55,60,62,65,68,70,72,75,80,82,85,87,90,95})+(M855-LOOKUP(M855,{12.5,15,20,30,45,60,75,105,115,150,200,225,250,600},{12.5,15,20,30,45,60,75,105,115,150,200,225,250,600}))/(LOOKUP(M855,{12.5,15,20,30,45,60,75,105,115,150,200,225,250,600,1000},{15,20,30,45,60,75,105,115,150,200,225,250,600,1000,1000})-LOOKUP(M855,{12.5,15,20,30,45,60,75,105,115,150,200,225,250,600},{12.5,15,20,30,45,60,75,105,115,150,200,225,250,600}))*(LOOKUP(M855,{12.5,15,20,30,45,60,75,105,115,150,200,225,250,600,1000},{55,60,62,65,68,70,72,75,80,82,85,87,90,95,95})-LOOKUP(M855,{12.5,15,20,30,45,60,75,105,115,150,200,225,250,600,1000},{50,55,60,62,65,68,70,72,75,80,82,85,87,90,95})))))</f>
        <v>80</v>
      </c>
      <c r="P855" s="2">
        <f t="shared" si="68"/>
        <v>-11</v>
      </c>
      <c r="Q855" s="2">
        <f t="shared" si="69"/>
        <v>-5.33</v>
      </c>
    </row>
    <row r="856" customHeight="1" spans="1:17">
      <c r="B856" s="2">
        <v>855</v>
      </c>
      <c r="C856" s="17">
        <f t="shared" si="67"/>
        <v>61.43</v>
      </c>
      <c r="D856" s="2" t="s">
        <v>1262</v>
      </c>
      <c r="E856" s="12">
        <v>69</v>
      </c>
      <c r="F856" s="9">
        <v>70</v>
      </c>
      <c r="G856" s="9">
        <v>78</v>
      </c>
      <c r="H856" s="2" t="s">
        <v>611</v>
      </c>
      <c r="I856" s="2" t="s">
        <v>577</v>
      </c>
      <c r="J856" s="4" t="s">
        <v>73</v>
      </c>
      <c r="M856" s="2">
        <f t="shared" si="65"/>
        <v>600</v>
      </c>
      <c r="N856" s="2">
        <f t="shared" si="66"/>
        <v>70.1</v>
      </c>
      <c r="O856" s="2">
        <f>IF(M856="","",IF(M856&gt;=1000,95,IF(M856&lt;=12.5,50,LOOKUP(M856,{12.5,15,20,30,45,60,75,105,115,150,200,225,250,600,1000},{50,55,60,62,65,68,70,72,75,80,82,85,87,90,95})+(M856-LOOKUP(M856,{12.5,15,20,30,45,60,75,105,115,150,200,225,250,600},{12.5,15,20,30,45,60,75,105,115,150,200,225,250,600}))/(LOOKUP(M856,{12.5,15,20,30,45,60,75,105,115,150,200,225,250,600,1000},{15,20,30,45,60,75,105,115,150,200,225,250,600,1000,1000})-LOOKUP(M856,{12.5,15,20,30,45,60,75,105,115,150,200,225,250,600},{12.5,15,20,30,45,60,75,105,115,150,200,225,250,600}))*(LOOKUP(M856,{12.5,15,20,30,45,60,75,105,115,150,200,225,250,600,1000},{55,60,62,65,68,70,72,75,80,82,85,87,90,95,95})-LOOKUP(M856,{12.5,15,20,30,45,60,75,105,115,150,200,225,250,600,1000},{50,55,60,62,65,68,70,72,75,80,82,85,87,90,95})))))</f>
        <v>90</v>
      </c>
      <c r="P856" s="2">
        <f t="shared" si="68"/>
        <v>-21</v>
      </c>
      <c r="Q856" s="2">
        <f t="shared" si="69"/>
        <v>-8.67</v>
      </c>
    </row>
    <row r="857" customHeight="1" spans="1:17">
      <c r="B857" s="2">
        <v>856</v>
      </c>
      <c r="C857" s="17">
        <f t="shared" si="67"/>
        <v>61.4</v>
      </c>
      <c r="D857" s="2" t="s">
        <v>1263</v>
      </c>
      <c r="E857" s="12">
        <v>66</v>
      </c>
      <c r="F857" s="12">
        <v>67</v>
      </c>
      <c r="G857" s="12">
        <v>63</v>
      </c>
      <c r="H857" s="2" t="s">
        <v>1264</v>
      </c>
      <c r="I857" s="2" t="s">
        <v>28</v>
      </c>
      <c r="J857" s="4" t="s">
        <v>148</v>
      </c>
      <c r="M857" s="2">
        <f t="shared" si="65"/>
        <v>115</v>
      </c>
      <c r="N857" s="2">
        <f t="shared" si="66"/>
        <v>65.9</v>
      </c>
      <c r="O857" s="2">
        <f>IF(M857="","",IF(M857&gt;=1000,95,IF(M857&lt;=12.5,50,LOOKUP(M857,{12.5,15,20,30,45,60,75,105,115,150,200,225,250,600,1000},{50,55,60,62,65,68,70,72,75,80,82,85,87,90,95})+(M857-LOOKUP(M857,{12.5,15,20,30,45,60,75,105,115,150,200,225,250,600},{12.5,15,20,30,45,60,75,105,115,150,200,225,250,600}))/(LOOKUP(M857,{12.5,15,20,30,45,60,75,105,115,150,200,225,250,600,1000},{15,20,30,45,60,75,105,115,150,200,225,250,600,1000,1000})-LOOKUP(M857,{12.5,15,20,30,45,60,75,105,115,150,200,225,250,600},{12.5,15,20,30,45,60,75,105,115,150,200,225,250,600}))*(LOOKUP(M857,{12.5,15,20,30,45,60,75,105,115,150,200,225,250,600,1000},{55,60,62,65,68,70,72,75,80,82,85,87,90,95,95})-LOOKUP(M857,{12.5,15,20,30,45,60,75,105,115,150,200,225,250,600,1000},{50,55,60,62,65,68,70,72,75,80,82,85,87,90,95})))))</f>
        <v>75</v>
      </c>
      <c r="P857" s="2">
        <f t="shared" si="68"/>
        <v>-9</v>
      </c>
      <c r="Q857" s="2">
        <f t="shared" si="69"/>
        <v>-4.5</v>
      </c>
    </row>
    <row r="858" customHeight="1" spans="1:17">
      <c r="A858" s="2">
        <v>2026</v>
      </c>
      <c r="B858" s="2">
        <v>857</v>
      </c>
      <c r="C858" s="17">
        <f t="shared" si="67"/>
        <v>61.4</v>
      </c>
      <c r="D858" s="2" t="s">
        <v>1265</v>
      </c>
      <c r="E858" s="12">
        <v>62</v>
      </c>
      <c r="F858" s="12">
        <v>65</v>
      </c>
      <c r="G858" s="2">
        <v>50</v>
      </c>
      <c r="H858" s="2" t="s">
        <v>54</v>
      </c>
      <c r="I858" s="2" t="s">
        <v>63</v>
      </c>
      <c r="J858" s="4" t="s">
        <v>88</v>
      </c>
      <c r="M858" s="2">
        <f t="shared" si="65"/>
        <v>30</v>
      </c>
      <c r="N858" s="2">
        <f t="shared" si="66"/>
        <v>61.4</v>
      </c>
      <c r="O858" s="2">
        <f>IF(M858="","",IF(M858&gt;=1000,95,IF(M858&lt;=12.5,50,LOOKUP(M858,{12.5,15,20,30,45,60,75,105,115,150,200,225,250,600,1000},{50,55,60,62,65,68,70,72,75,80,82,85,87,90,95})+(M858-LOOKUP(M858,{12.5,15,20,30,45,60,75,105,115,150,200,225,250,600},{12.5,15,20,30,45,60,75,105,115,150,200,225,250,600}))/(LOOKUP(M858,{12.5,15,20,30,45,60,75,105,115,150,200,225,250,600,1000},{15,20,30,45,60,75,105,115,150,200,225,250,600,1000,1000})-LOOKUP(M858,{12.5,15,20,30,45,60,75,105,115,150,200,225,250,600},{12.5,15,20,30,45,60,75,105,115,150,200,225,250,600}))*(LOOKUP(M858,{12.5,15,20,30,45,60,75,105,115,150,200,225,250,600,1000},{55,60,62,65,68,70,72,75,80,82,85,87,90,95,95})-LOOKUP(M858,{12.5,15,20,30,45,60,75,105,115,150,200,225,250,600,1000},{50,55,60,62,65,68,70,72,75,80,82,85,87,90,95})))))</f>
        <v>62</v>
      </c>
      <c r="P858" s="2">
        <f t="shared" si="68"/>
        <v>0</v>
      </c>
      <c r="Q858" s="2">
        <f t="shared" si="69"/>
        <v>0</v>
      </c>
    </row>
    <row r="859" customHeight="1" spans="1:17">
      <c r="B859" s="2">
        <v>858</v>
      </c>
      <c r="C859" s="17">
        <f t="shared" si="67"/>
        <v>61.4</v>
      </c>
      <c r="D859" s="2" t="s">
        <v>1266</v>
      </c>
      <c r="E859" s="12">
        <v>67</v>
      </c>
      <c r="F859" s="2">
        <v>55</v>
      </c>
      <c r="G859" s="12">
        <v>60</v>
      </c>
      <c r="H859" s="2" t="s">
        <v>175</v>
      </c>
      <c r="I859" s="2" t="s">
        <v>28</v>
      </c>
      <c r="J859" s="4" t="s">
        <v>105</v>
      </c>
      <c r="M859" s="2">
        <f t="shared" si="65"/>
        <v>105</v>
      </c>
      <c r="N859" s="2">
        <f t="shared" si="66"/>
        <v>63.9</v>
      </c>
      <c r="O859" s="2">
        <f>IF(M859="","",IF(M859&gt;=1000,95,IF(M859&lt;=12.5,50,LOOKUP(M859,{12.5,15,20,30,45,60,75,105,115,150,200,225,250,600,1000},{50,55,60,62,65,68,70,72,75,80,82,85,87,90,95})+(M859-LOOKUP(M859,{12.5,15,20,30,45,60,75,105,115,150,200,225,250,600},{12.5,15,20,30,45,60,75,105,115,150,200,225,250,600}))/(LOOKUP(M859,{12.5,15,20,30,45,60,75,105,115,150,200,225,250,600,1000},{15,20,30,45,60,75,105,115,150,200,225,250,600,1000,1000})-LOOKUP(M859,{12.5,15,20,30,45,60,75,105,115,150,200,225,250,600},{12.5,15,20,30,45,60,75,105,115,150,200,225,250,600}))*(LOOKUP(M859,{12.5,15,20,30,45,60,75,105,115,150,200,225,250,600,1000},{55,60,62,65,68,70,72,75,80,82,85,87,90,95,95})-LOOKUP(M859,{12.5,15,20,30,45,60,75,105,115,150,200,225,250,600,1000},{50,55,60,62,65,68,70,72,75,80,82,85,87,90,95})))))</f>
        <v>72</v>
      </c>
      <c r="P859" s="2">
        <f t="shared" si="68"/>
        <v>-5</v>
      </c>
      <c r="Q859" s="2">
        <f t="shared" si="69"/>
        <v>-2.5</v>
      </c>
    </row>
    <row r="860" customHeight="1" spans="1:17">
      <c r="B860" s="2">
        <v>859</v>
      </c>
      <c r="C860" s="17">
        <f t="shared" si="67"/>
        <v>61.3</v>
      </c>
      <c r="D860" s="2" t="s">
        <v>1267</v>
      </c>
      <c r="E860" s="12">
        <v>64</v>
      </c>
      <c r="F860" s="12">
        <v>68</v>
      </c>
      <c r="G860" s="12">
        <v>69</v>
      </c>
      <c r="H860" s="2" t="s">
        <v>41</v>
      </c>
      <c r="I860" s="2" t="s">
        <v>55</v>
      </c>
      <c r="J860" s="4" t="s">
        <v>105</v>
      </c>
      <c r="M860" s="2">
        <f t="shared" si="65"/>
        <v>105</v>
      </c>
      <c r="N860" s="2">
        <f t="shared" si="66"/>
        <v>65.3</v>
      </c>
      <c r="O860" s="2">
        <f>IF(M860="","",IF(M860&gt;=1000,95,IF(M860&lt;=12.5,50,LOOKUP(M860,{12.5,15,20,30,45,60,75,105,115,150,200,225,250,600,1000},{50,55,60,62,65,68,70,72,75,80,82,85,87,90,95})+(M860-LOOKUP(M860,{12.5,15,20,30,45,60,75,105,115,150,200,225,250,600},{12.5,15,20,30,45,60,75,105,115,150,200,225,250,600}))/(LOOKUP(M860,{12.5,15,20,30,45,60,75,105,115,150,200,225,250,600,1000},{15,20,30,45,60,75,105,115,150,200,225,250,600,1000,1000})-LOOKUP(M860,{12.5,15,20,30,45,60,75,105,115,150,200,225,250,600},{12.5,15,20,30,45,60,75,105,115,150,200,225,250,600}))*(LOOKUP(M860,{12.5,15,20,30,45,60,75,105,115,150,200,225,250,600,1000},{55,60,62,65,68,70,72,75,80,82,85,87,90,95,95})-LOOKUP(M860,{12.5,15,20,30,45,60,75,105,115,150,200,225,250,600,1000},{50,55,60,62,65,68,70,72,75,80,82,85,87,90,95})))))</f>
        <v>72</v>
      </c>
      <c r="P860" s="2">
        <f t="shared" si="68"/>
        <v>-8</v>
      </c>
      <c r="Q860" s="2">
        <f t="shared" si="69"/>
        <v>-4</v>
      </c>
    </row>
    <row r="861" customHeight="1" spans="1:17">
      <c r="B861" s="2">
        <v>860</v>
      </c>
      <c r="C861" s="17">
        <f t="shared" si="67"/>
        <v>61.3</v>
      </c>
      <c r="D861" s="2" t="s">
        <v>1268</v>
      </c>
      <c r="E861" s="12">
        <v>64</v>
      </c>
      <c r="F861" s="12">
        <v>65</v>
      </c>
      <c r="G861" s="2">
        <v>55</v>
      </c>
      <c r="H861" s="2" t="s">
        <v>37</v>
      </c>
      <c r="I861" s="2" t="s">
        <v>435</v>
      </c>
      <c r="J861" s="4" t="s">
        <v>34</v>
      </c>
      <c r="M861" s="2">
        <f t="shared" si="65"/>
        <v>60</v>
      </c>
      <c r="N861" s="2">
        <f t="shared" si="66"/>
        <v>63.3</v>
      </c>
      <c r="O861" s="2">
        <f>IF(M861="","",IF(M861&gt;=1000,95,IF(M861&lt;=12.5,50,LOOKUP(M861,{12.5,15,20,30,45,60,75,105,115,150,200,225,250,600,1000},{50,55,60,62,65,68,70,72,75,80,82,85,87,90,95})+(M861-LOOKUP(M861,{12.5,15,20,30,45,60,75,105,115,150,200,225,250,600},{12.5,15,20,30,45,60,75,105,115,150,200,225,250,600}))/(LOOKUP(M861,{12.5,15,20,30,45,60,75,105,115,150,200,225,250,600,1000},{15,20,30,45,60,75,105,115,150,200,225,250,600,1000,1000})-LOOKUP(M861,{12.5,15,20,30,45,60,75,105,115,150,200,225,250,600},{12.5,15,20,30,45,60,75,105,115,150,200,225,250,600}))*(LOOKUP(M861,{12.5,15,20,30,45,60,75,105,115,150,200,225,250,600,1000},{55,60,62,65,68,70,72,75,80,82,85,87,90,95,95})-LOOKUP(M861,{12.5,15,20,30,45,60,75,105,115,150,200,225,250,600,1000},{50,55,60,62,65,68,70,72,75,80,82,85,87,90,95})))))</f>
        <v>68</v>
      </c>
      <c r="P861" s="2">
        <f t="shared" si="68"/>
        <v>-4</v>
      </c>
      <c r="Q861" s="2">
        <f t="shared" si="69"/>
        <v>-2</v>
      </c>
    </row>
    <row r="862" customHeight="1" spans="1:17">
      <c r="B862" s="2">
        <v>861</v>
      </c>
      <c r="C862" s="17">
        <f t="shared" si="67"/>
        <v>61.3</v>
      </c>
      <c r="D862" s="2" t="s">
        <v>1269</v>
      </c>
      <c r="E862" s="12">
        <v>67</v>
      </c>
      <c r="F862" s="12">
        <v>63</v>
      </c>
      <c r="G862" s="2">
        <v>58</v>
      </c>
      <c r="H862" s="2" t="s">
        <v>1013</v>
      </c>
      <c r="I862" s="2" t="s">
        <v>932</v>
      </c>
      <c r="J862" s="4" t="s">
        <v>148</v>
      </c>
      <c r="M862" s="2">
        <f t="shared" si="65"/>
        <v>115</v>
      </c>
      <c r="N862" s="2">
        <f t="shared" si="66"/>
        <v>65.3</v>
      </c>
      <c r="O862" s="2">
        <f>IF(M862="","",IF(M862&gt;=1000,95,IF(M862&lt;=12.5,50,LOOKUP(M862,{12.5,15,20,30,45,60,75,105,115,150,200,225,250,600,1000},{50,55,60,62,65,68,70,72,75,80,82,85,87,90,95})+(M862-LOOKUP(M862,{12.5,15,20,30,45,60,75,105,115,150,200,225,250,600},{12.5,15,20,30,45,60,75,105,115,150,200,225,250,600}))/(LOOKUP(M862,{12.5,15,20,30,45,60,75,105,115,150,200,225,250,600,1000},{15,20,30,45,60,75,105,115,150,200,225,250,600,1000,1000})-LOOKUP(M862,{12.5,15,20,30,45,60,75,105,115,150,200,225,250,600},{12.5,15,20,30,45,60,75,105,115,150,200,225,250,600}))*(LOOKUP(M862,{12.5,15,20,30,45,60,75,105,115,150,200,225,250,600,1000},{55,60,62,65,68,70,72,75,80,82,85,87,90,95,95})-LOOKUP(M862,{12.5,15,20,30,45,60,75,105,115,150,200,225,250,600,1000},{50,55,60,62,65,68,70,72,75,80,82,85,87,90,95})))))</f>
        <v>75</v>
      </c>
      <c r="P862" s="2">
        <f t="shared" si="68"/>
        <v>-8</v>
      </c>
      <c r="Q862" s="2">
        <f t="shared" si="69"/>
        <v>-4</v>
      </c>
    </row>
    <row r="863" customHeight="1" spans="1:17">
      <c r="B863" s="2">
        <v>862</v>
      </c>
      <c r="C863" s="17">
        <f t="shared" si="67"/>
        <v>61.3</v>
      </c>
      <c r="D863" s="2" t="s">
        <v>1270</v>
      </c>
      <c r="E863" s="12">
        <v>65</v>
      </c>
      <c r="F863" s="2">
        <v>54</v>
      </c>
      <c r="G863" s="2">
        <v>50</v>
      </c>
      <c r="H863" s="2" t="s">
        <v>1000</v>
      </c>
      <c r="I863" s="2" t="s">
        <v>33</v>
      </c>
      <c r="J863" s="4" t="s">
        <v>38</v>
      </c>
      <c r="M863" s="2">
        <f t="shared" si="65"/>
        <v>45</v>
      </c>
      <c r="N863" s="2">
        <f t="shared" si="66"/>
        <v>61.3</v>
      </c>
      <c r="O863" s="2">
        <f>IF(M863="","",IF(M863&gt;=1000,95,IF(M863&lt;=12.5,50,LOOKUP(M863,{12.5,15,20,30,45,60,75,105,115,150,200,225,250,600,1000},{50,55,60,62,65,68,70,72,75,80,82,85,87,90,95})+(M863-LOOKUP(M863,{12.5,15,20,30,45,60,75,105,115,150,200,225,250,600},{12.5,15,20,30,45,60,75,105,115,150,200,225,250,600}))/(LOOKUP(M863,{12.5,15,20,30,45,60,75,105,115,150,200,225,250,600,1000},{15,20,30,45,60,75,105,115,150,200,225,250,600,1000,1000})-LOOKUP(M863,{12.5,15,20,30,45,60,75,105,115,150,200,225,250,600},{12.5,15,20,30,45,60,75,105,115,150,200,225,250,600}))*(LOOKUP(M863,{12.5,15,20,30,45,60,75,105,115,150,200,225,250,600,1000},{55,60,62,65,68,70,72,75,80,82,85,87,90,95,95})-LOOKUP(M863,{12.5,15,20,30,45,60,75,105,115,150,200,225,250,600,1000},{50,55,60,62,65,68,70,72,75,80,82,85,87,90,95})))))</f>
        <v>65</v>
      </c>
      <c r="P863" s="2">
        <f t="shared" si="68"/>
        <v>0</v>
      </c>
      <c r="Q863" s="2">
        <f t="shared" si="69"/>
        <v>0</v>
      </c>
    </row>
    <row r="864" customHeight="1" spans="1:17">
      <c r="A864" s="2">
        <v>2026</v>
      </c>
      <c r="B864" s="2">
        <v>863</v>
      </c>
      <c r="C864" s="17">
        <f t="shared" si="67"/>
        <v>61.2</v>
      </c>
      <c r="D864" s="2" t="s">
        <v>1271</v>
      </c>
      <c r="E864" s="12">
        <v>66</v>
      </c>
      <c r="F864" s="2">
        <v>57</v>
      </c>
      <c r="G864" s="2">
        <v>56</v>
      </c>
      <c r="H864" s="2" t="s">
        <v>41</v>
      </c>
      <c r="I864" s="2" t="s">
        <v>577</v>
      </c>
      <c r="J864" s="4" t="s">
        <v>24</v>
      </c>
      <c r="M864" s="2">
        <f t="shared" si="65"/>
        <v>75</v>
      </c>
      <c r="N864" s="2">
        <f t="shared" si="66"/>
        <v>63.2</v>
      </c>
      <c r="O864" s="2">
        <f>IF(M864="","",IF(M864&gt;=1000,95,IF(M864&lt;=12.5,50,LOOKUP(M864,{12.5,15,20,30,45,60,75,105,115,150,200,225,250,600,1000},{50,55,60,62,65,68,70,72,75,80,82,85,87,90,95})+(M864-LOOKUP(M864,{12.5,15,20,30,45,60,75,105,115,150,200,225,250,600},{12.5,15,20,30,45,60,75,105,115,150,200,225,250,600}))/(LOOKUP(M864,{12.5,15,20,30,45,60,75,105,115,150,200,225,250,600,1000},{15,20,30,45,60,75,105,115,150,200,225,250,600,1000,1000})-LOOKUP(M864,{12.5,15,20,30,45,60,75,105,115,150,200,225,250,600},{12.5,15,20,30,45,60,75,105,115,150,200,225,250,600}))*(LOOKUP(M864,{12.5,15,20,30,45,60,75,105,115,150,200,225,250,600,1000},{55,60,62,65,68,70,72,75,80,82,85,87,90,95,95})-LOOKUP(M864,{12.5,15,20,30,45,60,75,105,115,150,200,225,250,600,1000},{50,55,60,62,65,68,70,72,75,80,82,85,87,90,95})))))</f>
        <v>70</v>
      </c>
      <c r="P864" s="2">
        <f t="shared" si="68"/>
        <v>-4</v>
      </c>
      <c r="Q864" s="2">
        <f t="shared" si="69"/>
        <v>-2</v>
      </c>
    </row>
    <row r="865" customHeight="1" spans="1:17">
      <c r="B865" s="2">
        <v>864</v>
      </c>
      <c r="C865" s="17">
        <f t="shared" si="67"/>
        <v>61.2</v>
      </c>
      <c r="D865" s="2" t="s">
        <v>1272</v>
      </c>
      <c r="E865" s="12">
        <v>64</v>
      </c>
      <c r="F865" s="2">
        <v>53</v>
      </c>
      <c r="G865" s="2">
        <v>48</v>
      </c>
      <c r="H865" s="2" t="s">
        <v>41</v>
      </c>
      <c r="I865" s="2" t="s">
        <v>63</v>
      </c>
      <c r="J865" s="4" t="s">
        <v>88</v>
      </c>
      <c r="M865" s="2">
        <f t="shared" si="65"/>
        <v>30</v>
      </c>
      <c r="N865" s="2">
        <f t="shared" si="66"/>
        <v>60.2</v>
      </c>
      <c r="O865" s="2">
        <f>IF(M865="","",IF(M865&gt;=1000,95,IF(M865&lt;=12.5,50,LOOKUP(M865,{12.5,15,20,30,45,60,75,105,115,150,200,225,250,600,1000},{50,55,60,62,65,68,70,72,75,80,82,85,87,90,95})+(M865-LOOKUP(M865,{12.5,15,20,30,45,60,75,105,115,150,200,225,250,600},{12.5,15,20,30,45,60,75,105,115,150,200,225,250,600}))/(LOOKUP(M865,{12.5,15,20,30,45,60,75,105,115,150,200,225,250,600,1000},{15,20,30,45,60,75,105,115,150,200,225,250,600,1000,1000})-LOOKUP(M865,{12.5,15,20,30,45,60,75,105,115,150,200,225,250,600},{12.5,15,20,30,45,60,75,105,115,150,200,225,250,600}))*(LOOKUP(M865,{12.5,15,20,30,45,60,75,105,115,150,200,225,250,600,1000},{55,60,62,65,68,70,72,75,80,82,85,87,90,95,95})-LOOKUP(M865,{12.5,15,20,30,45,60,75,105,115,150,200,225,250,600,1000},{50,55,60,62,65,68,70,72,75,80,82,85,87,90,95})))))</f>
        <v>62</v>
      </c>
      <c r="P865" s="2">
        <f t="shared" si="68"/>
        <v>2</v>
      </c>
      <c r="Q865" s="2">
        <f t="shared" si="69"/>
        <v>1</v>
      </c>
    </row>
    <row r="866" customHeight="1" spans="1:17">
      <c r="B866" s="2">
        <v>865</v>
      </c>
      <c r="C866" s="17">
        <f t="shared" si="67"/>
        <v>61.2</v>
      </c>
      <c r="D866" s="2" t="s">
        <v>1273</v>
      </c>
      <c r="E866" s="9">
        <v>70</v>
      </c>
      <c r="F866" s="2">
        <v>35</v>
      </c>
      <c r="G866" s="2">
        <v>42</v>
      </c>
      <c r="H866" s="2" t="s">
        <v>991</v>
      </c>
      <c r="I866" s="2" t="s">
        <v>992</v>
      </c>
      <c r="J866" s="4" t="s">
        <v>34</v>
      </c>
      <c r="M866" s="2">
        <f t="shared" si="65"/>
        <v>60</v>
      </c>
      <c r="N866" s="2">
        <f t="shared" si="66"/>
        <v>60.2</v>
      </c>
      <c r="O866" s="2">
        <f>IF(M866="","",IF(M866&gt;=1000,95,IF(M866&lt;=12.5,50,LOOKUP(M866,{12.5,15,20,30,45,60,75,105,115,150,200,225,250,600,1000},{50,55,60,62,65,68,70,72,75,80,82,85,87,90,95})+(M866-LOOKUP(M866,{12.5,15,20,30,45,60,75,105,115,150,200,225,250,600},{12.5,15,20,30,45,60,75,105,115,150,200,225,250,600}))/(LOOKUP(M866,{12.5,15,20,30,45,60,75,105,115,150,200,225,250,600,1000},{15,20,30,45,60,75,105,115,150,200,225,250,600,1000,1000})-LOOKUP(M866,{12.5,15,20,30,45,60,75,105,115,150,200,225,250,600},{12.5,15,20,30,45,60,75,105,115,150,200,225,250,600}))*(LOOKUP(M866,{12.5,15,20,30,45,60,75,105,115,150,200,225,250,600,1000},{55,60,62,65,68,70,72,75,80,82,85,87,90,95,95})-LOOKUP(M866,{12.5,15,20,30,45,60,75,105,115,150,200,225,250,600,1000},{50,55,60,62,65,68,70,72,75,80,82,85,87,90,95})))))</f>
        <v>68</v>
      </c>
      <c r="P866" s="2">
        <f t="shared" si="68"/>
        <v>2</v>
      </c>
      <c r="Q866" s="2">
        <f t="shared" si="69"/>
        <v>1</v>
      </c>
    </row>
    <row r="867" customHeight="1" spans="1:17">
      <c r="A867" s="2">
        <v>2026</v>
      </c>
      <c r="B867" s="2">
        <v>866</v>
      </c>
      <c r="C867" s="17">
        <f t="shared" si="67"/>
        <v>61.1</v>
      </c>
      <c r="D867" s="2" t="s">
        <v>1274</v>
      </c>
      <c r="E867" s="12">
        <v>65</v>
      </c>
      <c r="F867" s="2">
        <v>45</v>
      </c>
      <c r="G867" s="2">
        <v>51</v>
      </c>
      <c r="H867" s="2" t="s">
        <v>54</v>
      </c>
      <c r="I867" s="2" t="s">
        <v>28</v>
      </c>
      <c r="J867" s="4" t="s">
        <v>88</v>
      </c>
      <c r="M867" s="2">
        <f t="shared" si="65"/>
        <v>30</v>
      </c>
      <c r="N867" s="2">
        <f t="shared" si="66"/>
        <v>59.6</v>
      </c>
      <c r="O867" s="2">
        <f>IF(M867="","",IF(M867&gt;=1000,95,IF(M867&lt;=12.5,50,LOOKUP(M867,{12.5,15,20,30,45,60,75,105,115,150,200,225,250,600,1000},{50,55,60,62,65,68,70,72,75,80,82,85,87,90,95})+(M867-LOOKUP(M867,{12.5,15,20,30,45,60,75,105,115,150,200,225,250,600},{12.5,15,20,30,45,60,75,105,115,150,200,225,250,600}))/(LOOKUP(M867,{12.5,15,20,30,45,60,75,105,115,150,200,225,250,600,1000},{15,20,30,45,60,75,105,115,150,200,225,250,600,1000,1000})-LOOKUP(M867,{12.5,15,20,30,45,60,75,105,115,150,200,225,250,600},{12.5,15,20,30,45,60,75,105,115,150,200,225,250,600}))*(LOOKUP(M867,{12.5,15,20,30,45,60,75,105,115,150,200,225,250,600,1000},{55,60,62,65,68,70,72,75,80,82,85,87,90,95,95})-LOOKUP(M867,{12.5,15,20,30,45,60,75,105,115,150,200,225,250,600,1000},{50,55,60,62,65,68,70,72,75,80,82,85,87,90,95})))))</f>
        <v>62</v>
      </c>
      <c r="P867" s="2">
        <f t="shared" si="68"/>
        <v>3</v>
      </c>
      <c r="Q867" s="2">
        <f t="shared" si="69"/>
        <v>1.5</v>
      </c>
    </row>
    <row r="868" customHeight="1" spans="1:17">
      <c r="B868" s="2">
        <v>867</v>
      </c>
      <c r="C868" s="17">
        <f t="shared" si="67"/>
        <v>61.1</v>
      </c>
      <c r="D868" s="2" t="s">
        <v>1275</v>
      </c>
      <c r="E868" s="12">
        <v>63</v>
      </c>
      <c r="F868" s="12">
        <v>65</v>
      </c>
      <c r="G868" s="12">
        <v>65</v>
      </c>
      <c r="H868" s="2" t="s">
        <v>66</v>
      </c>
      <c r="I868" s="2" t="s">
        <v>33</v>
      </c>
      <c r="J868" s="4" t="s">
        <v>34</v>
      </c>
      <c r="M868" s="2">
        <f t="shared" si="65"/>
        <v>60</v>
      </c>
      <c r="N868" s="2">
        <f t="shared" si="66"/>
        <v>63.6</v>
      </c>
      <c r="O868" s="2">
        <f>IF(M868="","",IF(M868&gt;=1000,95,IF(M868&lt;=12.5,50,LOOKUP(M868,{12.5,15,20,30,45,60,75,105,115,150,200,225,250,600,1000},{50,55,60,62,65,68,70,72,75,80,82,85,87,90,95})+(M868-LOOKUP(M868,{12.5,15,20,30,45,60,75,105,115,150,200,225,250,600},{12.5,15,20,30,45,60,75,105,115,150,200,225,250,600}))/(LOOKUP(M868,{12.5,15,20,30,45,60,75,105,115,150,200,225,250,600,1000},{15,20,30,45,60,75,105,115,150,200,225,250,600,1000,1000})-LOOKUP(M868,{12.5,15,20,30,45,60,75,105,115,150,200,225,250,600},{12.5,15,20,30,45,60,75,105,115,150,200,225,250,600}))*(LOOKUP(M868,{12.5,15,20,30,45,60,75,105,115,150,200,225,250,600,1000},{55,60,62,65,68,70,72,75,80,82,85,87,90,95,95})-LOOKUP(M868,{12.5,15,20,30,45,60,75,105,115,150,200,225,250,600,1000},{50,55,60,62,65,68,70,72,75,80,82,85,87,90,95})))))</f>
        <v>68</v>
      </c>
      <c r="P868" s="2">
        <f t="shared" si="68"/>
        <v>-5</v>
      </c>
      <c r="Q868" s="2">
        <f t="shared" si="69"/>
        <v>-2.5</v>
      </c>
    </row>
    <row r="869" customHeight="1" spans="1:17">
      <c r="A869" s="2">
        <v>2026</v>
      </c>
      <c r="B869" s="2">
        <v>868</v>
      </c>
      <c r="C869" s="17">
        <f t="shared" si="67"/>
        <v>61.1</v>
      </c>
      <c r="D869" s="2" t="s">
        <v>1276</v>
      </c>
      <c r="E869" s="12">
        <v>64</v>
      </c>
      <c r="F869" s="2">
        <v>50</v>
      </c>
      <c r="G869" s="2">
        <v>53</v>
      </c>
      <c r="H869" s="2" t="s">
        <v>41</v>
      </c>
      <c r="I869" s="2" t="s">
        <v>28</v>
      </c>
      <c r="J869" s="4" t="s">
        <v>88</v>
      </c>
      <c r="M869" s="2">
        <f t="shared" si="65"/>
        <v>30</v>
      </c>
      <c r="N869" s="2">
        <f t="shared" si="66"/>
        <v>60.1</v>
      </c>
      <c r="O869" s="2">
        <f>IF(M869="","",IF(M869&gt;=1000,95,IF(M869&lt;=12.5,50,LOOKUP(M869,{12.5,15,20,30,45,60,75,105,115,150,200,225,250,600,1000},{50,55,60,62,65,68,70,72,75,80,82,85,87,90,95})+(M869-LOOKUP(M869,{12.5,15,20,30,45,60,75,105,115,150,200,225,250,600},{12.5,15,20,30,45,60,75,105,115,150,200,225,250,600}))/(LOOKUP(M869,{12.5,15,20,30,45,60,75,105,115,150,200,225,250,600,1000},{15,20,30,45,60,75,105,115,150,200,225,250,600,1000,1000})-LOOKUP(M869,{12.5,15,20,30,45,60,75,105,115,150,200,225,250,600},{12.5,15,20,30,45,60,75,105,115,150,200,225,250,600}))*(LOOKUP(M869,{12.5,15,20,30,45,60,75,105,115,150,200,225,250,600,1000},{55,60,62,65,68,70,72,75,80,82,85,87,90,95,95})-LOOKUP(M869,{12.5,15,20,30,45,60,75,105,115,150,200,225,250,600,1000},{50,55,60,62,65,68,70,72,75,80,82,85,87,90,95})))))</f>
        <v>62</v>
      </c>
      <c r="P869" s="2">
        <f t="shared" si="68"/>
        <v>2</v>
      </c>
      <c r="Q869" s="2">
        <f t="shared" si="69"/>
        <v>1</v>
      </c>
    </row>
    <row r="870" customHeight="1" spans="1:17">
      <c r="A870" s="2">
        <v>2026</v>
      </c>
      <c r="B870" s="2">
        <v>869</v>
      </c>
      <c r="C870" s="17">
        <f t="shared" si="67"/>
        <v>61.1</v>
      </c>
      <c r="D870" s="2" t="s">
        <v>1277</v>
      </c>
      <c r="E870" s="12">
        <v>64</v>
      </c>
      <c r="F870" s="2">
        <v>56</v>
      </c>
      <c r="G870" s="2">
        <v>41</v>
      </c>
      <c r="H870" s="2" t="s">
        <v>41</v>
      </c>
      <c r="I870" s="2" t="s">
        <v>28</v>
      </c>
      <c r="J870" s="4" t="s">
        <v>88</v>
      </c>
      <c r="M870" s="2">
        <f t="shared" si="65"/>
        <v>30</v>
      </c>
      <c r="N870" s="2">
        <f t="shared" si="66"/>
        <v>60.1</v>
      </c>
      <c r="O870" s="2">
        <f>IF(M870="","",IF(M870&gt;=1000,95,IF(M870&lt;=12.5,50,LOOKUP(M870,{12.5,15,20,30,45,60,75,105,115,150,200,225,250,600,1000},{50,55,60,62,65,68,70,72,75,80,82,85,87,90,95})+(M870-LOOKUP(M870,{12.5,15,20,30,45,60,75,105,115,150,200,225,250,600},{12.5,15,20,30,45,60,75,105,115,150,200,225,250,600}))/(LOOKUP(M870,{12.5,15,20,30,45,60,75,105,115,150,200,225,250,600,1000},{15,20,30,45,60,75,105,115,150,200,225,250,600,1000,1000})-LOOKUP(M870,{12.5,15,20,30,45,60,75,105,115,150,200,225,250,600},{12.5,15,20,30,45,60,75,105,115,150,200,225,250,600}))*(LOOKUP(M870,{12.5,15,20,30,45,60,75,105,115,150,200,225,250,600,1000},{55,60,62,65,68,70,72,75,80,82,85,87,90,95,95})-LOOKUP(M870,{12.5,15,20,30,45,60,75,105,115,150,200,225,250,600,1000},{50,55,60,62,65,68,70,72,75,80,82,85,87,90,95})))))</f>
        <v>62</v>
      </c>
      <c r="P870" s="2">
        <f t="shared" si="68"/>
        <v>2</v>
      </c>
      <c r="Q870" s="2">
        <f t="shared" si="69"/>
        <v>1</v>
      </c>
    </row>
    <row r="871" customHeight="1" spans="1:17">
      <c r="B871" s="2">
        <v>870</v>
      </c>
      <c r="C871" s="17">
        <f t="shared" si="67"/>
        <v>61.1</v>
      </c>
      <c r="D871" s="2" t="s">
        <v>1278</v>
      </c>
      <c r="E871" s="12">
        <v>67</v>
      </c>
      <c r="F871" s="2">
        <v>56</v>
      </c>
      <c r="G871" s="2">
        <v>45</v>
      </c>
      <c r="H871" s="2" t="s">
        <v>1279</v>
      </c>
      <c r="I871" s="2" t="s">
        <v>63</v>
      </c>
      <c r="J871" s="4" t="s">
        <v>24</v>
      </c>
      <c r="M871" s="2">
        <f t="shared" si="65"/>
        <v>75</v>
      </c>
      <c r="N871" s="2">
        <f t="shared" si="66"/>
        <v>62.6</v>
      </c>
      <c r="O871" s="2">
        <f>IF(M871="","",IF(M871&gt;=1000,95,IF(M871&lt;=12.5,50,LOOKUP(M871,{12.5,15,20,30,45,60,75,105,115,150,200,225,250,600,1000},{50,55,60,62,65,68,70,72,75,80,82,85,87,90,95})+(M871-LOOKUP(M871,{12.5,15,20,30,45,60,75,105,115,150,200,225,250,600},{12.5,15,20,30,45,60,75,105,115,150,200,225,250,600}))/(LOOKUP(M871,{12.5,15,20,30,45,60,75,105,115,150,200,225,250,600,1000},{15,20,30,45,60,75,105,115,150,200,225,250,600,1000,1000})-LOOKUP(M871,{12.5,15,20,30,45,60,75,105,115,150,200,225,250,600},{12.5,15,20,30,45,60,75,105,115,150,200,225,250,600}))*(LOOKUP(M871,{12.5,15,20,30,45,60,75,105,115,150,200,225,250,600,1000},{55,60,62,65,68,70,72,75,80,82,85,87,90,95,95})-LOOKUP(M871,{12.5,15,20,30,45,60,75,105,115,150,200,225,250,600,1000},{50,55,60,62,65,68,70,72,75,80,82,85,87,90,95})))))</f>
        <v>70</v>
      </c>
      <c r="P871" s="2">
        <f t="shared" si="68"/>
        <v>-3</v>
      </c>
      <c r="Q871" s="2">
        <f t="shared" si="69"/>
        <v>-1.5</v>
      </c>
    </row>
    <row r="872" customHeight="1" spans="1:17">
      <c r="B872" s="2">
        <v>871</v>
      </c>
      <c r="C872" s="17">
        <f t="shared" si="67"/>
        <v>61.1</v>
      </c>
      <c r="D872" s="2" t="s">
        <v>1280</v>
      </c>
      <c r="E872" s="12">
        <v>62</v>
      </c>
      <c r="F872" s="2">
        <v>53</v>
      </c>
      <c r="G872" s="2">
        <v>36</v>
      </c>
      <c r="H872" s="2" t="s">
        <v>37</v>
      </c>
      <c r="I872" s="2" t="s">
        <v>28</v>
      </c>
      <c r="J872" s="4" t="s">
        <v>29</v>
      </c>
      <c r="M872" s="2">
        <f t="shared" si="65"/>
        <v>15</v>
      </c>
      <c r="N872" s="2">
        <f t="shared" si="66"/>
        <v>57.6</v>
      </c>
      <c r="O872" s="2">
        <f>IF(M872="","",IF(M872&gt;=1000,95,IF(M872&lt;=12.5,50,LOOKUP(M872,{12.5,15,20,30,45,60,75,105,115,150,200,225,250,600,1000},{50,55,60,62,65,68,70,72,75,80,82,85,87,90,95})+(M872-LOOKUP(M872,{12.5,15,20,30,45,60,75,105,115,150,200,225,250,600},{12.5,15,20,30,45,60,75,105,115,150,200,225,250,600}))/(LOOKUP(M872,{12.5,15,20,30,45,60,75,105,115,150,200,225,250,600,1000},{15,20,30,45,60,75,105,115,150,200,225,250,600,1000,1000})-LOOKUP(M872,{12.5,15,20,30,45,60,75,105,115,150,200,225,250,600},{12.5,15,20,30,45,60,75,105,115,150,200,225,250,600}))*(LOOKUP(M872,{12.5,15,20,30,45,60,75,105,115,150,200,225,250,600,1000},{55,60,62,65,68,70,72,75,80,82,85,87,90,95,95})-LOOKUP(M872,{12.5,15,20,30,45,60,75,105,115,150,200,225,250,600,1000},{50,55,60,62,65,68,70,72,75,80,82,85,87,90,95})))))</f>
        <v>55</v>
      </c>
      <c r="P872" s="2">
        <f t="shared" si="68"/>
        <v>7</v>
      </c>
      <c r="Q872" s="2">
        <f t="shared" si="69"/>
        <v>3.5</v>
      </c>
    </row>
    <row r="873" customHeight="1" spans="1:17">
      <c r="B873" s="2">
        <v>872</v>
      </c>
      <c r="C873" s="17">
        <f t="shared" si="67"/>
        <v>61</v>
      </c>
      <c r="D873" s="2" t="s">
        <v>1281</v>
      </c>
      <c r="E873" s="12">
        <v>60</v>
      </c>
      <c r="F873" s="10">
        <v>81</v>
      </c>
      <c r="G873" s="9">
        <v>78</v>
      </c>
      <c r="H873" s="2" t="s">
        <v>41</v>
      </c>
      <c r="I873" s="2" t="s">
        <v>128</v>
      </c>
      <c r="J873" s="4" t="s">
        <v>24</v>
      </c>
      <c r="M873" s="2">
        <f t="shared" si="65"/>
        <v>75</v>
      </c>
      <c r="N873" s="2">
        <f t="shared" si="66"/>
        <v>66</v>
      </c>
      <c r="O873" s="2">
        <f>IF(M873="","",IF(M873&gt;=1000,95,IF(M873&lt;=12.5,50,LOOKUP(M873,{12.5,15,20,30,45,60,75,105,115,150,200,225,250,600,1000},{50,55,60,62,65,68,70,72,75,80,82,85,87,90,95})+(M873-LOOKUP(M873,{12.5,15,20,30,45,60,75,105,115,150,200,225,250,600},{12.5,15,20,30,45,60,75,105,115,150,200,225,250,600}))/(LOOKUP(M873,{12.5,15,20,30,45,60,75,105,115,150,200,225,250,600,1000},{15,20,30,45,60,75,105,115,150,200,225,250,600,1000,1000})-LOOKUP(M873,{12.5,15,20,30,45,60,75,105,115,150,200,225,250,600},{12.5,15,20,30,45,60,75,105,115,150,200,225,250,600}))*(LOOKUP(M873,{12.5,15,20,30,45,60,75,105,115,150,200,225,250,600,1000},{55,60,62,65,68,70,72,75,80,82,85,87,90,95,95})-LOOKUP(M873,{12.5,15,20,30,45,60,75,105,115,150,200,225,250,600,1000},{50,55,60,62,65,68,70,72,75,80,82,85,87,90,95})))))</f>
        <v>70</v>
      </c>
      <c r="P873" s="2">
        <f t="shared" si="68"/>
        <v>-10</v>
      </c>
      <c r="Q873" s="2">
        <f t="shared" si="69"/>
        <v>-5</v>
      </c>
    </row>
    <row r="874" customHeight="1" spans="1:17">
      <c r="A874" s="2">
        <v>2026</v>
      </c>
      <c r="B874" s="2">
        <v>873</v>
      </c>
      <c r="C874" s="17">
        <f t="shared" si="67"/>
        <v>61</v>
      </c>
      <c r="D874" s="2" t="s">
        <v>1282</v>
      </c>
      <c r="E874" s="12">
        <v>66</v>
      </c>
      <c r="F874" s="12">
        <v>61</v>
      </c>
      <c r="G874" s="2">
        <v>46</v>
      </c>
      <c r="H874" s="2" t="s">
        <v>54</v>
      </c>
      <c r="I874" s="2" t="s">
        <v>104</v>
      </c>
      <c r="J874" s="4" t="s">
        <v>24</v>
      </c>
      <c r="M874" s="2">
        <f t="shared" si="65"/>
        <v>75</v>
      </c>
      <c r="N874" s="2">
        <f t="shared" si="66"/>
        <v>63</v>
      </c>
      <c r="O874" s="2">
        <f>IF(M874="","",IF(M874&gt;=1000,95,IF(M874&lt;=12.5,50,LOOKUP(M874,{12.5,15,20,30,45,60,75,105,115,150,200,225,250,600,1000},{50,55,60,62,65,68,70,72,75,80,82,85,87,90,95})+(M874-LOOKUP(M874,{12.5,15,20,30,45,60,75,105,115,150,200,225,250,600},{12.5,15,20,30,45,60,75,105,115,150,200,225,250,600}))/(LOOKUP(M874,{12.5,15,20,30,45,60,75,105,115,150,200,225,250,600,1000},{15,20,30,45,60,75,105,115,150,200,225,250,600,1000,1000})-LOOKUP(M874,{12.5,15,20,30,45,60,75,105,115,150,200,225,250,600},{12.5,15,20,30,45,60,75,105,115,150,200,225,250,600}))*(LOOKUP(M874,{12.5,15,20,30,45,60,75,105,115,150,200,225,250,600,1000},{55,60,62,65,68,70,72,75,80,82,85,87,90,95,95})-LOOKUP(M874,{12.5,15,20,30,45,60,75,105,115,150,200,225,250,600,1000},{50,55,60,62,65,68,70,72,75,80,82,85,87,90,95})))))</f>
        <v>70</v>
      </c>
      <c r="P874" s="2">
        <f t="shared" si="68"/>
        <v>-4</v>
      </c>
      <c r="Q874" s="2">
        <f t="shared" si="69"/>
        <v>-2</v>
      </c>
    </row>
    <row r="875" customHeight="1" spans="1:17">
      <c r="A875" s="2">
        <v>2026</v>
      </c>
      <c r="B875" s="2">
        <v>874</v>
      </c>
      <c r="C875" s="17">
        <f t="shared" si="67"/>
        <v>61</v>
      </c>
      <c r="D875" s="2" t="s">
        <v>1283</v>
      </c>
      <c r="E875" s="12">
        <v>63</v>
      </c>
      <c r="F875" s="2">
        <v>54</v>
      </c>
      <c r="G875" s="2">
        <v>46</v>
      </c>
      <c r="H875" s="2" t="s">
        <v>54</v>
      </c>
      <c r="I875" s="2" t="s">
        <v>28</v>
      </c>
      <c r="J875" s="4" t="s">
        <v>140</v>
      </c>
      <c r="M875" s="2">
        <f t="shared" si="65"/>
        <v>20</v>
      </c>
      <c r="N875" s="2">
        <f t="shared" si="66"/>
        <v>59.5</v>
      </c>
      <c r="O875" s="2">
        <f>IF(M875="","",IF(M875&gt;=1000,95,IF(M875&lt;=12.5,50,LOOKUP(M875,{12.5,15,20,30,45,60,75,105,115,150,200,225,250,600,1000},{50,55,60,62,65,68,70,72,75,80,82,85,87,90,95})+(M875-LOOKUP(M875,{12.5,15,20,30,45,60,75,105,115,150,200,225,250,600},{12.5,15,20,30,45,60,75,105,115,150,200,225,250,600}))/(LOOKUP(M875,{12.5,15,20,30,45,60,75,105,115,150,200,225,250,600,1000},{15,20,30,45,60,75,105,115,150,200,225,250,600,1000,1000})-LOOKUP(M875,{12.5,15,20,30,45,60,75,105,115,150,200,225,250,600},{12.5,15,20,30,45,60,75,105,115,150,200,225,250,600}))*(LOOKUP(M875,{12.5,15,20,30,45,60,75,105,115,150,200,225,250,600,1000},{55,60,62,65,68,70,72,75,80,82,85,87,90,95,95})-LOOKUP(M875,{12.5,15,20,30,45,60,75,105,115,150,200,225,250,600,1000},{50,55,60,62,65,68,70,72,75,80,82,85,87,90,95})))))</f>
        <v>60</v>
      </c>
      <c r="P875" s="2">
        <f t="shared" si="68"/>
        <v>3</v>
      </c>
      <c r="Q875" s="2">
        <f t="shared" si="69"/>
        <v>1.5</v>
      </c>
    </row>
    <row r="876" customHeight="1" spans="1:17">
      <c r="B876" s="2">
        <v>875</v>
      </c>
      <c r="C876" s="17">
        <f t="shared" si="67"/>
        <v>61</v>
      </c>
      <c r="D876" s="2" t="s">
        <v>1284</v>
      </c>
      <c r="E876" s="12">
        <v>65</v>
      </c>
      <c r="F876" s="2">
        <v>55</v>
      </c>
      <c r="G876" s="2">
        <v>45</v>
      </c>
      <c r="H876" s="2" t="s">
        <v>991</v>
      </c>
      <c r="I876" s="2" t="s">
        <v>28</v>
      </c>
      <c r="J876" s="4" t="s">
        <v>38</v>
      </c>
      <c r="M876" s="2">
        <f t="shared" si="65"/>
        <v>45</v>
      </c>
      <c r="N876" s="2">
        <f t="shared" si="66"/>
        <v>61</v>
      </c>
      <c r="O876" s="2">
        <f>IF(M876="","",IF(M876&gt;=1000,95,IF(M876&lt;=12.5,50,LOOKUP(M876,{12.5,15,20,30,45,60,75,105,115,150,200,225,250,600,1000},{50,55,60,62,65,68,70,72,75,80,82,85,87,90,95})+(M876-LOOKUP(M876,{12.5,15,20,30,45,60,75,105,115,150,200,225,250,600},{12.5,15,20,30,45,60,75,105,115,150,200,225,250,600}))/(LOOKUP(M876,{12.5,15,20,30,45,60,75,105,115,150,200,225,250,600,1000},{15,20,30,45,60,75,105,115,150,200,225,250,600,1000,1000})-LOOKUP(M876,{12.5,15,20,30,45,60,75,105,115,150,200,225,250,600},{12.5,15,20,30,45,60,75,105,115,150,200,225,250,600}))*(LOOKUP(M876,{12.5,15,20,30,45,60,75,105,115,150,200,225,250,600,1000},{55,60,62,65,68,70,72,75,80,82,85,87,90,95,95})-LOOKUP(M876,{12.5,15,20,30,45,60,75,105,115,150,200,225,250,600,1000},{50,55,60,62,65,68,70,72,75,80,82,85,87,90,95})))))</f>
        <v>65</v>
      </c>
      <c r="P876" s="2">
        <f t="shared" si="68"/>
        <v>0</v>
      </c>
      <c r="Q876" s="2">
        <f t="shared" si="69"/>
        <v>0</v>
      </c>
    </row>
    <row r="877" customHeight="1" spans="1:17">
      <c r="A877" s="2">
        <v>2026</v>
      </c>
      <c r="B877" s="2">
        <v>876</v>
      </c>
      <c r="C877" s="17">
        <f t="shared" si="67"/>
        <v>61</v>
      </c>
      <c r="D877" s="2" t="s">
        <v>1285</v>
      </c>
      <c r="E877" s="12">
        <v>64</v>
      </c>
      <c r="F877" s="2">
        <v>59</v>
      </c>
      <c r="G877" s="2">
        <v>34</v>
      </c>
      <c r="H877" s="2" t="s">
        <v>54</v>
      </c>
      <c r="I877" s="2" t="s">
        <v>63</v>
      </c>
      <c r="J877" s="4" t="s">
        <v>88</v>
      </c>
      <c r="M877" s="2">
        <f t="shared" si="65"/>
        <v>30</v>
      </c>
      <c r="N877" s="2">
        <f t="shared" si="66"/>
        <v>60</v>
      </c>
      <c r="O877" s="2">
        <f>IF(M877="","",IF(M877&gt;=1000,95,IF(M877&lt;=12.5,50,LOOKUP(M877,{12.5,15,20,30,45,60,75,105,115,150,200,225,250,600,1000},{50,55,60,62,65,68,70,72,75,80,82,85,87,90,95})+(M877-LOOKUP(M877,{12.5,15,20,30,45,60,75,105,115,150,200,225,250,600},{12.5,15,20,30,45,60,75,105,115,150,200,225,250,600}))/(LOOKUP(M877,{12.5,15,20,30,45,60,75,105,115,150,200,225,250,600,1000},{15,20,30,45,60,75,105,115,150,200,225,250,600,1000,1000})-LOOKUP(M877,{12.5,15,20,30,45,60,75,105,115,150,200,225,250,600},{12.5,15,20,30,45,60,75,105,115,150,200,225,250,600}))*(LOOKUP(M877,{12.5,15,20,30,45,60,75,105,115,150,200,225,250,600,1000},{55,60,62,65,68,70,72,75,80,82,85,87,90,95,95})-LOOKUP(M877,{12.5,15,20,30,45,60,75,105,115,150,200,225,250,600,1000},{50,55,60,62,65,68,70,72,75,80,82,85,87,90,95})))))</f>
        <v>62</v>
      </c>
      <c r="P877" s="2">
        <f t="shared" si="68"/>
        <v>2</v>
      </c>
      <c r="Q877" s="2">
        <f t="shared" si="69"/>
        <v>1</v>
      </c>
    </row>
    <row r="878" customHeight="1" spans="1:17">
      <c r="B878" s="2">
        <v>877</v>
      </c>
      <c r="C878" s="17">
        <f t="shared" si="67"/>
        <v>60.96</v>
      </c>
      <c r="D878" s="2" t="s">
        <v>1286</v>
      </c>
      <c r="E878" s="12">
        <v>66</v>
      </c>
      <c r="F878" s="12">
        <v>67</v>
      </c>
      <c r="G878" s="9">
        <v>77</v>
      </c>
      <c r="H878" s="2" t="s">
        <v>37</v>
      </c>
      <c r="I878" s="2" t="s">
        <v>239</v>
      </c>
      <c r="J878" s="4" t="s">
        <v>59</v>
      </c>
      <c r="M878" s="2">
        <f t="shared" si="65"/>
        <v>150</v>
      </c>
      <c r="N878" s="2">
        <f t="shared" si="66"/>
        <v>67.3</v>
      </c>
      <c r="O878" s="2">
        <f>IF(M878="","",IF(M878&gt;=1000,95,IF(M878&lt;=12.5,50,LOOKUP(M878,{12.5,15,20,30,45,60,75,105,115,150,200,225,250,600,1000},{50,55,60,62,65,68,70,72,75,80,82,85,87,90,95})+(M878-LOOKUP(M878,{12.5,15,20,30,45,60,75,105,115,150,200,225,250,600},{12.5,15,20,30,45,60,75,105,115,150,200,225,250,600}))/(LOOKUP(M878,{12.5,15,20,30,45,60,75,105,115,150,200,225,250,600,1000},{15,20,30,45,60,75,105,115,150,200,225,250,600,1000,1000})-LOOKUP(M878,{12.5,15,20,30,45,60,75,105,115,150,200,225,250,600},{12.5,15,20,30,45,60,75,105,115,150,200,225,250,600}))*(LOOKUP(M878,{12.5,15,20,30,45,60,75,105,115,150,200,225,250,600,1000},{55,60,62,65,68,70,72,75,80,82,85,87,90,95,95})-LOOKUP(M878,{12.5,15,20,30,45,60,75,105,115,150,200,225,250,600,1000},{50,55,60,62,65,68,70,72,75,80,82,85,87,90,95})))))</f>
        <v>80</v>
      </c>
      <c r="P878" s="2">
        <f t="shared" si="68"/>
        <v>-14</v>
      </c>
      <c r="Q878" s="2">
        <f t="shared" si="69"/>
        <v>-6.34</v>
      </c>
    </row>
    <row r="879" customHeight="1" spans="1:17">
      <c r="A879" s="2">
        <v>2026</v>
      </c>
      <c r="B879" s="2">
        <v>878</v>
      </c>
      <c r="C879" s="17">
        <f t="shared" si="67"/>
        <v>60.9</v>
      </c>
      <c r="D879" s="2" t="s">
        <v>1287</v>
      </c>
      <c r="E879" s="12">
        <v>64</v>
      </c>
      <c r="F879" s="2">
        <v>50</v>
      </c>
      <c r="G879" s="2">
        <v>41</v>
      </c>
      <c r="H879" s="2" t="s">
        <v>54</v>
      </c>
      <c r="I879" s="2" t="s">
        <v>28</v>
      </c>
      <c r="J879" s="4" t="s">
        <v>140</v>
      </c>
      <c r="M879" s="2">
        <f t="shared" si="65"/>
        <v>20</v>
      </c>
      <c r="N879" s="2">
        <f t="shared" si="66"/>
        <v>58.9</v>
      </c>
      <c r="O879" s="2">
        <f>IF(M879="","",IF(M879&gt;=1000,95,IF(M879&lt;=12.5,50,LOOKUP(M879,{12.5,15,20,30,45,60,75,105,115,150,200,225,250,600,1000},{50,55,60,62,65,68,70,72,75,80,82,85,87,90,95})+(M879-LOOKUP(M879,{12.5,15,20,30,45,60,75,105,115,150,200,225,250,600},{12.5,15,20,30,45,60,75,105,115,150,200,225,250,600}))/(LOOKUP(M879,{12.5,15,20,30,45,60,75,105,115,150,200,225,250,600,1000},{15,20,30,45,60,75,105,115,150,200,225,250,600,1000,1000})-LOOKUP(M879,{12.5,15,20,30,45,60,75,105,115,150,200,225,250,600},{12.5,15,20,30,45,60,75,105,115,150,200,225,250,600}))*(LOOKUP(M879,{12.5,15,20,30,45,60,75,105,115,150,200,225,250,600,1000},{55,60,62,65,68,70,72,75,80,82,85,87,90,95,95})-LOOKUP(M879,{12.5,15,20,30,45,60,75,105,115,150,200,225,250,600,1000},{50,55,60,62,65,68,70,72,75,80,82,85,87,90,95})))))</f>
        <v>60</v>
      </c>
      <c r="P879" s="2">
        <f t="shared" si="68"/>
        <v>4</v>
      </c>
      <c r="Q879" s="2">
        <f t="shared" si="69"/>
        <v>2</v>
      </c>
    </row>
    <row r="880" customHeight="1" spans="1:17">
      <c r="A880" s="2">
        <v>2026</v>
      </c>
      <c r="B880" s="2">
        <v>879</v>
      </c>
      <c r="C880" s="17">
        <f t="shared" si="67"/>
        <v>60.8</v>
      </c>
      <c r="D880" s="2" t="s">
        <v>1288</v>
      </c>
      <c r="E880" s="12">
        <v>63</v>
      </c>
      <c r="F880" s="12">
        <v>62</v>
      </c>
      <c r="G880" s="12">
        <v>68</v>
      </c>
      <c r="H880" s="2" t="s">
        <v>54</v>
      </c>
      <c r="I880" s="2" t="s">
        <v>104</v>
      </c>
      <c r="J880" s="4" t="s">
        <v>34</v>
      </c>
      <c r="M880" s="2">
        <f t="shared" si="65"/>
        <v>60</v>
      </c>
      <c r="N880" s="2">
        <f t="shared" si="66"/>
        <v>63.3</v>
      </c>
      <c r="O880" s="2">
        <f>IF(M880="","",IF(M880&gt;=1000,95,IF(M880&lt;=12.5,50,LOOKUP(M880,{12.5,15,20,30,45,60,75,105,115,150,200,225,250,600,1000},{50,55,60,62,65,68,70,72,75,80,82,85,87,90,95})+(M880-LOOKUP(M880,{12.5,15,20,30,45,60,75,105,115,150,200,225,250,600},{12.5,15,20,30,45,60,75,105,115,150,200,225,250,600}))/(LOOKUP(M880,{12.5,15,20,30,45,60,75,105,115,150,200,225,250,600,1000},{15,20,30,45,60,75,105,115,150,200,225,250,600,1000,1000})-LOOKUP(M880,{12.5,15,20,30,45,60,75,105,115,150,200,225,250,600},{12.5,15,20,30,45,60,75,105,115,150,200,225,250,600}))*(LOOKUP(M880,{12.5,15,20,30,45,60,75,105,115,150,200,225,250,600,1000},{55,60,62,65,68,70,72,75,80,82,85,87,90,95,95})-LOOKUP(M880,{12.5,15,20,30,45,60,75,105,115,150,200,225,250,600,1000},{50,55,60,62,65,68,70,72,75,80,82,85,87,90,95})))))</f>
        <v>68</v>
      </c>
      <c r="P880" s="2">
        <f t="shared" si="68"/>
        <v>-5</v>
      </c>
      <c r="Q880" s="2">
        <f t="shared" si="69"/>
        <v>-2.5</v>
      </c>
    </row>
    <row r="881" customHeight="1" spans="1:17">
      <c r="B881" s="2">
        <v>880</v>
      </c>
      <c r="C881" s="17">
        <f t="shared" si="67"/>
        <v>60.76</v>
      </c>
      <c r="D881" s="2" t="s">
        <v>1289</v>
      </c>
      <c r="E881" s="12">
        <v>68</v>
      </c>
      <c r="F881" s="12">
        <v>62</v>
      </c>
      <c r="G881" s="9">
        <v>71</v>
      </c>
      <c r="H881" s="2" t="s">
        <v>444</v>
      </c>
      <c r="I881" s="2" t="s">
        <v>577</v>
      </c>
      <c r="J881" s="4" t="s">
        <v>51</v>
      </c>
      <c r="M881" s="2">
        <f t="shared" si="65"/>
        <v>200</v>
      </c>
      <c r="N881" s="2">
        <f t="shared" si="66"/>
        <v>67.1</v>
      </c>
      <c r="O881" s="2">
        <f>IF(M881="","",IF(M881&gt;=1000,95,IF(M881&lt;=12.5,50,LOOKUP(M881,{12.5,15,20,30,45,60,75,105,115,150,200,225,250,600,1000},{50,55,60,62,65,68,70,72,75,80,82,85,87,90,95})+(M881-LOOKUP(M881,{12.5,15,20,30,45,60,75,105,115,150,200,225,250,600},{12.5,15,20,30,45,60,75,105,115,150,200,225,250,600}))/(LOOKUP(M881,{12.5,15,20,30,45,60,75,105,115,150,200,225,250,600,1000},{15,20,30,45,60,75,105,115,150,200,225,250,600,1000,1000})-LOOKUP(M881,{12.5,15,20,30,45,60,75,105,115,150,200,225,250,600},{12.5,15,20,30,45,60,75,105,115,150,200,225,250,600}))*(LOOKUP(M881,{12.5,15,20,30,45,60,75,105,115,150,200,225,250,600,1000},{55,60,62,65,68,70,72,75,80,82,85,87,90,95,95})-LOOKUP(M881,{12.5,15,20,30,45,60,75,105,115,150,200,225,250,600,1000},{50,55,60,62,65,68,70,72,75,80,82,85,87,90,95})))))</f>
        <v>82</v>
      </c>
      <c r="P881" s="2">
        <f t="shared" si="68"/>
        <v>-14</v>
      </c>
      <c r="Q881" s="2">
        <f t="shared" si="69"/>
        <v>-6.34</v>
      </c>
    </row>
    <row r="882" customHeight="1" spans="1:17">
      <c r="B882" s="2">
        <v>881</v>
      </c>
      <c r="C882" s="17">
        <f t="shared" si="67"/>
        <v>60.76</v>
      </c>
      <c r="D882" s="2" t="s">
        <v>1290</v>
      </c>
      <c r="E882" s="9">
        <v>71</v>
      </c>
      <c r="F882" s="12">
        <v>60</v>
      </c>
      <c r="G882" s="2">
        <v>54</v>
      </c>
      <c r="H882" s="2" t="s">
        <v>743</v>
      </c>
      <c r="I882" s="2" t="s">
        <v>932</v>
      </c>
      <c r="J882" s="4" t="s">
        <v>19</v>
      </c>
      <c r="K882" s="2" t="s">
        <v>1291</v>
      </c>
      <c r="M882" s="2">
        <f t="shared" si="65"/>
        <v>225</v>
      </c>
      <c r="N882" s="2">
        <f t="shared" si="66"/>
        <v>67.1</v>
      </c>
      <c r="O882" s="2">
        <f>IF(M882="","",IF(M882&gt;=1000,95,IF(M882&lt;=12.5,50,LOOKUP(M882,{12.5,15,20,30,45,60,75,105,115,150,200,225,250,600,1000},{50,55,60,62,65,68,70,72,75,80,82,85,87,90,95})+(M882-LOOKUP(M882,{12.5,15,20,30,45,60,75,105,115,150,200,225,250,600},{12.5,15,20,30,45,60,75,105,115,150,200,225,250,600}))/(LOOKUP(M882,{12.5,15,20,30,45,60,75,105,115,150,200,225,250,600,1000},{15,20,30,45,60,75,105,115,150,200,225,250,600,1000,1000})-LOOKUP(M882,{12.5,15,20,30,45,60,75,105,115,150,200,225,250,600},{12.5,15,20,30,45,60,75,105,115,150,200,225,250,600}))*(LOOKUP(M882,{12.5,15,20,30,45,60,75,105,115,150,200,225,250,600,1000},{55,60,62,65,68,70,72,75,80,82,85,87,90,95,95})-LOOKUP(M882,{12.5,15,20,30,45,60,75,105,115,150,200,225,250,600,1000},{50,55,60,62,65,68,70,72,75,80,82,85,87,90,95})))))</f>
        <v>85</v>
      </c>
      <c r="P882" s="2">
        <f t="shared" si="68"/>
        <v>-14</v>
      </c>
      <c r="Q882" s="2">
        <f t="shared" si="69"/>
        <v>-6.34</v>
      </c>
    </row>
    <row r="883" customHeight="1" spans="1:17">
      <c r="B883" s="2">
        <v>882</v>
      </c>
      <c r="C883" s="17">
        <f t="shared" si="67"/>
        <v>60.7</v>
      </c>
      <c r="D883" s="2" t="s">
        <v>1292</v>
      </c>
      <c r="E883" s="12">
        <v>64</v>
      </c>
      <c r="F883" s="9">
        <v>74</v>
      </c>
      <c r="G883" s="10">
        <v>81</v>
      </c>
      <c r="H883" s="2" t="s">
        <v>300</v>
      </c>
      <c r="I883" s="2" t="s">
        <v>33</v>
      </c>
      <c r="J883" s="4" t="s">
        <v>59</v>
      </c>
      <c r="M883" s="2">
        <f t="shared" si="65"/>
        <v>150</v>
      </c>
      <c r="N883" s="2">
        <f t="shared" si="66"/>
        <v>67.7</v>
      </c>
      <c r="O883" s="2">
        <f>IF(M883="","",IF(M883&gt;=1000,95,IF(M883&lt;=12.5,50,LOOKUP(M883,{12.5,15,20,30,45,60,75,105,115,150,200,225,250,600,1000},{50,55,60,62,65,68,70,72,75,80,82,85,87,90,95})+(M883-LOOKUP(M883,{12.5,15,20,30,45,60,75,105,115,150,200,225,250,600},{12.5,15,20,30,45,60,75,105,115,150,200,225,250,600}))/(LOOKUP(M883,{12.5,15,20,30,45,60,75,105,115,150,200,225,250,600,1000},{15,20,30,45,60,75,105,115,150,200,225,250,600,1000,1000})-LOOKUP(M883,{12.5,15,20,30,45,60,75,105,115,150,200,225,250,600},{12.5,15,20,30,45,60,75,105,115,150,200,225,250,600}))*(LOOKUP(M883,{12.5,15,20,30,45,60,75,105,115,150,200,225,250,600,1000},{55,60,62,65,68,70,72,75,80,82,85,87,90,95,95})-LOOKUP(M883,{12.5,15,20,30,45,60,75,105,115,150,200,225,250,600,1000},{50,55,60,62,65,68,70,72,75,80,82,85,87,90,95})))))</f>
        <v>80</v>
      </c>
      <c r="P883" s="2">
        <f t="shared" si="68"/>
        <v>-16</v>
      </c>
      <c r="Q883" s="2">
        <f t="shared" si="69"/>
        <v>-7</v>
      </c>
    </row>
    <row r="884" customHeight="1" spans="1:17">
      <c r="B884" s="2">
        <v>883</v>
      </c>
      <c r="C884" s="17">
        <f t="shared" si="67"/>
        <v>60.7</v>
      </c>
      <c r="D884" s="2" t="s">
        <v>1293</v>
      </c>
      <c r="E884" s="12">
        <v>63</v>
      </c>
      <c r="F884" s="9">
        <v>75</v>
      </c>
      <c r="G884" s="2">
        <v>51</v>
      </c>
      <c r="H884" s="2" t="s">
        <v>41</v>
      </c>
      <c r="I884" s="2" t="s">
        <v>18</v>
      </c>
      <c r="J884" s="4" t="s">
        <v>24</v>
      </c>
      <c r="M884" s="2">
        <f t="shared" si="65"/>
        <v>75</v>
      </c>
      <c r="N884" s="2">
        <f t="shared" si="66"/>
        <v>64.2</v>
      </c>
      <c r="O884" s="2">
        <f>IF(M884="","",IF(M884&gt;=1000,95,IF(M884&lt;=12.5,50,LOOKUP(M884,{12.5,15,20,30,45,60,75,105,115,150,200,225,250,600,1000},{50,55,60,62,65,68,70,72,75,80,82,85,87,90,95})+(M884-LOOKUP(M884,{12.5,15,20,30,45,60,75,105,115,150,200,225,250,600},{12.5,15,20,30,45,60,75,105,115,150,200,225,250,600}))/(LOOKUP(M884,{12.5,15,20,30,45,60,75,105,115,150,200,225,250,600,1000},{15,20,30,45,60,75,105,115,150,200,225,250,600,1000,1000})-LOOKUP(M884,{12.5,15,20,30,45,60,75,105,115,150,200,225,250,600},{12.5,15,20,30,45,60,75,105,115,150,200,225,250,600}))*(LOOKUP(M884,{12.5,15,20,30,45,60,75,105,115,150,200,225,250,600,1000},{55,60,62,65,68,70,72,75,80,82,85,87,90,95,95})-LOOKUP(M884,{12.5,15,20,30,45,60,75,105,115,150,200,225,250,600,1000},{50,55,60,62,65,68,70,72,75,80,82,85,87,90,95})))))</f>
        <v>70</v>
      </c>
      <c r="P884" s="2">
        <f t="shared" si="68"/>
        <v>-7</v>
      </c>
      <c r="Q884" s="2">
        <f t="shared" si="69"/>
        <v>-3.5</v>
      </c>
    </row>
    <row r="885" customHeight="1" spans="1:17">
      <c r="B885" s="2">
        <v>884</v>
      </c>
      <c r="C885" s="17">
        <f t="shared" si="67"/>
        <v>60.7</v>
      </c>
      <c r="D885" s="2" t="s">
        <v>1294</v>
      </c>
      <c r="E885" s="12">
        <v>66</v>
      </c>
      <c r="F885" s="2">
        <v>45</v>
      </c>
      <c r="G885" s="9">
        <v>75</v>
      </c>
      <c r="H885" s="2" t="s">
        <v>469</v>
      </c>
      <c r="I885" s="2" t="s">
        <v>33</v>
      </c>
      <c r="J885" s="4" t="s">
        <v>24</v>
      </c>
      <c r="M885" s="2">
        <f t="shared" si="65"/>
        <v>75</v>
      </c>
      <c r="N885" s="2">
        <f t="shared" si="66"/>
        <v>62.7</v>
      </c>
      <c r="O885" s="2">
        <f>IF(M885="","",IF(M885&gt;=1000,95,IF(M885&lt;=12.5,50,LOOKUP(M885,{12.5,15,20,30,45,60,75,105,115,150,200,225,250,600,1000},{50,55,60,62,65,68,70,72,75,80,82,85,87,90,95})+(M885-LOOKUP(M885,{12.5,15,20,30,45,60,75,105,115,150,200,225,250,600},{12.5,15,20,30,45,60,75,105,115,150,200,225,250,600}))/(LOOKUP(M885,{12.5,15,20,30,45,60,75,105,115,150,200,225,250,600,1000},{15,20,30,45,60,75,105,115,150,200,225,250,600,1000,1000})-LOOKUP(M885,{12.5,15,20,30,45,60,75,105,115,150,200,225,250,600},{12.5,15,20,30,45,60,75,105,115,150,200,225,250,600}))*(LOOKUP(M885,{12.5,15,20,30,45,60,75,105,115,150,200,225,250,600,1000},{55,60,62,65,68,70,72,75,80,82,85,87,90,95,95})-LOOKUP(M885,{12.5,15,20,30,45,60,75,105,115,150,200,225,250,600,1000},{50,55,60,62,65,68,70,72,75,80,82,85,87,90,95})))))</f>
        <v>70</v>
      </c>
      <c r="P885" s="2">
        <f t="shared" si="68"/>
        <v>-4</v>
      </c>
      <c r="Q885" s="2">
        <f t="shared" si="69"/>
        <v>-2</v>
      </c>
    </row>
    <row r="886" customHeight="1" spans="1:17">
      <c r="A886" s="2">
        <v>2026</v>
      </c>
      <c r="B886" s="2">
        <v>885</v>
      </c>
      <c r="C886" s="17">
        <f t="shared" si="67"/>
        <v>60.7</v>
      </c>
      <c r="D886" s="2" t="s">
        <v>1295</v>
      </c>
      <c r="E886" s="12">
        <v>62</v>
      </c>
      <c r="F886" s="12">
        <v>56</v>
      </c>
      <c r="G886" s="12">
        <v>61</v>
      </c>
      <c r="H886" s="2" t="s">
        <v>94</v>
      </c>
      <c r="I886" s="2" t="s">
        <v>63</v>
      </c>
      <c r="J886" s="4" t="s">
        <v>88</v>
      </c>
      <c r="M886" s="2">
        <f t="shared" si="65"/>
        <v>30</v>
      </c>
      <c r="N886" s="2">
        <f t="shared" si="66"/>
        <v>60.7</v>
      </c>
      <c r="O886" s="2">
        <f>IF(M886="","",IF(M886&gt;=1000,95,IF(M886&lt;=12.5,50,LOOKUP(M886,{12.5,15,20,30,45,60,75,105,115,150,200,225,250,600,1000},{50,55,60,62,65,68,70,72,75,80,82,85,87,90,95})+(M886-LOOKUP(M886,{12.5,15,20,30,45,60,75,105,115,150,200,225,250,600},{12.5,15,20,30,45,60,75,105,115,150,200,225,250,600}))/(LOOKUP(M886,{12.5,15,20,30,45,60,75,105,115,150,200,225,250,600,1000},{15,20,30,45,60,75,105,115,150,200,225,250,600,1000,1000})-LOOKUP(M886,{12.5,15,20,30,45,60,75,105,115,150,200,225,250,600},{12.5,15,20,30,45,60,75,105,115,150,200,225,250,600}))*(LOOKUP(M886,{12.5,15,20,30,45,60,75,105,115,150,200,225,250,600,1000},{55,60,62,65,68,70,72,75,80,82,85,87,90,95,95})-LOOKUP(M886,{12.5,15,20,30,45,60,75,105,115,150,200,225,250,600,1000},{50,55,60,62,65,68,70,72,75,80,82,85,87,90,95})))))</f>
        <v>62</v>
      </c>
      <c r="P886" s="2">
        <f t="shared" si="68"/>
        <v>0</v>
      </c>
      <c r="Q886" s="2">
        <f t="shared" si="69"/>
        <v>0</v>
      </c>
    </row>
    <row r="887" customHeight="1" spans="1:17">
      <c r="B887" s="2">
        <v>886</v>
      </c>
      <c r="C887" s="17">
        <f t="shared" si="67"/>
        <v>60.6</v>
      </c>
      <c r="D887" s="2" t="s">
        <v>1296</v>
      </c>
      <c r="E887" s="12">
        <v>69</v>
      </c>
      <c r="F887" s="12">
        <v>66</v>
      </c>
      <c r="G887" s="12">
        <v>61</v>
      </c>
      <c r="H887" s="2" t="s">
        <v>17</v>
      </c>
      <c r="I887" s="2" t="s">
        <v>183</v>
      </c>
      <c r="J887" s="4" t="s">
        <v>19</v>
      </c>
      <c r="M887" s="2">
        <f t="shared" si="65"/>
        <v>225</v>
      </c>
      <c r="N887" s="2">
        <f t="shared" si="66"/>
        <v>67.6</v>
      </c>
      <c r="O887" s="2">
        <f>IF(M887="","",IF(M887&gt;=1000,95,IF(M887&lt;=12.5,50,LOOKUP(M887,{12.5,15,20,30,45,60,75,105,115,150,200,225,250,600,1000},{50,55,60,62,65,68,70,72,75,80,82,85,87,90,95})+(M887-LOOKUP(M887,{12.5,15,20,30,45,60,75,105,115,150,200,225,250,600},{12.5,15,20,30,45,60,75,105,115,150,200,225,250,600}))/(LOOKUP(M887,{12.5,15,20,30,45,60,75,105,115,150,200,225,250,600,1000},{15,20,30,45,60,75,105,115,150,200,225,250,600,1000,1000})-LOOKUP(M887,{12.5,15,20,30,45,60,75,105,115,150,200,225,250,600},{12.5,15,20,30,45,60,75,105,115,150,200,225,250,600}))*(LOOKUP(M887,{12.5,15,20,30,45,60,75,105,115,150,200,225,250,600,1000},{55,60,62,65,68,70,72,75,80,82,85,87,90,95,95})-LOOKUP(M887,{12.5,15,20,30,45,60,75,105,115,150,200,225,250,600,1000},{50,55,60,62,65,68,70,72,75,80,82,85,87,90,95})))))</f>
        <v>85</v>
      </c>
      <c r="P887" s="2">
        <f t="shared" si="68"/>
        <v>-16</v>
      </c>
      <c r="Q887" s="2">
        <f t="shared" si="69"/>
        <v>-7</v>
      </c>
    </row>
    <row r="888" customHeight="1" spans="1:17">
      <c r="B888" s="2">
        <v>887</v>
      </c>
      <c r="C888" s="17">
        <f t="shared" si="67"/>
        <v>60.6</v>
      </c>
      <c r="D888" s="2" t="s">
        <v>1297</v>
      </c>
      <c r="E888" s="12">
        <v>65</v>
      </c>
      <c r="F888" s="2">
        <v>53</v>
      </c>
      <c r="G888" s="2">
        <v>45</v>
      </c>
      <c r="H888" s="2" t="s">
        <v>41</v>
      </c>
      <c r="I888" s="2" t="s">
        <v>63</v>
      </c>
      <c r="J888" s="4" t="s">
        <v>38</v>
      </c>
      <c r="M888" s="2">
        <f t="shared" si="65"/>
        <v>45</v>
      </c>
      <c r="N888" s="2">
        <f t="shared" si="66"/>
        <v>60.6</v>
      </c>
      <c r="O888" s="2">
        <f>IF(M888="","",IF(M888&gt;=1000,95,IF(M888&lt;=12.5,50,LOOKUP(M888,{12.5,15,20,30,45,60,75,105,115,150,200,225,250,600,1000},{50,55,60,62,65,68,70,72,75,80,82,85,87,90,95})+(M888-LOOKUP(M888,{12.5,15,20,30,45,60,75,105,115,150,200,225,250,600},{12.5,15,20,30,45,60,75,105,115,150,200,225,250,600}))/(LOOKUP(M888,{12.5,15,20,30,45,60,75,105,115,150,200,225,250,600,1000},{15,20,30,45,60,75,105,115,150,200,225,250,600,1000,1000})-LOOKUP(M888,{12.5,15,20,30,45,60,75,105,115,150,200,225,250,600},{12.5,15,20,30,45,60,75,105,115,150,200,225,250,600}))*(LOOKUP(M888,{12.5,15,20,30,45,60,75,105,115,150,200,225,250,600,1000},{55,60,62,65,68,70,72,75,80,82,85,87,90,95,95})-LOOKUP(M888,{12.5,15,20,30,45,60,75,105,115,150,200,225,250,600,1000},{50,55,60,62,65,68,70,72,75,80,82,85,87,90,95})))))</f>
        <v>65</v>
      </c>
      <c r="P888" s="2">
        <f t="shared" si="68"/>
        <v>0</v>
      </c>
      <c r="Q888" s="2">
        <f t="shared" si="69"/>
        <v>0</v>
      </c>
    </row>
    <row r="889" customHeight="1" spans="1:17">
      <c r="B889" s="2">
        <v>888</v>
      </c>
      <c r="C889" s="17">
        <f t="shared" si="67"/>
        <v>60.6</v>
      </c>
      <c r="D889" s="2" t="s">
        <v>1298</v>
      </c>
      <c r="E889" s="12">
        <v>62</v>
      </c>
      <c r="F889" s="2">
        <v>51</v>
      </c>
      <c r="G889" s="2">
        <v>35</v>
      </c>
      <c r="H889" s="2" t="s">
        <v>37</v>
      </c>
      <c r="I889" s="2" t="s">
        <v>28</v>
      </c>
      <c r="J889" s="4" t="s">
        <v>29</v>
      </c>
      <c r="M889" s="2">
        <f t="shared" si="65"/>
        <v>15</v>
      </c>
      <c r="N889" s="2">
        <f t="shared" si="66"/>
        <v>57.1</v>
      </c>
      <c r="O889" s="2">
        <f>IF(M889="","",IF(M889&gt;=1000,95,IF(M889&lt;=12.5,50,LOOKUP(M889,{12.5,15,20,30,45,60,75,105,115,150,200,225,250,600,1000},{50,55,60,62,65,68,70,72,75,80,82,85,87,90,95})+(M889-LOOKUP(M889,{12.5,15,20,30,45,60,75,105,115,150,200,225,250,600},{12.5,15,20,30,45,60,75,105,115,150,200,225,250,600}))/(LOOKUP(M889,{12.5,15,20,30,45,60,75,105,115,150,200,225,250,600,1000},{15,20,30,45,60,75,105,115,150,200,225,250,600,1000,1000})-LOOKUP(M889,{12.5,15,20,30,45,60,75,105,115,150,200,225,250,600},{12.5,15,20,30,45,60,75,105,115,150,200,225,250,600}))*(LOOKUP(M889,{12.5,15,20,30,45,60,75,105,115,150,200,225,250,600,1000},{55,60,62,65,68,70,72,75,80,82,85,87,90,95,95})-LOOKUP(M889,{12.5,15,20,30,45,60,75,105,115,150,200,225,250,600,1000},{50,55,60,62,65,68,70,72,75,80,82,85,87,90,95})))))</f>
        <v>55</v>
      </c>
      <c r="P889" s="2">
        <f t="shared" si="68"/>
        <v>7</v>
      </c>
      <c r="Q889" s="2">
        <f t="shared" si="69"/>
        <v>3.5</v>
      </c>
    </row>
    <row r="890" customHeight="1" spans="1:17">
      <c r="B890" s="2">
        <v>889</v>
      </c>
      <c r="C890" s="17">
        <f t="shared" si="67"/>
        <v>60.6</v>
      </c>
      <c r="D890" s="2" t="s">
        <v>1299</v>
      </c>
      <c r="E890" s="12">
        <v>67</v>
      </c>
      <c r="F890" s="2">
        <v>50</v>
      </c>
      <c r="G890" s="2">
        <v>42</v>
      </c>
      <c r="H890" s="2" t="s">
        <v>367</v>
      </c>
      <c r="I890" s="2" t="s">
        <v>33</v>
      </c>
      <c r="J890" s="4" t="s">
        <v>34</v>
      </c>
      <c r="M890" s="2">
        <f t="shared" si="65"/>
        <v>60</v>
      </c>
      <c r="N890" s="2">
        <f t="shared" si="66"/>
        <v>61.1</v>
      </c>
      <c r="O890" s="2">
        <f>IF(M890="","",IF(M890&gt;=1000,95,IF(M890&lt;=12.5,50,LOOKUP(M890,{12.5,15,20,30,45,60,75,105,115,150,200,225,250,600,1000},{50,55,60,62,65,68,70,72,75,80,82,85,87,90,95})+(M890-LOOKUP(M890,{12.5,15,20,30,45,60,75,105,115,150,200,225,250,600},{12.5,15,20,30,45,60,75,105,115,150,200,225,250,600}))/(LOOKUP(M890,{12.5,15,20,30,45,60,75,105,115,150,200,225,250,600,1000},{15,20,30,45,60,75,105,115,150,200,225,250,600,1000,1000})-LOOKUP(M890,{12.5,15,20,30,45,60,75,105,115,150,200,225,250,600},{12.5,15,20,30,45,60,75,105,115,150,200,225,250,600}))*(LOOKUP(M890,{12.5,15,20,30,45,60,75,105,115,150,200,225,250,600,1000},{55,60,62,65,68,70,72,75,80,82,85,87,90,95,95})-LOOKUP(M890,{12.5,15,20,30,45,60,75,105,115,150,200,225,250,600,1000},{50,55,60,62,65,68,70,72,75,80,82,85,87,90,95})))))</f>
        <v>68</v>
      </c>
      <c r="P890" s="2">
        <f t="shared" si="68"/>
        <v>-1</v>
      </c>
      <c r="Q890" s="2">
        <f t="shared" si="69"/>
        <v>-0.5</v>
      </c>
    </row>
    <row r="891" customHeight="1" spans="1:17">
      <c r="B891" s="2">
        <v>890</v>
      </c>
      <c r="C891" s="17">
        <f t="shared" si="67"/>
        <v>60.53</v>
      </c>
      <c r="D891" s="2" t="s">
        <v>1300</v>
      </c>
      <c r="E891" s="12">
        <v>63</v>
      </c>
      <c r="F891" s="9">
        <v>71</v>
      </c>
      <c r="G891" s="9">
        <v>79</v>
      </c>
      <c r="H891" s="2" t="s">
        <v>41</v>
      </c>
      <c r="I891" s="2" t="s">
        <v>577</v>
      </c>
      <c r="J891" s="4" t="s">
        <v>148</v>
      </c>
      <c r="M891" s="2">
        <f t="shared" si="65"/>
        <v>115</v>
      </c>
      <c r="N891" s="2">
        <f t="shared" si="66"/>
        <v>66.2</v>
      </c>
      <c r="O891" s="2">
        <f>IF(M891="","",IF(M891&gt;=1000,95,IF(M891&lt;=12.5,50,LOOKUP(M891,{12.5,15,20,30,45,60,75,105,115,150,200,225,250,600,1000},{50,55,60,62,65,68,70,72,75,80,82,85,87,90,95})+(M891-LOOKUP(M891,{12.5,15,20,30,45,60,75,105,115,150,200,225,250,600},{12.5,15,20,30,45,60,75,105,115,150,200,225,250,600}))/(LOOKUP(M891,{12.5,15,20,30,45,60,75,105,115,150,200,225,250,600,1000},{15,20,30,45,60,75,105,115,150,200,225,250,600,1000,1000})-LOOKUP(M891,{12.5,15,20,30,45,60,75,105,115,150,200,225,250,600},{12.5,15,20,30,45,60,75,105,115,150,200,225,250,600}))*(LOOKUP(M891,{12.5,15,20,30,45,60,75,105,115,150,200,225,250,600,1000},{55,60,62,65,68,70,72,75,80,82,85,87,90,95,95})-LOOKUP(M891,{12.5,15,20,30,45,60,75,105,115,150,200,225,250,600,1000},{50,55,60,62,65,68,70,72,75,80,82,85,87,90,95})))))</f>
        <v>75</v>
      </c>
      <c r="P891" s="2">
        <f t="shared" si="68"/>
        <v>-12</v>
      </c>
      <c r="Q891" s="2">
        <f t="shared" si="69"/>
        <v>-5.67</v>
      </c>
    </row>
    <row r="892" customHeight="1" spans="1:17">
      <c r="B892" s="2">
        <v>891</v>
      </c>
      <c r="C892" s="17">
        <f t="shared" si="67"/>
        <v>60.47</v>
      </c>
      <c r="D892" s="2" t="s">
        <v>1301</v>
      </c>
      <c r="E892" s="12">
        <v>64</v>
      </c>
      <c r="F892" s="9">
        <v>71</v>
      </c>
      <c r="G892" s="12">
        <v>68</v>
      </c>
      <c r="H892" s="2" t="s">
        <v>37</v>
      </c>
      <c r="I892" s="2" t="s">
        <v>183</v>
      </c>
      <c r="J892" s="4" t="s">
        <v>148</v>
      </c>
      <c r="M892" s="2">
        <f t="shared" si="65"/>
        <v>115</v>
      </c>
      <c r="N892" s="2">
        <f t="shared" si="66"/>
        <v>65.8</v>
      </c>
      <c r="O892" s="2">
        <f>IF(M892="","",IF(M892&gt;=1000,95,IF(M892&lt;=12.5,50,LOOKUP(M892,{12.5,15,20,30,45,60,75,105,115,150,200,225,250,600,1000},{50,55,60,62,65,68,70,72,75,80,82,85,87,90,95})+(M892-LOOKUP(M892,{12.5,15,20,30,45,60,75,105,115,150,200,225,250,600},{12.5,15,20,30,45,60,75,105,115,150,200,225,250,600}))/(LOOKUP(M892,{12.5,15,20,30,45,60,75,105,115,150,200,225,250,600,1000},{15,20,30,45,60,75,105,115,150,200,225,250,600,1000,1000})-LOOKUP(M892,{12.5,15,20,30,45,60,75,105,115,150,200,225,250,600},{12.5,15,20,30,45,60,75,105,115,150,200,225,250,600}))*(LOOKUP(M892,{12.5,15,20,30,45,60,75,105,115,150,200,225,250,600,1000},{55,60,62,65,68,70,72,75,80,82,85,87,90,95,95})-LOOKUP(M892,{12.5,15,20,30,45,60,75,105,115,150,200,225,250,600,1000},{50,55,60,62,65,68,70,72,75,80,82,85,87,90,95})))))</f>
        <v>75</v>
      </c>
      <c r="P892" s="2">
        <f t="shared" si="68"/>
        <v>-11</v>
      </c>
      <c r="Q892" s="2">
        <f t="shared" si="69"/>
        <v>-5.33</v>
      </c>
    </row>
    <row r="893" customHeight="1" spans="1:17">
      <c r="B893" s="2">
        <v>892</v>
      </c>
      <c r="C893" s="17">
        <f t="shared" si="67"/>
        <v>60.4</v>
      </c>
      <c r="D893" s="2" t="s">
        <v>1302</v>
      </c>
      <c r="E893" s="12">
        <v>63</v>
      </c>
      <c r="F893" s="12">
        <v>60</v>
      </c>
      <c r="G893" s="2">
        <v>53</v>
      </c>
      <c r="H893" s="2" t="s">
        <v>1303</v>
      </c>
      <c r="I893" s="2" t="s">
        <v>33</v>
      </c>
      <c r="J893" s="4" t="s">
        <v>38</v>
      </c>
      <c r="M893" s="2">
        <f t="shared" si="65"/>
        <v>45</v>
      </c>
      <c r="N893" s="2">
        <f t="shared" si="66"/>
        <v>61.4</v>
      </c>
      <c r="O893" s="2">
        <f>IF(M893="","",IF(M893&gt;=1000,95,IF(M893&lt;=12.5,50,LOOKUP(M893,{12.5,15,20,30,45,60,75,105,115,150,200,225,250,600,1000},{50,55,60,62,65,68,70,72,75,80,82,85,87,90,95})+(M893-LOOKUP(M893,{12.5,15,20,30,45,60,75,105,115,150,200,225,250,600},{12.5,15,20,30,45,60,75,105,115,150,200,225,250,600}))/(LOOKUP(M893,{12.5,15,20,30,45,60,75,105,115,150,200,225,250,600,1000},{15,20,30,45,60,75,105,115,150,200,225,250,600,1000,1000})-LOOKUP(M893,{12.5,15,20,30,45,60,75,105,115,150,200,225,250,600},{12.5,15,20,30,45,60,75,105,115,150,200,225,250,600}))*(LOOKUP(M893,{12.5,15,20,30,45,60,75,105,115,150,200,225,250,600,1000},{55,60,62,65,68,70,72,75,80,82,85,87,90,95,95})-LOOKUP(M893,{12.5,15,20,30,45,60,75,105,115,150,200,225,250,600,1000},{50,55,60,62,65,68,70,72,75,80,82,85,87,90,95})))))</f>
        <v>65</v>
      </c>
      <c r="P893" s="2">
        <f t="shared" si="68"/>
        <v>-2</v>
      </c>
      <c r="Q893" s="2">
        <f t="shared" si="69"/>
        <v>-1</v>
      </c>
    </row>
    <row r="894" customHeight="1" spans="1:17">
      <c r="B894" s="2">
        <v>893</v>
      </c>
      <c r="C894" s="17">
        <f t="shared" si="67"/>
        <v>60.36</v>
      </c>
      <c r="D894" s="2" t="s">
        <v>1304</v>
      </c>
      <c r="E894" s="12">
        <v>67</v>
      </c>
      <c r="F894" s="9">
        <v>75</v>
      </c>
      <c r="G894" s="12">
        <v>68</v>
      </c>
      <c r="H894" s="2" t="s">
        <v>1305</v>
      </c>
      <c r="I894" s="2" t="s">
        <v>23</v>
      </c>
      <c r="J894" s="4" t="s">
        <v>123</v>
      </c>
      <c r="M894" s="2">
        <f t="shared" si="65"/>
        <v>250</v>
      </c>
      <c r="N894" s="2">
        <f t="shared" si="66"/>
        <v>68.7</v>
      </c>
      <c r="O894" s="2">
        <f>IF(M894="","",IF(M894&gt;=1000,95,IF(M894&lt;=12.5,50,LOOKUP(M894,{12.5,15,20,30,45,60,75,105,115,150,200,225,250,600,1000},{50,55,60,62,65,68,70,72,75,80,82,85,87,90,95})+(M894-LOOKUP(M894,{12.5,15,20,30,45,60,75,105,115,150,200,225,250,600},{12.5,15,20,30,45,60,75,105,115,150,200,225,250,600}))/(LOOKUP(M894,{12.5,15,20,30,45,60,75,105,115,150,200,225,250,600,1000},{15,20,30,45,60,75,105,115,150,200,225,250,600,1000,1000})-LOOKUP(M894,{12.5,15,20,30,45,60,75,105,115,150,200,225,250,600},{12.5,15,20,30,45,60,75,105,115,150,200,225,250,600}))*(LOOKUP(M894,{12.5,15,20,30,45,60,75,105,115,150,200,225,250,600,1000},{55,60,62,65,68,70,72,75,80,82,85,87,90,95,95})-LOOKUP(M894,{12.5,15,20,30,45,60,75,105,115,150,200,225,250,600,1000},{50,55,60,62,65,68,70,72,75,80,82,85,87,90,95})))))</f>
        <v>87</v>
      </c>
      <c r="P894" s="2">
        <f t="shared" si="68"/>
        <v>-20</v>
      </c>
      <c r="Q894" s="2">
        <f t="shared" si="69"/>
        <v>-8.34</v>
      </c>
    </row>
    <row r="895" customHeight="1" spans="1:17">
      <c r="A895" s="2">
        <v>2026</v>
      </c>
      <c r="B895" s="2">
        <v>894</v>
      </c>
      <c r="C895" s="17">
        <f t="shared" si="67"/>
        <v>60.33</v>
      </c>
      <c r="D895" s="2" t="s">
        <v>1306</v>
      </c>
      <c r="E895" s="12">
        <v>67</v>
      </c>
      <c r="F895" s="12">
        <v>69</v>
      </c>
      <c r="G895" s="12">
        <v>63</v>
      </c>
      <c r="H895" s="2" t="s">
        <v>54</v>
      </c>
      <c r="I895" s="2" t="s">
        <v>612</v>
      </c>
      <c r="J895" s="4" t="s">
        <v>51</v>
      </c>
      <c r="M895" s="2">
        <f t="shared" si="65"/>
        <v>200</v>
      </c>
      <c r="N895" s="2">
        <f t="shared" si="66"/>
        <v>67</v>
      </c>
      <c r="O895" s="2">
        <f>IF(M895="","",IF(M895&gt;=1000,95,IF(M895&lt;=12.5,50,LOOKUP(M895,{12.5,15,20,30,45,60,75,105,115,150,200,225,250,600,1000},{50,55,60,62,65,68,70,72,75,80,82,85,87,90,95})+(M895-LOOKUP(M895,{12.5,15,20,30,45,60,75,105,115,150,200,225,250,600},{12.5,15,20,30,45,60,75,105,115,150,200,225,250,600}))/(LOOKUP(M895,{12.5,15,20,30,45,60,75,105,115,150,200,225,250,600,1000},{15,20,30,45,60,75,105,115,150,200,225,250,600,1000,1000})-LOOKUP(M895,{12.5,15,20,30,45,60,75,105,115,150,200,225,250,600},{12.5,15,20,30,45,60,75,105,115,150,200,225,250,600}))*(LOOKUP(M895,{12.5,15,20,30,45,60,75,105,115,150,200,225,250,600,1000},{55,60,62,65,68,70,72,75,80,82,85,87,90,95,95})-LOOKUP(M895,{12.5,15,20,30,45,60,75,105,115,150,200,225,250,600,1000},{50,55,60,62,65,68,70,72,75,80,82,85,87,90,95})))))</f>
        <v>82</v>
      </c>
      <c r="P895" s="2">
        <f t="shared" si="68"/>
        <v>-15</v>
      </c>
      <c r="Q895" s="2">
        <f t="shared" si="69"/>
        <v>-6.67</v>
      </c>
    </row>
    <row r="896" customHeight="1" spans="1:17">
      <c r="A896" s="2">
        <v>2026</v>
      </c>
      <c r="B896" s="2">
        <v>895</v>
      </c>
      <c r="C896" s="17">
        <f t="shared" si="67"/>
        <v>60.3</v>
      </c>
      <c r="D896" s="2" t="s">
        <v>1307</v>
      </c>
      <c r="E896" s="12">
        <v>66</v>
      </c>
      <c r="F896" s="2">
        <v>50</v>
      </c>
      <c r="G896" s="2">
        <v>21</v>
      </c>
      <c r="H896" s="2" t="s">
        <v>54</v>
      </c>
      <c r="I896" s="2" t="s">
        <v>28</v>
      </c>
      <c r="J896" s="4" t="s">
        <v>88</v>
      </c>
      <c r="M896" s="2">
        <f t="shared" si="65"/>
        <v>30</v>
      </c>
      <c r="N896" s="2">
        <f t="shared" si="66"/>
        <v>58.3</v>
      </c>
      <c r="O896" s="2">
        <f>IF(M896="","",IF(M896&gt;=1000,95,IF(M896&lt;=12.5,50,LOOKUP(M896,{12.5,15,20,30,45,60,75,105,115,150,200,225,250,600,1000},{50,55,60,62,65,68,70,72,75,80,82,85,87,90,95})+(M896-LOOKUP(M896,{12.5,15,20,30,45,60,75,105,115,150,200,225,250,600},{12.5,15,20,30,45,60,75,105,115,150,200,225,250,600}))/(LOOKUP(M896,{12.5,15,20,30,45,60,75,105,115,150,200,225,250,600,1000},{15,20,30,45,60,75,105,115,150,200,225,250,600,1000,1000})-LOOKUP(M896,{12.5,15,20,30,45,60,75,105,115,150,200,225,250,600},{12.5,15,20,30,45,60,75,105,115,150,200,225,250,600}))*(LOOKUP(M896,{12.5,15,20,30,45,60,75,105,115,150,200,225,250,600,1000},{55,60,62,65,68,70,72,75,80,82,85,87,90,95,95})-LOOKUP(M896,{12.5,15,20,30,45,60,75,105,115,150,200,225,250,600,1000},{50,55,60,62,65,68,70,72,75,80,82,85,87,90,95})))))</f>
        <v>62</v>
      </c>
      <c r="P896" s="2">
        <f t="shared" si="68"/>
        <v>4</v>
      </c>
      <c r="Q896" s="2">
        <f t="shared" si="69"/>
        <v>2</v>
      </c>
    </row>
    <row r="897" customHeight="1" spans="1:17">
      <c r="B897" s="2">
        <v>896</v>
      </c>
      <c r="C897" s="17">
        <f t="shared" si="67"/>
        <v>60.3</v>
      </c>
      <c r="D897" s="2" t="s">
        <v>1308</v>
      </c>
      <c r="E897" s="12">
        <v>65</v>
      </c>
      <c r="F897" s="12">
        <v>68</v>
      </c>
      <c r="G897" s="12">
        <v>62</v>
      </c>
      <c r="H897" s="2" t="s">
        <v>1309</v>
      </c>
      <c r="I897" s="2" t="s">
        <v>33</v>
      </c>
      <c r="J897" s="4" t="s">
        <v>148</v>
      </c>
      <c r="M897" s="2">
        <f t="shared" si="65"/>
        <v>115</v>
      </c>
      <c r="N897" s="2">
        <f t="shared" si="66"/>
        <v>65.3</v>
      </c>
      <c r="O897" s="2">
        <f>IF(M897="","",IF(M897&gt;=1000,95,IF(M897&lt;=12.5,50,LOOKUP(M897,{12.5,15,20,30,45,60,75,105,115,150,200,225,250,600,1000},{50,55,60,62,65,68,70,72,75,80,82,85,87,90,95})+(M897-LOOKUP(M897,{12.5,15,20,30,45,60,75,105,115,150,200,225,250,600},{12.5,15,20,30,45,60,75,105,115,150,200,225,250,600}))/(LOOKUP(M897,{12.5,15,20,30,45,60,75,105,115,150,200,225,250,600,1000},{15,20,30,45,60,75,105,115,150,200,225,250,600,1000,1000})-LOOKUP(M897,{12.5,15,20,30,45,60,75,105,115,150,200,225,250,600},{12.5,15,20,30,45,60,75,105,115,150,200,225,250,600}))*(LOOKUP(M897,{12.5,15,20,30,45,60,75,105,115,150,200,225,250,600,1000},{55,60,62,65,68,70,72,75,80,82,85,87,90,95,95})-LOOKUP(M897,{12.5,15,20,30,45,60,75,105,115,150,200,225,250,600,1000},{50,55,60,62,65,68,70,72,75,80,82,85,87,90,95})))))</f>
        <v>75</v>
      </c>
      <c r="P897" s="2">
        <f t="shared" si="68"/>
        <v>-10</v>
      </c>
      <c r="Q897" s="2">
        <f t="shared" si="69"/>
        <v>-5</v>
      </c>
    </row>
    <row r="898" customHeight="1" spans="1:17">
      <c r="A898" s="2">
        <v>2026</v>
      </c>
      <c r="B898" s="2">
        <v>897</v>
      </c>
      <c r="C898" s="17">
        <f t="shared" si="67"/>
        <v>60.3</v>
      </c>
      <c r="D898" s="2" t="s">
        <v>1310</v>
      </c>
      <c r="E898" s="12">
        <v>63</v>
      </c>
      <c r="F898" s="12">
        <v>65</v>
      </c>
      <c r="G898" s="2">
        <v>57</v>
      </c>
      <c r="H898" s="2" t="s">
        <v>54</v>
      </c>
      <c r="I898" s="2" t="s">
        <v>104</v>
      </c>
      <c r="J898" s="4" t="s">
        <v>34</v>
      </c>
      <c r="M898" s="2">
        <f t="shared" ref="M898:M961" si="70">IF(J898="1000+",1000,(LEFT(J898,FIND("-",J898)-1)+RIGHT(J898,LEN(J898)-FIND("-",J898)))/2)</f>
        <v>60</v>
      </c>
      <c r="N898" s="2">
        <f t="shared" ref="N898:N961" si="71">ROUND(E898*0.7+F898*0.2+G898*0.1,2)</f>
        <v>62.8</v>
      </c>
      <c r="O898" s="2">
        <f>IF(M898="","",IF(M898&gt;=1000,95,IF(M898&lt;=12.5,50,LOOKUP(M898,{12.5,15,20,30,45,60,75,105,115,150,200,225,250,600,1000},{50,55,60,62,65,68,70,72,75,80,82,85,87,90,95})+(M898-LOOKUP(M898,{12.5,15,20,30,45,60,75,105,115,150,200,225,250,600},{12.5,15,20,30,45,60,75,105,115,150,200,225,250,600}))/(LOOKUP(M898,{12.5,15,20,30,45,60,75,105,115,150,200,225,250,600,1000},{15,20,30,45,60,75,105,115,150,200,225,250,600,1000,1000})-LOOKUP(M898,{12.5,15,20,30,45,60,75,105,115,150,200,225,250,600},{12.5,15,20,30,45,60,75,105,115,150,200,225,250,600}))*(LOOKUP(M898,{12.5,15,20,30,45,60,75,105,115,150,200,225,250,600,1000},{55,60,62,65,68,70,72,75,80,82,85,87,90,95,95})-LOOKUP(M898,{12.5,15,20,30,45,60,75,105,115,150,200,225,250,600,1000},{50,55,60,62,65,68,70,72,75,80,82,85,87,90,95})))))</f>
        <v>68</v>
      </c>
      <c r="P898" s="2">
        <f t="shared" si="68"/>
        <v>-5</v>
      </c>
      <c r="Q898" s="2">
        <f t="shared" si="69"/>
        <v>-2.5</v>
      </c>
    </row>
    <row r="899" customHeight="1" spans="1:17">
      <c r="B899" s="2">
        <v>898</v>
      </c>
      <c r="C899" s="17">
        <f t="shared" si="67"/>
        <v>60.3</v>
      </c>
      <c r="D899" s="2" t="s">
        <v>1311</v>
      </c>
      <c r="E899" s="12">
        <v>64</v>
      </c>
      <c r="F899" s="12">
        <v>60</v>
      </c>
      <c r="G899" s="12">
        <v>65</v>
      </c>
      <c r="H899" s="2" t="s">
        <v>41</v>
      </c>
      <c r="I899" s="2" t="s">
        <v>63</v>
      </c>
      <c r="J899" s="4" t="s">
        <v>24</v>
      </c>
      <c r="M899" s="2">
        <f t="shared" si="70"/>
        <v>75</v>
      </c>
      <c r="N899" s="2">
        <f t="shared" si="71"/>
        <v>63.3</v>
      </c>
      <c r="O899" s="2">
        <f>IF(M899="","",IF(M899&gt;=1000,95,IF(M899&lt;=12.5,50,LOOKUP(M899,{12.5,15,20,30,45,60,75,105,115,150,200,225,250,600,1000},{50,55,60,62,65,68,70,72,75,80,82,85,87,90,95})+(M899-LOOKUP(M899,{12.5,15,20,30,45,60,75,105,115,150,200,225,250,600},{12.5,15,20,30,45,60,75,105,115,150,200,225,250,600}))/(LOOKUP(M899,{12.5,15,20,30,45,60,75,105,115,150,200,225,250,600,1000},{15,20,30,45,60,75,105,115,150,200,225,250,600,1000,1000})-LOOKUP(M899,{12.5,15,20,30,45,60,75,105,115,150,200,225,250,600},{12.5,15,20,30,45,60,75,105,115,150,200,225,250,600}))*(LOOKUP(M899,{12.5,15,20,30,45,60,75,105,115,150,200,225,250,600,1000},{55,60,62,65,68,70,72,75,80,82,85,87,90,95,95})-LOOKUP(M899,{12.5,15,20,30,45,60,75,105,115,150,200,225,250,600,1000},{50,55,60,62,65,68,70,72,75,80,82,85,87,90,95})))))</f>
        <v>70</v>
      </c>
      <c r="P899" s="2">
        <f t="shared" si="68"/>
        <v>-6</v>
      </c>
      <c r="Q899" s="2">
        <f t="shared" si="69"/>
        <v>-3</v>
      </c>
    </row>
    <row r="900" customHeight="1" spans="1:17">
      <c r="A900" s="2">
        <v>2026</v>
      </c>
      <c r="B900" s="2">
        <v>899</v>
      </c>
      <c r="C900" s="17">
        <f t="shared" si="67"/>
        <v>60.3</v>
      </c>
      <c r="D900" s="2" t="s">
        <v>1312</v>
      </c>
      <c r="E900" s="12">
        <v>63</v>
      </c>
      <c r="F900" s="12">
        <v>60</v>
      </c>
      <c r="G900" s="2">
        <v>52</v>
      </c>
      <c r="H900" s="2" t="s">
        <v>54</v>
      </c>
      <c r="I900" s="2" t="s">
        <v>104</v>
      </c>
      <c r="J900" s="4" t="s">
        <v>38</v>
      </c>
      <c r="M900" s="2">
        <f t="shared" si="70"/>
        <v>45</v>
      </c>
      <c r="N900" s="2">
        <f t="shared" si="71"/>
        <v>61.3</v>
      </c>
      <c r="O900" s="2">
        <f>IF(M900="","",IF(M900&gt;=1000,95,IF(M900&lt;=12.5,50,LOOKUP(M900,{12.5,15,20,30,45,60,75,105,115,150,200,225,250,600,1000},{50,55,60,62,65,68,70,72,75,80,82,85,87,90,95})+(M900-LOOKUP(M900,{12.5,15,20,30,45,60,75,105,115,150,200,225,250,600},{12.5,15,20,30,45,60,75,105,115,150,200,225,250,600}))/(LOOKUP(M900,{12.5,15,20,30,45,60,75,105,115,150,200,225,250,600,1000},{15,20,30,45,60,75,105,115,150,200,225,250,600,1000,1000})-LOOKUP(M900,{12.5,15,20,30,45,60,75,105,115,150,200,225,250,600},{12.5,15,20,30,45,60,75,105,115,150,200,225,250,600}))*(LOOKUP(M900,{12.5,15,20,30,45,60,75,105,115,150,200,225,250,600,1000},{55,60,62,65,68,70,72,75,80,82,85,87,90,95,95})-LOOKUP(M900,{12.5,15,20,30,45,60,75,105,115,150,200,225,250,600,1000},{50,55,60,62,65,68,70,72,75,80,82,85,87,90,95})))))</f>
        <v>65</v>
      </c>
      <c r="P900" s="2">
        <f t="shared" si="68"/>
        <v>-2</v>
      </c>
      <c r="Q900" s="2">
        <f t="shared" si="69"/>
        <v>-1</v>
      </c>
    </row>
    <row r="901" customHeight="1" spans="1:17">
      <c r="B901" s="2">
        <v>900</v>
      </c>
      <c r="C901" s="17">
        <f t="shared" si="67"/>
        <v>60.3</v>
      </c>
      <c r="D901" s="2" t="s">
        <v>1313</v>
      </c>
      <c r="E901" s="9">
        <v>70</v>
      </c>
      <c r="F901" s="12">
        <v>63</v>
      </c>
      <c r="G901" s="2">
        <v>37</v>
      </c>
      <c r="H901" s="2" t="s">
        <v>515</v>
      </c>
      <c r="I901" s="2" t="s">
        <v>33</v>
      </c>
      <c r="J901" s="4" t="s">
        <v>59</v>
      </c>
      <c r="M901" s="2">
        <f t="shared" si="70"/>
        <v>150</v>
      </c>
      <c r="N901" s="2">
        <f t="shared" si="71"/>
        <v>65.3</v>
      </c>
      <c r="O901" s="2">
        <f>IF(M901="","",IF(M901&gt;=1000,95,IF(M901&lt;=12.5,50,LOOKUP(M901,{12.5,15,20,30,45,60,75,105,115,150,200,225,250,600,1000},{50,55,60,62,65,68,70,72,75,80,82,85,87,90,95})+(M901-LOOKUP(M901,{12.5,15,20,30,45,60,75,105,115,150,200,225,250,600},{12.5,15,20,30,45,60,75,105,115,150,200,225,250,600}))/(LOOKUP(M901,{12.5,15,20,30,45,60,75,105,115,150,200,225,250,600,1000},{15,20,30,45,60,75,105,115,150,200,225,250,600,1000,1000})-LOOKUP(M901,{12.5,15,20,30,45,60,75,105,115,150,200,225,250,600},{12.5,15,20,30,45,60,75,105,115,150,200,225,250,600}))*(LOOKUP(M901,{12.5,15,20,30,45,60,75,105,115,150,200,225,250,600,1000},{55,60,62,65,68,70,72,75,80,82,85,87,90,95,95})-LOOKUP(M901,{12.5,15,20,30,45,60,75,105,115,150,200,225,250,600,1000},{50,55,60,62,65,68,70,72,75,80,82,85,87,90,95})))))</f>
        <v>80</v>
      </c>
      <c r="P901" s="2">
        <f t="shared" si="68"/>
        <v>-10</v>
      </c>
      <c r="Q901" s="2">
        <f t="shared" si="69"/>
        <v>-5</v>
      </c>
    </row>
    <row r="902" customHeight="1" spans="1:17">
      <c r="A902" s="2">
        <v>2026</v>
      </c>
      <c r="B902" s="2">
        <v>901</v>
      </c>
      <c r="C902" s="17">
        <f t="shared" ref="C902:C914" si="72">ROUND(MAX(MIN(N902+Q902,100),0),2)</f>
        <v>60.3</v>
      </c>
      <c r="D902" s="2" t="s">
        <v>1314</v>
      </c>
      <c r="E902" s="12">
        <v>61</v>
      </c>
      <c r="F902" s="2">
        <v>51</v>
      </c>
      <c r="G902" s="2">
        <v>44</v>
      </c>
      <c r="H902" s="2" t="s">
        <v>54</v>
      </c>
      <c r="I902" s="2" t="s">
        <v>28</v>
      </c>
      <c r="J902" s="4" t="s">
        <v>29</v>
      </c>
      <c r="M902" s="2">
        <f t="shared" si="70"/>
        <v>15</v>
      </c>
      <c r="N902" s="2">
        <f t="shared" si="71"/>
        <v>57.3</v>
      </c>
      <c r="O902" s="2">
        <f>IF(M902="","",IF(M902&gt;=1000,95,IF(M902&lt;=12.5,50,LOOKUP(M902,{12.5,15,20,30,45,60,75,105,115,150,200,225,250,600,1000},{50,55,60,62,65,68,70,72,75,80,82,85,87,90,95})+(M902-LOOKUP(M902,{12.5,15,20,30,45,60,75,105,115,150,200,225,250,600},{12.5,15,20,30,45,60,75,105,115,150,200,225,250,600}))/(LOOKUP(M902,{12.5,15,20,30,45,60,75,105,115,150,200,225,250,600,1000},{15,20,30,45,60,75,105,115,150,200,225,250,600,1000,1000})-LOOKUP(M902,{12.5,15,20,30,45,60,75,105,115,150,200,225,250,600},{12.5,15,20,30,45,60,75,105,115,150,200,225,250,600}))*(LOOKUP(M902,{12.5,15,20,30,45,60,75,105,115,150,200,225,250,600,1000},{55,60,62,65,68,70,72,75,80,82,85,87,90,95,95})-LOOKUP(M902,{12.5,15,20,30,45,60,75,105,115,150,200,225,250,600,1000},{50,55,60,62,65,68,70,72,75,80,82,85,87,90,95})))))</f>
        <v>55</v>
      </c>
      <c r="P902" s="2">
        <f t="shared" ref="P902:P965" si="73">E902-O902</f>
        <v>6</v>
      </c>
      <c r="Q902" s="2">
        <f t="shared" ref="Q902:Q965" si="74">ROUND(SIGN(P902)*IF(ABS(P902)&lt;=10,ABS(P902)*0.5,IF(ABS(P902)&lt;=15,5+(ABS(P902)-10)*(1.67/5),6.67+(ABS(P902)-15)*0.333)),2)</f>
        <v>3</v>
      </c>
    </row>
    <row r="903" customHeight="1" spans="1:17">
      <c r="B903" s="2">
        <v>902</v>
      </c>
      <c r="C903" s="17">
        <f t="shared" si="72"/>
        <v>60.26</v>
      </c>
      <c r="D903" s="2" t="s">
        <v>1315</v>
      </c>
      <c r="E903" s="12">
        <v>66</v>
      </c>
      <c r="F903" s="12">
        <v>66</v>
      </c>
      <c r="G903" s="9">
        <v>72</v>
      </c>
      <c r="H903" s="2" t="s">
        <v>914</v>
      </c>
      <c r="I903" s="2" t="s">
        <v>239</v>
      </c>
      <c r="J903" s="4" t="s">
        <v>59</v>
      </c>
      <c r="M903" s="2">
        <f t="shared" si="70"/>
        <v>150</v>
      </c>
      <c r="N903" s="2">
        <f t="shared" si="71"/>
        <v>66.6</v>
      </c>
      <c r="O903" s="2">
        <f>IF(M903="","",IF(M903&gt;=1000,95,IF(M903&lt;=12.5,50,LOOKUP(M903,{12.5,15,20,30,45,60,75,105,115,150,200,225,250,600,1000},{50,55,60,62,65,68,70,72,75,80,82,85,87,90,95})+(M903-LOOKUP(M903,{12.5,15,20,30,45,60,75,105,115,150,200,225,250,600},{12.5,15,20,30,45,60,75,105,115,150,200,225,250,600}))/(LOOKUP(M903,{12.5,15,20,30,45,60,75,105,115,150,200,225,250,600,1000},{15,20,30,45,60,75,105,115,150,200,225,250,600,1000,1000})-LOOKUP(M903,{12.5,15,20,30,45,60,75,105,115,150,200,225,250,600},{12.5,15,20,30,45,60,75,105,115,150,200,225,250,600}))*(LOOKUP(M903,{12.5,15,20,30,45,60,75,105,115,150,200,225,250,600,1000},{55,60,62,65,68,70,72,75,80,82,85,87,90,95,95})-LOOKUP(M903,{12.5,15,20,30,45,60,75,105,115,150,200,225,250,600,1000},{50,55,60,62,65,68,70,72,75,80,82,85,87,90,95})))))</f>
        <v>80</v>
      </c>
      <c r="P903" s="2">
        <f t="shared" si="73"/>
        <v>-14</v>
      </c>
      <c r="Q903" s="2">
        <f t="shared" si="74"/>
        <v>-6.34</v>
      </c>
    </row>
    <row r="904" customHeight="1" spans="1:17">
      <c r="A904" s="2">
        <v>2026</v>
      </c>
      <c r="B904" s="2">
        <v>903</v>
      </c>
      <c r="C904" s="17">
        <f t="shared" si="72"/>
        <v>60.2</v>
      </c>
      <c r="D904" s="2" t="s">
        <v>1316</v>
      </c>
      <c r="E904" s="12">
        <v>62</v>
      </c>
      <c r="F904" s="2">
        <v>55</v>
      </c>
      <c r="G904" s="2">
        <v>58</v>
      </c>
      <c r="H904" s="2" t="s">
        <v>41</v>
      </c>
      <c r="I904" s="2" t="s">
        <v>128</v>
      </c>
      <c r="J904" s="4" t="s">
        <v>88</v>
      </c>
      <c r="M904" s="2">
        <f t="shared" si="70"/>
        <v>30</v>
      </c>
      <c r="N904" s="2">
        <f t="shared" si="71"/>
        <v>60.2</v>
      </c>
      <c r="O904" s="2">
        <f>IF(M904="","",IF(M904&gt;=1000,95,IF(M904&lt;=12.5,50,LOOKUP(M904,{12.5,15,20,30,45,60,75,105,115,150,200,225,250,600,1000},{50,55,60,62,65,68,70,72,75,80,82,85,87,90,95})+(M904-LOOKUP(M904,{12.5,15,20,30,45,60,75,105,115,150,200,225,250,600},{12.5,15,20,30,45,60,75,105,115,150,200,225,250,600}))/(LOOKUP(M904,{12.5,15,20,30,45,60,75,105,115,150,200,225,250,600,1000},{15,20,30,45,60,75,105,115,150,200,225,250,600,1000,1000})-LOOKUP(M904,{12.5,15,20,30,45,60,75,105,115,150,200,225,250,600},{12.5,15,20,30,45,60,75,105,115,150,200,225,250,600}))*(LOOKUP(M904,{12.5,15,20,30,45,60,75,105,115,150,200,225,250,600,1000},{55,60,62,65,68,70,72,75,80,82,85,87,90,95,95})-LOOKUP(M904,{12.5,15,20,30,45,60,75,105,115,150,200,225,250,600,1000},{50,55,60,62,65,68,70,72,75,80,82,85,87,90,95})))))</f>
        <v>62</v>
      </c>
      <c r="P904" s="2">
        <f t="shared" si="73"/>
        <v>0</v>
      </c>
      <c r="Q904" s="2">
        <f t="shared" si="74"/>
        <v>0</v>
      </c>
    </row>
    <row r="905" customHeight="1" spans="1:17">
      <c r="B905" s="2">
        <v>904</v>
      </c>
      <c r="C905" s="17">
        <f t="shared" si="72"/>
        <v>60.2</v>
      </c>
      <c r="D905" s="2" t="s">
        <v>1317</v>
      </c>
      <c r="E905" s="12">
        <v>65</v>
      </c>
      <c r="F905" s="12">
        <v>65</v>
      </c>
      <c r="G905" s="12">
        <v>67</v>
      </c>
      <c r="H905" s="2" t="s">
        <v>122</v>
      </c>
      <c r="I905" s="2" t="s">
        <v>18</v>
      </c>
      <c r="J905" s="4" t="s">
        <v>148</v>
      </c>
      <c r="M905" s="2">
        <f t="shared" si="70"/>
        <v>115</v>
      </c>
      <c r="N905" s="2">
        <f t="shared" si="71"/>
        <v>65.2</v>
      </c>
      <c r="O905" s="2">
        <f>IF(M905="","",IF(M905&gt;=1000,95,IF(M905&lt;=12.5,50,LOOKUP(M905,{12.5,15,20,30,45,60,75,105,115,150,200,225,250,600,1000},{50,55,60,62,65,68,70,72,75,80,82,85,87,90,95})+(M905-LOOKUP(M905,{12.5,15,20,30,45,60,75,105,115,150,200,225,250,600},{12.5,15,20,30,45,60,75,105,115,150,200,225,250,600}))/(LOOKUP(M905,{12.5,15,20,30,45,60,75,105,115,150,200,225,250,600,1000},{15,20,30,45,60,75,105,115,150,200,225,250,600,1000,1000})-LOOKUP(M905,{12.5,15,20,30,45,60,75,105,115,150,200,225,250,600},{12.5,15,20,30,45,60,75,105,115,150,200,225,250,600}))*(LOOKUP(M905,{12.5,15,20,30,45,60,75,105,115,150,200,225,250,600,1000},{55,60,62,65,68,70,72,75,80,82,85,87,90,95,95})-LOOKUP(M905,{12.5,15,20,30,45,60,75,105,115,150,200,225,250,600,1000},{50,55,60,62,65,68,70,72,75,80,82,85,87,90,95})))))</f>
        <v>75</v>
      </c>
      <c r="P905" s="2">
        <f t="shared" si="73"/>
        <v>-10</v>
      </c>
      <c r="Q905" s="2">
        <f t="shared" si="74"/>
        <v>-5</v>
      </c>
    </row>
    <row r="906" customHeight="1" spans="1:17">
      <c r="A906" s="2">
        <v>2026</v>
      </c>
      <c r="B906" s="2">
        <v>905</v>
      </c>
      <c r="C906" s="17">
        <f t="shared" si="72"/>
        <v>60.2</v>
      </c>
      <c r="D906" s="2" t="s">
        <v>1318</v>
      </c>
      <c r="E906" s="12">
        <v>64</v>
      </c>
      <c r="F906" s="12">
        <v>60</v>
      </c>
      <c r="G906" s="12">
        <v>64</v>
      </c>
      <c r="H906" s="2" t="s">
        <v>378</v>
      </c>
      <c r="I906" s="2" t="s">
        <v>104</v>
      </c>
      <c r="J906" s="4" t="s">
        <v>24</v>
      </c>
      <c r="M906" s="2">
        <f t="shared" si="70"/>
        <v>75</v>
      </c>
      <c r="N906" s="2">
        <f t="shared" si="71"/>
        <v>63.2</v>
      </c>
      <c r="O906" s="2">
        <f>IF(M906="","",IF(M906&gt;=1000,95,IF(M906&lt;=12.5,50,LOOKUP(M906,{12.5,15,20,30,45,60,75,105,115,150,200,225,250,600,1000},{50,55,60,62,65,68,70,72,75,80,82,85,87,90,95})+(M906-LOOKUP(M906,{12.5,15,20,30,45,60,75,105,115,150,200,225,250,600},{12.5,15,20,30,45,60,75,105,115,150,200,225,250,600}))/(LOOKUP(M906,{12.5,15,20,30,45,60,75,105,115,150,200,225,250,600,1000},{15,20,30,45,60,75,105,115,150,200,225,250,600,1000,1000})-LOOKUP(M906,{12.5,15,20,30,45,60,75,105,115,150,200,225,250,600},{12.5,15,20,30,45,60,75,105,115,150,200,225,250,600}))*(LOOKUP(M906,{12.5,15,20,30,45,60,75,105,115,150,200,225,250,600,1000},{55,60,62,65,68,70,72,75,80,82,85,87,90,95,95})-LOOKUP(M906,{12.5,15,20,30,45,60,75,105,115,150,200,225,250,600,1000},{50,55,60,62,65,68,70,72,75,80,82,85,87,90,95})))))</f>
        <v>70</v>
      </c>
      <c r="P906" s="2">
        <f t="shared" si="73"/>
        <v>-6</v>
      </c>
      <c r="Q906" s="2">
        <f t="shared" si="74"/>
        <v>-3</v>
      </c>
    </row>
    <row r="907" customHeight="1" spans="1:17">
      <c r="A907" s="2">
        <v>2026</v>
      </c>
      <c r="B907" s="2">
        <v>906</v>
      </c>
      <c r="C907" s="17">
        <f t="shared" si="72"/>
        <v>60.2</v>
      </c>
      <c r="D907" s="2" t="s">
        <v>1319</v>
      </c>
      <c r="E907" s="12">
        <v>62</v>
      </c>
      <c r="F907" s="2">
        <v>58</v>
      </c>
      <c r="G907" s="2">
        <v>52</v>
      </c>
      <c r="H907" s="2" t="s">
        <v>54</v>
      </c>
      <c r="I907" s="2" t="s">
        <v>63</v>
      </c>
      <c r="J907" s="4" t="s">
        <v>88</v>
      </c>
      <c r="M907" s="2">
        <f t="shared" si="70"/>
        <v>30</v>
      </c>
      <c r="N907" s="2">
        <f t="shared" si="71"/>
        <v>60.2</v>
      </c>
      <c r="O907" s="2">
        <f>IF(M907="","",IF(M907&gt;=1000,95,IF(M907&lt;=12.5,50,LOOKUP(M907,{12.5,15,20,30,45,60,75,105,115,150,200,225,250,600,1000},{50,55,60,62,65,68,70,72,75,80,82,85,87,90,95})+(M907-LOOKUP(M907,{12.5,15,20,30,45,60,75,105,115,150,200,225,250,600},{12.5,15,20,30,45,60,75,105,115,150,200,225,250,600}))/(LOOKUP(M907,{12.5,15,20,30,45,60,75,105,115,150,200,225,250,600,1000},{15,20,30,45,60,75,105,115,150,200,225,250,600,1000,1000})-LOOKUP(M907,{12.5,15,20,30,45,60,75,105,115,150,200,225,250,600},{12.5,15,20,30,45,60,75,105,115,150,200,225,250,600}))*(LOOKUP(M907,{12.5,15,20,30,45,60,75,105,115,150,200,225,250,600,1000},{55,60,62,65,68,70,72,75,80,82,85,87,90,95,95})-LOOKUP(M907,{12.5,15,20,30,45,60,75,105,115,150,200,225,250,600,1000},{50,55,60,62,65,68,70,72,75,80,82,85,87,90,95})))))</f>
        <v>62</v>
      </c>
      <c r="P907" s="2">
        <f t="shared" si="73"/>
        <v>0</v>
      </c>
      <c r="Q907" s="2">
        <f t="shared" si="74"/>
        <v>0</v>
      </c>
    </row>
    <row r="908" customHeight="1" spans="1:17">
      <c r="B908" s="2">
        <v>907</v>
      </c>
      <c r="C908" s="17">
        <f t="shared" si="72"/>
        <v>60.17</v>
      </c>
      <c r="D908" s="2" t="s">
        <v>1320</v>
      </c>
      <c r="E908" s="12">
        <v>67</v>
      </c>
      <c r="F908" s="9">
        <v>72</v>
      </c>
      <c r="G908" s="10">
        <v>82</v>
      </c>
      <c r="H908" s="2" t="s">
        <v>1321</v>
      </c>
      <c r="I908" s="2" t="s">
        <v>604</v>
      </c>
      <c r="J908" s="4" t="s">
        <v>73</v>
      </c>
      <c r="M908" s="2">
        <f t="shared" si="70"/>
        <v>600</v>
      </c>
      <c r="N908" s="2">
        <f t="shared" si="71"/>
        <v>69.5</v>
      </c>
      <c r="O908" s="2">
        <f>IF(M908="","",IF(M908&gt;=1000,95,IF(M908&lt;=12.5,50,LOOKUP(M908,{12.5,15,20,30,45,60,75,105,115,150,200,225,250,600,1000},{50,55,60,62,65,68,70,72,75,80,82,85,87,90,95})+(M908-LOOKUP(M908,{12.5,15,20,30,45,60,75,105,115,150,200,225,250,600},{12.5,15,20,30,45,60,75,105,115,150,200,225,250,600}))/(LOOKUP(M908,{12.5,15,20,30,45,60,75,105,115,150,200,225,250,600,1000},{15,20,30,45,60,75,105,115,150,200,225,250,600,1000,1000})-LOOKUP(M908,{12.5,15,20,30,45,60,75,105,115,150,200,225,250,600},{12.5,15,20,30,45,60,75,105,115,150,200,225,250,600}))*(LOOKUP(M908,{12.5,15,20,30,45,60,75,105,115,150,200,225,250,600,1000},{55,60,62,65,68,70,72,75,80,82,85,87,90,95,95})-LOOKUP(M908,{12.5,15,20,30,45,60,75,105,115,150,200,225,250,600,1000},{50,55,60,62,65,68,70,72,75,80,82,85,87,90,95})))))</f>
        <v>90</v>
      </c>
      <c r="P908" s="2">
        <f t="shared" si="73"/>
        <v>-23</v>
      </c>
      <c r="Q908" s="2">
        <f t="shared" si="74"/>
        <v>-9.33</v>
      </c>
    </row>
    <row r="909" customHeight="1" spans="1:17">
      <c r="A909" s="2">
        <v>2026</v>
      </c>
      <c r="B909" s="2">
        <v>908</v>
      </c>
      <c r="C909" s="17">
        <f t="shared" si="72"/>
        <v>60.13</v>
      </c>
      <c r="D909" s="2" t="s">
        <v>1322</v>
      </c>
      <c r="E909" s="12">
        <v>68</v>
      </c>
      <c r="F909" s="12">
        <v>65</v>
      </c>
      <c r="G909" s="2">
        <v>52</v>
      </c>
      <c r="H909" s="2" t="s">
        <v>41</v>
      </c>
      <c r="I909" s="2" t="s">
        <v>183</v>
      </c>
      <c r="J909" s="4" t="s">
        <v>59</v>
      </c>
      <c r="M909" s="2">
        <f t="shared" si="70"/>
        <v>150</v>
      </c>
      <c r="N909" s="2">
        <f t="shared" si="71"/>
        <v>65.8</v>
      </c>
      <c r="O909" s="2">
        <f>IF(M909="","",IF(M909&gt;=1000,95,IF(M909&lt;=12.5,50,LOOKUP(M909,{12.5,15,20,30,45,60,75,105,115,150,200,225,250,600,1000},{50,55,60,62,65,68,70,72,75,80,82,85,87,90,95})+(M909-LOOKUP(M909,{12.5,15,20,30,45,60,75,105,115,150,200,225,250,600},{12.5,15,20,30,45,60,75,105,115,150,200,225,250,600}))/(LOOKUP(M909,{12.5,15,20,30,45,60,75,105,115,150,200,225,250,600,1000},{15,20,30,45,60,75,105,115,150,200,225,250,600,1000,1000})-LOOKUP(M909,{12.5,15,20,30,45,60,75,105,115,150,200,225,250,600},{12.5,15,20,30,45,60,75,105,115,150,200,225,250,600}))*(LOOKUP(M909,{12.5,15,20,30,45,60,75,105,115,150,200,225,250,600,1000},{55,60,62,65,68,70,72,75,80,82,85,87,90,95,95})-LOOKUP(M909,{12.5,15,20,30,45,60,75,105,115,150,200,225,250,600,1000},{50,55,60,62,65,68,70,72,75,80,82,85,87,90,95})))))</f>
        <v>80</v>
      </c>
      <c r="P909" s="2">
        <f t="shared" si="73"/>
        <v>-12</v>
      </c>
      <c r="Q909" s="2">
        <f t="shared" si="74"/>
        <v>-5.67</v>
      </c>
    </row>
    <row r="910" customHeight="1" spans="1:17">
      <c r="B910" s="2">
        <v>909</v>
      </c>
      <c r="C910" s="17">
        <f t="shared" si="72"/>
        <v>60.13</v>
      </c>
      <c r="D910" s="2" t="s">
        <v>1323</v>
      </c>
      <c r="E910" s="9">
        <v>70</v>
      </c>
      <c r="F910" s="12">
        <v>60</v>
      </c>
      <c r="G910" s="2">
        <v>58</v>
      </c>
      <c r="H910" s="2" t="s">
        <v>367</v>
      </c>
      <c r="I910" s="2" t="s">
        <v>23</v>
      </c>
      <c r="J910" s="4" t="s">
        <v>19</v>
      </c>
      <c r="M910" s="2">
        <f t="shared" si="70"/>
        <v>225</v>
      </c>
      <c r="N910" s="2">
        <f t="shared" si="71"/>
        <v>66.8</v>
      </c>
      <c r="O910" s="2">
        <f>IF(M910="","",IF(M910&gt;=1000,95,IF(M910&lt;=12.5,50,LOOKUP(M910,{12.5,15,20,30,45,60,75,105,115,150,200,225,250,600,1000},{50,55,60,62,65,68,70,72,75,80,82,85,87,90,95})+(M910-LOOKUP(M910,{12.5,15,20,30,45,60,75,105,115,150,200,225,250,600},{12.5,15,20,30,45,60,75,105,115,150,200,225,250,600}))/(LOOKUP(M910,{12.5,15,20,30,45,60,75,105,115,150,200,225,250,600,1000},{15,20,30,45,60,75,105,115,150,200,225,250,600,1000,1000})-LOOKUP(M910,{12.5,15,20,30,45,60,75,105,115,150,200,225,250,600},{12.5,15,20,30,45,60,75,105,115,150,200,225,250,600}))*(LOOKUP(M910,{12.5,15,20,30,45,60,75,105,115,150,200,225,250,600,1000},{55,60,62,65,68,70,72,75,80,82,85,87,90,95,95})-LOOKUP(M910,{12.5,15,20,30,45,60,75,105,115,150,200,225,250,600,1000},{50,55,60,62,65,68,70,72,75,80,82,85,87,90,95})))))</f>
        <v>85</v>
      </c>
      <c r="P910" s="2">
        <f t="shared" si="73"/>
        <v>-15</v>
      </c>
      <c r="Q910" s="2">
        <f t="shared" si="74"/>
        <v>-6.67</v>
      </c>
    </row>
    <row r="911" customHeight="1" spans="1:17">
      <c r="B911" s="2">
        <v>910</v>
      </c>
      <c r="C911" s="17">
        <f t="shared" si="72"/>
        <v>60.1</v>
      </c>
      <c r="D911" s="2" t="s">
        <v>1324</v>
      </c>
      <c r="E911" s="12">
        <v>64</v>
      </c>
      <c r="F911" s="12">
        <v>65</v>
      </c>
      <c r="G911" s="12">
        <v>63</v>
      </c>
      <c r="H911" s="2" t="s">
        <v>689</v>
      </c>
      <c r="I911" s="2" t="s">
        <v>104</v>
      </c>
      <c r="J911" s="4" t="s">
        <v>105</v>
      </c>
      <c r="M911" s="2">
        <f t="shared" si="70"/>
        <v>105</v>
      </c>
      <c r="N911" s="2">
        <f t="shared" si="71"/>
        <v>64.1</v>
      </c>
      <c r="O911" s="2">
        <f>IF(M911="","",IF(M911&gt;=1000,95,IF(M911&lt;=12.5,50,LOOKUP(M911,{12.5,15,20,30,45,60,75,105,115,150,200,225,250,600,1000},{50,55,60,62,65,68,70,72,75,80,82,85,87,90,95})+(M911-LOOKUP(M911,{12.5,15,20,30,45,60,75,105,115,150,200,225,250,600},{12.5,15,20,30,45,60,75,105,115,150,200,225,250,600}))/(LOOKUP(M911,{12.5,15,20,30,45,60,75,105,115,150,200,225,250,600,1000},{15,20,30,45,60,75,105,115,150,200,225,250,600,1000,1000})-LOOKUP(M911,{12.5,15,20,30,45,60,75,105,115,150,200,225,250,600},{12.5,15,20,30,45,60,75,105,115,150,200,225,250,600}))*(LOOKUP(M911,{12.5,15,20,30,45,60,75,105,115,150,200,225,250,600,1000},{55,60,62,65,68,70,72,75,80,82,85,87,90,95,95})-LOOKUP(M911,{12.5,15,20,30,45,60,75,105,115,150,200,225,250,600,1000},{50,55,60,62,65,68,70,72,75,80,82,85,87,90,95})))))</f>
        <v>72</v>
      </c>
      <c r="P911" s="2">
        <f t="shared" si="73"/>
        <v>-8</v>
      </c>
      <c r="Q911" s="2">
        <f t="shared" si="74"/>
        <v>-4</v>
      </c>
    </row>
    <row r="912" customHeight="1" spans="1:17">
      <c r="B912" s="2">
        <v>911</v>
      </c>
      <c r="C912" s="17">
        <f t="shared" si="72"/>
        <v>60.06</v>
      </c>
      <c r="D912" s="2" t="s">
        <v>1325</v>
      </c>
      <c r="E912" s="12">
        <v>65</v>
      </c>
      <c r="F912" s="9">
        <v>70</v>
      </c>
      <c r="G912" s="10">
        <v>89</v>
      </c>
      <c r="H912" s="2" t="s">
        <v>41</v>
      </c>
      <c r="I912" s="2" t="s">
        <v>577</v>
      </c>
      <c r="J912" s="4" t="s">
        <v>19</v>
      </c>
      <c r="M912" s="2">
        <f t="shared" si="70"/>
        <v>225</v>
      </c>
      <c r="N912" s="2">
        <f t="shared" si="71"/>
        <v>68.4</v>
      </c>
      <c r="O912" s="2">
        <f>IF(M912="","",IF(M912&gt;=1000,95,IF(M912&lt;=12.5,50,LOOKUP(M912,{12.5,15,20,30,45,60,75,105,115,150,200,225,250,600,1000},{50,55,60,62,65,68,70,72,75,80,82,85,87,90,95})+(M912-LOOKUP(M912,{12.5,15,20,30,45,60,75,105,115,150,200,225,250,600},{12.5,15,20,30,45,60,75,105,115,150,200,225,250,600}))/(LOOKUP(M912,{12.5,15,20,30,45,60,75,105,115,150,200,225,250,600,1000},{15,20,30,45,60,75,105,115,150,200,225,250,600,1000,1000})-LOOKUP(M912,{12.5,15,20,30,45,60,75,105,115,150,200,225,250,600},{12.5,15,20,30,45,60,75,105,115,150,200,225,250,600}))*(LOOKUP(M912,{12.5,15,20,30,45,60,75,105,115,150,200,225,250,600,1000},{55,60,62,65,68,70,72,75,80,82,85,87,90,95,95})-LOOKUP(M912,{12.5,15,20,30,45,60,75,105,115,150,200,225,250,600,1000},{50,55,60,62,65,68,70,72,75,80,82,85,87,90,95})))))</f>
        <v>85</v>
      </c>
      <c r="P912" s="2">
        <f t="shared" si="73"/>
        <v>-20</v>
      </c>
      <c r="Q912" s="2">
        <f t="shared" si="74"/>
        <v>-8.34</v>
      </c>
    </row>
    <row r="913" customHeight="1" spans="1:17">
      <c r="B913" s="2">
        <v>912</v>
      </c>
      <c r="C913" s="17">
        <f t="shared" si="72"/>
        <v>60.03</v>
      </c>
      <c r="D913" s="2" t="s">
        <v>1326</v>
      </c>
      <c r="E913" s="12">
        <v>68</v>
      </c>
      <c r="F913" s="12">
        <v>60</v>
      </c>
      <c r="G913" s="12">
        <v>61</v>
      </c>
      <c r="H913" s="2" t="s">
        <v>41</v>
      </c>
      <c r="I913" s="2" t="s">
        <v>183</v>
      </c>
      <c r="J913" s="4" t="s">
        <v>59</v>
      </c>
      <c r="M913" s="2">
        <f t="shared" si="70"/>
        <v>150</v>
      </c>
      <c r="N913" s="2">
        <f t="shared" si="71"/>
        <v>65.7</v>
      </c>
      <c r="O913" s="2">
        <f>IF(M913="","",IF(M913&gt;=1000,95,IF(M913&lt;=12.5,50,LOOKUP(M913,{12.5,15,20,30,45,60,75,105,115,150,200,225,250,600,1000},{50,55,60,62,65,68,70,72,75,80,82,85,87,90,95})+(M913-LOOKUP(M913,{12.5,15,20,30,45,60,75,105,115,150,200,225,250,600},{12.5,15,20,30,45,60,75,105,115,150,200,225,250,600}))/(LOOKUP(M913,{12.5,15,20,30,45,60,75,105,115,150,200,225,250,600,1000},{15,20,30,45,60,75,105,115,150,200,225,250,600,1000,1000})-LOOKUP(M913,{12.5,15,20,30,45,60,75,105,115,150,200,225,250,600},{12.5,15,20,30,45,60,75,105,115,150,200,225,250,600}))*(LOOKUP(M913,{12.5,15,20,30,45,60,75,105,115,150,200,225,250,600,1000},{55,60,62,65,68,70,72,75,80,82,85,87,90,95,95})-LOOKUP(M913,{12.5,15,20,30,45,60,75,105,115,150,200,225,250,600,1000},{50,55,60,62,65,68,70,72,75,80,82,85,87,90,95})))))</f>
        <v>80</v>
      </c>
      <c r="P913" s="2">
        <f t="shared" si="73"/>
        <v>-12</v>
      </c>
      <c r="Q913" s="2">
        <f t="shared" si="74"/>
        <v>-5.67</v>
      </c>
    </row>
    <row r="914" customHeight="1" spans="1:17">
      <c r="A914" s="2">
        <v>2026</v>
      </c>
      <c r="B914" s="2">
        <v>913</v>
      </c>
      <c r="C914" s="17">
        <f t="shared" si="72"/>
        <v>60</v>
      </c>
      <c r="D914" s="2" t="s">
        <v>1327</v>
      </c>
      <c r="E914" s="2">
        <v>59</v>
      </c>
      <c r="F914" s="12">
        <v>60</v>
      </c>
      <c r="G914" s="2">
        <v>47</v>
      </c>
      <c r="H914" s="2" t="s">
        <v>54</v>
      </c>
      <c r="I914" s="2" t="s">
        <v>28</v>
      </c>
      <c r="J914" s="4" t="s">
        <v>29</v>
      </c>
      <c r="M914" s="2">
        <f t="shared" si="70"/>
        <v>15</v>
      </c>
      <c r="N914" s="2">
        <f t="shared" si="71"/>
        <v>58</v>
      </c>
      <c r="O914" s="2">
        <f>IF(M914="","",IF(M914&gt;=1000,95,IF(M914&lt;=12.5,50,LOOKUP(M914,{12.5,15,20,30,45,60,75,105,115,150,200,225,250,600,1000},{50,55,60,62,65,68,70,72,75,80,82,85,87,90,95})+(M914-LOOKUP(M914,{12.5,15,20,30,45,60,75,105,115,150,200,225,250,600},{12.5,15,20,30,45,60,75,105,115,150,200,225,250,600}))/(LOOKUP(M914,{12.5,15,20,30,45,60,75,105,115,150,200,225,250,600,1000},{15,20,30,45,60,75,105,115,150,200,225,250,600,1000,1000})-LOOKUP(M914,{12.5,15,20,30,45,60,75,105,115,150,200,225,250,600},{12.5,15,20,30,45,60,75,105,115,150,200,225,250,600}))*(LOOKUP(M914,{12.5,15,20,30,45,60,75,105,115,150,200,225,250,600,1000},{55,60,62,65,68,70,72,75,80,82,85,87,90,95,95})-LOOKUP(M914,{12.5,15,20,30,45,60,75,105,115,150,200,225,250,600,1000},{50,55,60,62,65,68,70,72,75,80,82,85,87,90,95})))))</f>
        <v>55</v>
      </c>
      <c r="P914" s="2">
        <f t="shared" si="73"/>
        <v>4</v>
      </c>
      <c r="Q914" s="2">
        <f t="shared" si="74"/>
        <v>2</v>
      </c>
    </row>
    <row r="915" customHeight="1" spans="1:17">
      <c r="B915" s="2">
        <v>914</v>
      </c>
      <c r="C915" s="17">
        <v>60</v>
      </c>
      <c r="D915" s="15" t="s">
        <v>1328</v>
      </c>
      <c r="E915" s="12">
        <v>60</v>
      </c>
      <c r="F915" s="12">
        <v>60</v>
      </c>
      <c r="G915" s="10">
        <v>80</v>
      </c>
      <c r="H915" s="2" t="s">
        <v>196</v>
      </c>
      <c r="I915" s="2" t="s">
        <v>197</v>
      </c>
      <c r="J915" s="4" t="s">
        <v>198</v>
      </c>
      <c r="M915" s="2">
        <f t="shared" si="70"/>
        <v>60</v>
      </c>
      <c r="N915" s="2">
        <f t="shared" si="71"/>
        <v>62</v>
      </c>
      <c r="O915" s="2">
        <f>IF(M915="","",IF(M915&gt;=1000,95,IF(M915&lt;=12.5,50,LOOKUP(M915,{12.5,15,20,30,45,60,75,105,115,150,200,225,250,600,1000},{50,55,60,62,65,68,70,72,75,80,82,85,87,90,95})+(M915-LOOKUP(M915,{12.5,15,20,30,45,60,75,105,115,150,200,225,250,600},{12.5,15,20,30,45,60,75,105,115,150,200,225,250,600}))/(LOOKUP(M915,{12.5,15,20,30,45,60,75,105,115,150,200,225,250,600,1000},{15,20,30,45,60,75,105,115,150,200,225,250,600,1000,1000})-LOOKUP(M915,{12.5,15,20,30,45,60,75,105,115,150,200,225,250,600},{12.5,15,20,30,45,60,75,105,115,150,200,225,250,600}))*(LOOKUP(M915,{12.5,15,20,30,45,60,75,105,115,150,200,225,250,600,1000},{55,60,62,65,68,70,72,75,80,82,85,87,90,95,95})-LOOKUP(M915,{12.5,15,20,30,45,60,75,105,115,150,200,225,250,600,1000},{50,55,60,62,65,68,70,72,75,80,82,85,87,90,95})))))</f>
        <v>68</v>
      </c>
      <c r="P915" s="2">
        <f t="shared" si="73"/>
        <v>-8</v>
      </c>
      <c r="Q915" s="2">
        <f t="shared" si="74"/>
        <v>-4</v>
      </c>
    </row>
    <row r="916" customHeight="1" spans="1:17">
      <c r="A916" s="2">
        <v>2026</v>
      </c>
      <c r="B916" s="2">
        <v>915</v>
      </c>
      <c r="C916" s="3">
        <f t="shared" ref="C916:C979" si="75">ROUND(MAX(MIN(N916+Q916,100),0),2)</f>
        <v>59.9</v>
      </c>
      <c r="D916" s="2" t="s">
        <v>1329</v>
      </c>
      <c r="E916" s="12">
        <v>63</v>
      </c>
      <c r="F916" s="12">
        <v>66</v>
      </c>
      <c r="G916" s="9">
        <v>71</v>
      </c>
      <c r="H916" s="2" t="s">
        <v>62</v>
      </c>
      <c r="I916" s="2" t="s">
        <v>104</v>
      </c>
      <c r="J916" s="4" t="s">
        <v>105</v>
      </c>
      <c r="M916" s="2">
        <f t="shared" si="70"/>
        <v>105</v>
      </c>
      <c r="N916" s="2">
        <f t="shared" si="71"/>
        <v>64.4</v>
      </c>
      <c r="O916" s="2">
        <f>IF(M916="","",IF(M916&gt;=1000,95,IF(M916&lt;=12.5,50,LOOKUP(M916,{12.5,15,20,30,45,60,75,105,115,150,200,225,250,600,1000},{50,55,60,62,65,68,70,72,75,80,82,85,87,90,95})+(M916-LOOKUP(M916,{12.5,15,20,30,45,60,75,105,115,150,200,225,250,600},{12.5,15,20,30,45,60,75,105,115,150,200,225,250,600}))/(LOOKUP(M916,{12.5,15,20,30,45,60,75,105,115,150,200,225,250,600,1000},{15,20,30,45,60,75,105,115,150,200,225,250,600,1000,1000})-LOOKUP(M916,{12.5,15,20,30,45,60,75,105,115,150,200,225,250,600},{12.5,15,20,30,45,60,75,105,115,150,200,225,250,600}))*(LOOKUP(M916,{12.5,15,20,30,45,60,75,105,115,150,200,225,250,600,1000},{55,60,62,65,68,70,72,75,80,82,85,87,90,95,95})-LOOKUP(M916,{12.5,15,20,30,45,60,75,105,115,150,200,225,250,600,1000},{50,55,60,62,65,68,70,72,75,80,82,85,87,90,95})))))</f>
        <v>72</v>
      </c>
      <c r="P916" s="2">
        <f t="shared" si="73"/>
        <v>-9</v>
      </c>
      <c r="Q916" s="2">
        <f t="shared" si="74"/>
        <v>-4.5</v>
      </c>
    </row>
    <row r="917" customHeight="1" spans="1:17">
      <c r="A917" s="2">
        <v>2026</v>
      </c>
      <c r="B917" s="2">
        <v>916</v>
      </c>
      <c r="C917" s="3">
        <f t="shared" si="75"/>
        <v>59.9</v>
      </c>
      <c r="D917" s="2" t="s">
        <v>1330</v>
      </c>
      <c r="E917" s="12">
        <v>62</v>
      </c>
      <c r="F917" s="9">
        <v>70</v>
      </c>
      <c r="G917" s="12">
        <v>65</v>
      </c>
      <c r="H917" s="2" t="s">
        <v>54</v>
      </c>
      <c r="I917" s="2" t="s">
        <v>33</v>
      </c>
      <c r="J917" s="4" t="s">
        <v>24</v>
      </c>
      <c r="M917" s="2">
        <f t="shared" si="70"/>
        <v>75</v>
      </c>
      <c r="N917" s="2">
        <f t="shared" si="71"/>
        <v>63.9</v>
      </c>
      <c r="O917" s="2">
        <f>IF(M917="","",IF(M917&gt;=1000,95,IF(M917&lt;=12.5,50,LOOKUP(M917,{12.5,15,20,30,45,60,75,105,115,150,200,225,250,600,1000},{50,55,60,62,65,68,70,72,75,80,82,85,87,90,95})+(M917-LOOKUP(M917,{12.5,15,20,30,45,60,75,105,115,150,200,225,250,600},{12.5,15,20,30,45,60,75,105,115,150,200,225,250,600}))/(LOOKUP(M917,{12.5,15,20,30,45,60,75,105,115,150,200,225,250,600,1000},{15,20,30,45,60,75,105,115,150,200,225,250,600,1000,1000})-LOOKUP(M917,{12.5,15,20,30,45,60,75,105,115,150,200,225,250,600},{12.5,15,20,30,45,60,75,105,115,150,200,225,250,600}))*(LOOKUP(M917,{12.5,15,20,30,45,60,75,105,115,150,200,225,250,600,1000},{55,60,62,65,68,70,72,75,80,82,85,87,90,95,95})-LOOKUP(M917,{12.5,15,20,30,45,60,75,105,115,150,200,225,250,600,1000},{50,55,60,62,65,68,70,72,75,80,82,85,87,90,95})))))</f>
        <v>70</v>
      </c>
      <c r="P917" s="2">
        <f t="shared" si="73"/>
        <v>-8</v>
      </c>
      <c r="Q917" s="2">
        <f t="shared" si="74"/>
        <v>-4</v>
      </c>
    </row>
    <row r="918" customHeight="1" spans="1:17">
      <c r="A918" s="2">
        <v>2026</v>
      </c>
      <c r="B918" s="2">
        <v>917</v>
      </c>
      <c r="C918" s="3">
        <f t="shared" si="75"/>
        <v>59.9</v>
      </c>
      <c r="D918" s="2" t="s">
        <v>1331</v>
      </c>
      <c r="E918" s="9">
        <v>70</v>
      </c>
      <c r="F918" s="2">
        <v>49</v>
      </c>
      <c r="G918" s="12">
        <v>61</v>
      </c>
      <c r="H918" s="2" t="s">
        <v>41</v>
      </c>
      <c r="I918" s="2" t="s">
        <v>183</v>
      </c>
      <c r="J918" s="4" t="s">
        <v>59</v>
      </c>
      <c r="M918" s="2">
        <f t="shared" si="70"/>
        <v>150</v>
      </c>
      <c r="N918" s="2">
        <f t="shared" si="71"/>
        <v>64.9</v>
      </c>
      <c r="O918" s="2">
        <f>IF(M918="","",IF(M918&gt;=1000,95,IF(M918&lt;=12.5,50,LOOKUP(M918,{12.5,15,20,30,45,60,75,105,115,150,200,225,250,600,1000},{50,55,60,62,65,68,70,72,75,80,82,85,87,90,95})+(M918-LOOKUP(M918,{12.5,15,20,30,45,60,75,105,115,150,200,225,250,600},{12.5,15,20,30,45,60,75,105,115,150,200,225,250,600}))/(LOOKUP(M918,{12.5,15,20,30,45,60,75,105,115,150,200,225,250,600,1000},{15,20,30,45,60,75,105,115,150,200,225,250,600,1000,1000})-LOOKUP(M918,{12.5,15,20,30,45,60,75,105,115,150,200,225,250,600},{12.5,15,20,30,45,60,75,105,115,150,200,225,250,600}))*(LOOKUP(M918,{12.5,15,20,30,45,60,75,105,115,150,200,225,250,600,1000},{55,60,62,65,68,70,72,75,80,82,85,87,90,95,95})-LOOKUP(M918,{12.5,15,20,30,45,60,75,105,115,150,200,225,250,600,1000},{50,55,60,62,65,68,70,72,75,80,82,85,87,90,95})))))</f>
        <v>80</v>
      </c>
      <c r="P918" s="2">
        <f t="shared" si="73"/>
        <v>-10</v>
      </c>
      <c r="Q918" s="2">
        <f t="shared" si="74"/>
        <v>-5</v>
      </c>
    </row>
    <row r="919" customHeight="1" spans="1:17">
      <c r="B919" s="2">
        <v>918</v>
      </c>
      <c r="C919" s="3">
        <f t="shared" si="75"/>
        <v>59.9</v>
      </c>
      <c r="D919" s="2" t="s">
        <v>1332</v>
      </c>
      <c r="E919" s="12">
        <v>66</v>
      </c>
      <c r="F919" s="2">
        <v>56</v>
      </c>
      <c r="G919" s="2">
        <v>35</v>
      </c>
      <c r="H919" s="2" t="s">
        <v>41</v>
      </c>
      <c r="I919" s="2" t="s">
        <v>321</v>
      </c>
      <c r="J919" s="4" t="s">
        <v>34</v>
      </c>
      <c r="M919" s="2">
        <f t="shared" si="70"/>
        <v>60</v>
      </c>
      <c r="N919" s="2">
        <f t="shared" si="71"/>
        <v>60.9</v>
      </c>
      <c r="O919" s="2">
        <f>IF(M919="","",IF(M919&gt;=1000,95,IF(M919&lt;=12.5,50,LOOKUP(M919,{12.5,15,20,30,45,60,75,105,115,150,200,225,250,600,1000},{50,55,60,62,65,68,70,72,75,80,82,85,87,90,95})+(M919-LOOKUP(M919,{12.5,15,20,30,45,60,75,105,115,150,200,225,250,600},{12.5,15,20,30,45,60,75,105,115,150,200,225,250,600}))/(LOOKUP(M919,{12.5,15,20,30,45,60,75,105,115,150,200,225,250,600,1000},{15,20,30,45,60,75,105,115,150,200,225,250,600,1000,1000})-LOOKUP(M919,{12.5,15,20,30,45,60,75,105,115,150,200,225,250,600},{12.5,15,20,30,45,60,75,105,115,150,200,225,250,600}))*(LOOKUP(M919,{12.5,15,20,30,45,60,75,105,115,150,200,225,250,600,1000},{55,60,62,65,68,70,72,75,80,82,85,87,90,95,95})-LOOKUP(M919,{12.5,15,20,30,45,60,75,105,115,150,200,225,250,600,1000},{50,55,60,62,65,68,70,72,75,80,82,85,87,90,95})))))</f>
        <v>68</v>
      </c>
      <c r="P919" s="2">
        <f t="shared" si="73"/>
        <v>-2</v>
      </c>
      <c r="Q919" s="2">
        <f t="shared" si="74"/>
        <v>-1</v>
      </c>
    </row>
    <row r="920" customHeight="1" spans="1:17">
      <c r="B920" s="2">
        <v>919</v>
      </c>
      <c r="C920" s="3">
        <f t="shared" si="75"/>
        <v>59.9</v>
      </c>
      <c r="D920" s="2" t="s">
        <v>1333</v>
      </c>
      <c r="E920" s="12">
        <v>66</v>
      </c>
      <c r="F920" s="2">
        <v>50</v>
      </c>
      <c r="G920" s="2">
        <v>32</v>
      </c>
      <c r="H920" s="2" t="s">
        <v>41</v>
      </c>
      <c r="I920" s="2" t="s">
        <v>321</v>
      </c>
      <c r="J920" s="4" t="s">
        <v>38</v>
      </c>
      <c r="M920" s="2">
        <f t="shared" si="70"/>
        <v>45</v>
      </c>
      <c r="N920" s="2">
        <f t="shared" si="71"/>
        <v>59.4</v>
      </c>
      <c r="O920" s="2">
        <f>IF(M920="","",IF(M920&gt;=1000,95,IF(M920&lt;=12.5,50,LOOKUP(M920,{12.5,15,20,30,45,60,75,105,115,150,200,225,250,600,1000},{50,55,60,62,65,68,70,72,75,80,82,85,87,90,95})+(M920-LOOKUP(M920,{12.5,15,20,30,45,60,75,105,115,150,200,225,250,600},{12.5,15,20,30,45,60,75,105,115,150,200,225,250,600}))/(LOOKUP(M920,{12.5,15,20,30,45,60,75,105,115,150,200,225,250,600,1000},{15,20,30,45,60,75,105,115,150,200,225,250,600,1000,1000})-LOOKUP(M920,{12.5,15,20,30,45,60,75,105,115,150,200,225,250,600},{12.5,15,20,30,45,60,75,105,115,150,200,225,250,600}))*(LOOKUP(M920,{12.5,15,20,30,45,60,75,105,115,150,200,225,250,600,1000},{55,60,62,65,68,70,72,75,80,82,85,87,90,95,95})-LOOKUP(M920,{12.5,15,20,30,45,60,75,105,115,150,200,225,250,600,1000},{50,55,60,62,65,68,70,72,75,80,82,85,87,90,95})))))</f>
        <v>65</v>
      </c>
      <c r="P920" s="2">
        <f t="shared" si="73"/>
        <v>1</v>
      </c>
      <c r="Q920" s="2">
        <f t="shared" si="74"/>
        <v>0.5</v>
      </c>
    </row>
    <row r="921" customHeight="1" spans="1:17">
      <c r="B921" s="2">
        <v>920</v>
      </c>
      <c r="C921" s="3">
        <f t="shared" si="75"/>
        <v>59.86</v>
      </c>
      <c r="D921" s="2" t="s">
        <v>1334</v>
      </c>
      <c r="E921" s="12">
        <v>68</v>
      </c>
      <c r="F921" s="12">
        <v>65</v>
      </c>
      <c r="G921" s="2">
        <v>56</v>
      </c>
      <c r="H921" s="2" t="s">
        <v>37</v>
      </c>
      <c r="I921" s="2" t="s">
        <v>239</v>
      </c>
      <c r="J921" s="4" t="s">
        <v>51</v>
      </c>
      <c r="M921" s="2">
        <f t="shared" si="70"/>
        <v>200</v>
      </c>
      <c r="N921" s="2">
        <f t="shared" si="71"/>
        <v>66.2</v>
      </c>
      <c r="O921" s="2">
        <f>IF(M921="","",IF(M921&gt;=1000,95,IF(M921&lt;=12.5,50,LOOKUP(M921,{12.5,15,20,30,45,60,75,105,115,150,200,225,250,600,1000},{50,55,60,62,65,68,70,72,75,80,82,85,87,90,95})+(M921-LOOKUP(M921,{12.5,15,20,30,45,60,75,105,115,150,200,225,250,600},{12.5,15,20,30,45,60,75,105,115,150,200,225,250,600}))/(LOOKUP(M921,{12.5,15,20,30,45,60,75,105,115,150,200,225,250,600,1000},{15,20,30,45,60,75,105,115,150,200,225,250,600,1000,1000})-LOOKUP(M921,{12.5,15,20,30,45,60,75,105,115,150,200,225,250,600},{12.5,15,20,30,45,60,75,105,115,150,200,225,250,600}))*(LOOKUP(M921,{12.5,15,20,30,45,60,75,105,115,150,200,225,250,600,1000},{55,60,62,65,68,70,72,75,80,82,85,87,90,95,95})-LOOKUP(M921,{12.5,15,20,30,45,60,75,105,115,150,200,225,250,600,1000},{50,55,60,62,65,68,70,72,75,80,82,85,87,90,95})))))</f>
        <v>82</v>
      </c>
      <c r="P921" s="2">
        <f t="shared" si="73"/>
        <v>-14</v>
      </c>
      <c r="Q921" s="2">
        <f t="shared" si="74"/>
        <v>-6.34</v>
      </c>
    </row>
    <row r="922" customHeight="1" spans="1:17">
      <c r="A922" s="2">
        <v>2026</v>
      </c>
      <c r="B922" s="2">
        <v>921</v>
      </c>
      <c r="C922" s="3">
        <f t="shared" si="75"/>
        <v>59.8</v>
      </c>
      <c r="D922" s="2" t="s">
        <v>1335</v>
      </c>
      <c r="E922" s="12">
        <v>64</v>
      </c>
      <c r="F922" s="2">
        <v>55</v>
      </c>
      <c r="G922" s="2">
        <v>30</v>
      </c>
      <c r="H922" s="2" t="s">
        <v>54</v>
      </c>
      <c r="I922" s="2" t="s">
        <v>28</v>
      </c>
      <c r="J922" s="4" t="s">
        <v>88</v>
      </c>
      <c r="M922" s="2">
        <f t="shared" si="70"/>
        <v>30</v>
      </c>
      <c r="N922" s="2">
        <f t="shared" si="71"/>
        <v>58.8</v>
      </c>
      <c r="O922" s="2">
        <f>IF(M922="","",IF(M922&gt;=1000,95,IF(M922&lt;=12.5,50,LOOKUP(M922,{12.5,15,20,30,45,60,75,105,115,150,200,225,250,600,1000},{50,55,60,62,65,68,70,72,75,80,82,85,87,90,95})+(M922-LOOKUP(M922,{12.5,15,20,30,45,60,75,105,115,150,200,225,250,600},{12.5,15,20,30,45,60,75,105,115,150,200,225,250,600}))/(LOOKUP(M922,{12.5,15,20,30,45,60,75,105,115,150,200,225,250,600,1000},{15,20,30,45,60,75,105,115,150,200,225,250,600,1000,1000})-LOOKUP(M922,{12.5,15,20,30,45,60,75,105,115,150,200,225,250,600},{12.5,15,20,30,45,60,75,105,115,150,200,225,250,600}))*(LOOKUP(M922,{12.5,15,20,30,45,60,75,105,115,150,200,225,250,600,1000},{55,60,62,65,68,70,72,75,80,82,85,87,90,95,95})-LOOKUP(M922,{12.5,15,20,30,45,60,75,105,115,150,200,225,250,600,1000},{50,55,60,62,65,68,70,72,75,80,82,85,87,90,95})))))</f>
        <v>62</v>
      </c>
      <c r="P922" s="2">
        <f t="shared" si="73"/>
        <v>2</v>
      </c>
      <c r="Q922" s="2">
        <f t="shared" si="74"/>
        <v>1</v>
      </c>
    </row>
    <row r="923" customHeight="1" spans="1:17">
      <c r="B923" s="2">
        <v>922</v>
      </c>
      <c r="C923" s="3">
        <f t="shared" si="75"/>
        <v>59.8</v>
      </c>
      <c r="D923" s="2" t="s">
        <v>1336</v>
      </c>
      <c r="E923" s="12">
        <v>60</v>
      </c>
      <c r="F923" s="12">
        <v>67</v>
      </c>
      <c r="G923" s="12">
        <v>69</v>
      </c>
      <c r="H923" s="2" t="s">
        <v>41</v>
      </c>
      <c r="I923" s="2" t="s">
        <v>18</v>
      </c>
      <c r="J923" s="4" t="s">
        <v>38</v>
      </c>
      <c r="M923" s="2">
        <f t="shared" si="70"/>
        <v>45</v>
      </c>
      <c r="N923" s="2">
        <f t="shared" si="71"/>
        <v>62.3</v>
      </c>
      <c r="O923" s="2">
        <f>IF(M923="","",IF(M923&gt;=1000,95,IF(M923&lt;=12.5,50,LOOKUP(M923,{12.5,15,20,30,45,60,75,105,115,150,200,225,250,600,1000},{50,55,60,62,65,68,70,72,75,80,82,85,87,90,95})+(M923-LOOKUP(M923,{12.5,15,20,30,45,60,75,105,115,150,200,225,250,600},{12.5,15,20,30,45,60,75,105,115,150,200,225,250,600}))/(LOOKUP(M923,{12.5,15,20,30,45,60,75,105,115,150,200,225,250,600,1000},{15,20,30,45,60,75,105,115,150,200,225,250,600,1000,1000})-LOOKUP(M923,{12.5,15,20,30,45,60,75,105,115,150,200,225,250,600},{12.5,15,20,30,45,60,75,105,115,150,200,225,250,600}))*(LOOKUP(M923,{12.5,15,20,30,45,60,75,105,115,150,200,225,250,600,1000},{55,60,62,65,68,70,72,75,80,82,85,87,90,95,95})-LOOKUP(M923,{12.5,15,20,30,45,60,75,105,115,150,200,225,250,600,1000},{50,55,60,62,65,68,70,72,75,80,82,85,87,90,95})))))</f>
        <v>65</v>
      </c>
      <c r="P923" s="2">
        <f t="shared" si="73"/>
        <v>-5</v>
      </c>
      <c r="Q923" s="2">
        <f t="shared" si="74"/>
        <v>-2.5</v>
      </c>
    </row>
    <row r="924" customHeight="1" spans="1:17">
      <c r="A924" s="2">
        <v>2026</v>
      </c>
      <c r="B924" s="2">
        <v>923</v>
      </c>
      <c r="C924" s="3">
        <f t="shared" si="75"/>
        <v>59.8</v>
      </c>
      <c r="D924" s="2" t="s">
        <v>1337</v>
      </c>
      <c r="E924" s="12">
        <v>64</v>
      </c>
      <c r="F924" s="2">
        <v>55</v>
      </c>
      <c r="G924" s="2">
        <v>45</v>
      </c>
      <c r="H924" s="2" t="s">
        <v>41</v>
      </c>
      <c r="I924" s="2" t="s">
        <v>63</v>
      </c>
      <c r="J924" s="4" t="s">
        <v>38</v>
      </c>
      <c r="M924" s="2">
        <f t="shared" si="70"/>
        <v>45</v>
      </c>
      <c r="N924" s="2">
        <f t="shared" si="71"/>
        <v>60.3</v>
      </c>
      <c r="O924" s="2">
        <f>IF(M924="","",IF(M924&gt;=1000,95,IF(M924&lt;=12.5,50,LOOKUP(M924,{12.5,15,20,30,45,60,75,105,115,150,200,225,250,600,1000},{50,55,60,62,65,68,70,72,75,80,82,85,87,90,95})+(M924-LOOKUP(M924,{12.5,15,20,30,45,60,75,105,115,150,200,225,250,600},{12.5,15,20,30,45,60,75,105,115,150,200,225,250,600}))/(LOOKUP(M924,{12.5,15,20,30,45,60,75,105,115,150,200,225,250,600,1000},{15,20,30,45,60,75,105,115,150,200,225,250,600,1000,1000})-LOOKUP(M924,{12.5,15,20,30,45,60,75,105,115,150,200,225,250,600},{12.5,15,20,30,45,60,75,105,115,150,200,225,250,600}))*(LOOKUP(M924,{12.5,15,20,30,45,60,75,105,115,150,200,225,250,600,1000},{55,60,62,65,68,70,72,75,80,82,85,87,90,95,95})-LOOKUP(M924,{12.5,15,20,30,45,60,75,105,115,150,200,225,250,600,1000},{50,55,60,62,65,68,70,72,75,80,82,85,87,90,95})))))</f>
        <v>65</v>
      </c>
      <c r="P924" s="2">
        <f t="shared" si="73"/>
        <v>-1</v>
      </c>
      <c r="Q924" s="2">
        <f t="shared" si="74"/>
        <v>-0.5</v>
      </c>
    </row>
    <row r="925" customHeight="1" spans="1:17">
      <c r="A925" s="2">
        <v>2026</v>
      </c>
      <c r="B925" s="2">
        <v>924</v>
      </c>
      <c r="C925" s="3">
        <f t="shared" si="75"/>
        <v>59.76</v>
      </c>
      <c r="D925" s="2" t="s">
        <v>1338</v>
      </c>
      <c r="E925" s="12">
        <v>67</v>
      </c>
      <c r="F925" s="9">
        <v>70</v>
      </c>
      <c r="G925" s="9">
        <v>72</v>
      </c>
      <c r="H925" s="2" t="s">
        <v>54</v>
      </c>
      <c r="I925" s="2" t="s">
        <v>58</v>
      </c>
      <c r="J925" s="4" t="s">
        <v>123</v>
      </c>
      <c r="M925" s="2">
        <f t="shared" si="70"/>
        <v>250</v>
      </c>
      <c r="N925" s="2">
        <f t="shared" si="71"/>
        <v>68.1</v>
      </c>
      <c r="O925" s="2">
        <f>IF(M925="","",IF(M925&gt;=1000,95,IF(M925&lt;=12.5,50,LOOKUP(M925,{12.5,15,20,30,45,60,75,105,115,150,200,225,250,600,1000},{50,55,60,62,65,68,70,72,75,80,82,85,87,90,95})+(M925-LOOKUP(M925,{12.5,15,20,30,45,60,75,105,115,150,200,225,250,600},{12.5,15,20,30,45,60,75,105,115,150,200,225,250,600}))/(LOOKUP(M925,{12.5,15,20,30,45,60,75,105,115,150,200,225,250,600,1000},{15,20,30,45,60,75,105,115,150,200,225,250,600,1000,1000})-LOOKUP(M925,{12.5,15,20,30,45,60,75,105,115,150,200,225,250,600},{12.5,15,20,30,45,60,75,105,115,150,200,225,250,600}))*(LOOKUP(M925,{12.5,15,20,30,45,60,75,105,115,150,200,225,250,600,1000},{55,60,62,65,68,70,72,75,80,82,85,87,90,95,95})-LOOKUP(M925,{12.5,15,20,30,45,60,75,105,115,150,200,225,250,600,1000},{50,55,60,62,65,68,70,72,75,80,82,85,87,90,95})))))</f>
        <v>87</v>
      </c>
      <c r="P925" s="2">
        <f t="shared" si="73"/>
        <v>-20</v>
      </c>
      <c r="Q925" s="2">
        <f t="shared" si="74"/>
        <v>-8.34</v>
      </c>
    </row>
    <row r="926" customHeight="1" spans="1:17">
      <c r="B926" s="2">
        <v>925</v>
      </c>
      <c r="C926" s="3">
        <f t="shared" si="75"/>
        <v>59.7</v>
      </c>
      <c r="D926" s="2" t="s">
        <v>1339</v>
      </c>
      <c r="E926" s="12">
        <v>67</v>
      </c>
      <c r="F926" s="12">
        <v>63</v>
      </c>
      <c r="G926" s="12">
        <v>62</v>
      </c>
      <c r="H926" s="2" t="s">
        <v>175</v>
      </c>
      <c r="I926" s="2" t="s">
        <v>852</v>
      </c>
      <c r="J926" s="4" t="s">
        <v>59</v>
      </c>
      <c r="M926" s="2">
        <f t="shared" si="70"/>
        <v>150</v>
      </c>
      <c r="N926" s="2">
        <f t="shared" si="71"/>
        <v>65.7</v>
      </c>
      <c r="O926" s="2">
        <f>IF(M926="","",IF(M926&gt;=1000,95,IF(M926&lt;=12.5,50,LOOKUP(M926,{12.5,15,20,30,45,60,75,105,115,150,200,225,250,600,1000},{50,55,60,62,65,68,70,72,75,80,82,85,87,90,95})+(M926-LOOKUP(M926,{12.5,15,20,30,45,60,75,105,115,150,200,225,250,600},{12.5,15,20,30,45,60,75,105,115,150,200,225,250,600}))/(LOOKUP(M926,{12.5,15,20,30,45,60,75,105,115,150,200,225,250,600,1000},{15,20,30,45,60,75,105,115,150,200,225,250,600,1000,1000})-LOOKUP(M926,{12.5,15,20,30,45,60,75,105,115,150,200,225,250,600},{12.5,15,20,30,45,60,75,105,115,150,200,225,250,600}))*(LOOKUP(M926,{12.5,15,20,30,45,60,75,105,115,150,200,225,250,600,1000},{55,60,62,65,68,70,72,75,80,82,85,87,90,95,95})-LOOKUP(M926,{12.5,15,20,30,45,60,75,105,115,150,200,225,250,600,1000},{50,55,60,62,65,68,70,72,75,80,82,85,87,90,95})))))</f>
        <v>80</v>
      </c>
      <c r="P926" s="2">
        <f t="shared" si="73"/>
        <v>-13</v>
      </c>
      <c r="Q926" s="2">
        <f t="shared" si="74"/>
        <v>-6</v>
      </c>
    </row>
    <row r="927" customHeight="1" spans="1:17">
      <c r="B927" s="2">
        <v>926</v>
      </c>
      <c r="C927" s="3">
        <f t="shared" si="75"/>
        <v>59.7</v>
      </c>
      <c r="D927" s="2" t="s">
        <v>1340</v>
      </c>
      <c r="E927" s="12">
        <v>66</v>
      </c>
      <c r="F927" s="12">
        <v>63</v>
      </c>
      <c r="G927" s="2">
        <v>54</v>
      </c>
      <c r="H927" s="2" t="s">
        <v>17</v>
      </c>
      <c r="I927" s="2" t="s">
        <v>18</v>
      </c>
      <c r="J927" s="4" t="s">
        <v>148</v>
      </c>
      <c r="M927" s="2">
        <f t="shared" si="70"/>
        <v>115</v>
      </c>
      <c r="N927" s="2">
        <f t="shared" si="71"/>
        <v>64.2</v>
      </c>
      <c r="O927" s="2">
        <f>IF(M927="","",IF(M927&gt;=1000,95,IF(M927&lt;=12.5,50,LOOKUP(M927,{12.5,15,20,30,45,60,75,105,115,150,200,225,250,600,1000},{50,55,60,62,65,68,70,72,75,80,82,85,87,90,95})+(M927-LOOKUP(M927,{12.5,15,20,30,45,60,75,105,115,150,200,225,250,600},{12.5,15,20,30,45,60,75,105,115,150,200,225,250,600}))/(LOOKUP(M927,{12.5,15,20,30,45,60,75,105,115,150,200,225,250,600,1000},{15,20,30,45,60,75,105,115,150,200,225,250,600,1000,1000})-LOOKUP(M927,{12.5,15,20,30,45,60,75,105,115,150,200,225,250,600},{12.5,15,20,30,45,60,75,105,115,150,200,225,250,600}))*(LOOKUP(M927,{12.5,15,20,30,45,60,75,105,115,150,200,225,250,600,1000},{55,60,62,65,68,70,72,75,80,82,85,87,90,95,95})-LOOKUP(M927,{12.5,15,20,30,45,60,75,105,115,150,200,225,250,600,1000},{50,55,60,62,65,68,70,72,75,80,82,85,87,90,95})))))</f>
        <v>75</v>
      </c>
      <c r="P927" s="2">
        <f t="shared" si="73"/>
        <v>-9</v>
      </c>
      <c r="Q927" s="2">
        <f t="shared" si="74"/>
        <v>-4.5</v>
      </c>
    </row>
    <row r="928" customHeight="1" spans="1:17">
      <c r="A928" s="2">
        <v>2026</v>
      </c>
      <c r="B928" s="2">
        <v>927</v>
      </c>
      <c r="C928" s="3">
        <f t="shared" si="75"/>
        <v>59.7</v>
      </c>
      <c r="D928" s="2" t="s">
        <v>1341</v>
      </c>
      <c r="E928" s="12">
        <v>61</v>
      </c>
      <c r="F928" s="2">
        <v>57</v>
      </c>
      <c r="G928" s="2">
        <v>51</v>
      </c>
      <c r="H928" s="2" t="s">
        <v>54</v>
      </c>
      <c r="I928" s="2" t="s">
        <v>28</v>
      </c>
      <c r="J928" s="4" t="s">
        <v>140</v>
      </c>
      <c r="M928" s="2">
        <f t="shared" si="70"/>
        <v>20</v>
      </c>
      <c r="N928" s="2">
        <f t="shared" si="71"/>
        <v>59.2</v>
      </c>
      <c r="O928" s="2">
        <f>IF(M928="","",IF(M928&gt;=1000,95,IF(M928&lt;=12.5,50,LOOKUP(M928,{12.5,15,20,30,45,60,75,105,115,150,200,225,250,600,1000},{50,55,60,62,65,68,70,72,75,80,82,85,87,90,95})+(M928-LOOKUP(M928,{12.5,15,20,30,45,60,75,105,115,150,200,225,250,600},{12.5,15,20,30,45,60,75,105,115,150,200,225,250,600}))/(LOOKUP(M928,{12.5,15,20,30,45,60,75,105,115,150,200,225,250,600,1000},{15,20,30,45,60,75,105,115,150,200,225,250,600,1000,1000})-LOOKUP(M928,{12.5,15,20,30,45,60,75,105,115,150,200,225,250,600},{12.5,15,20,30,45,60,75,105,115,150,200,225,250,600}))*(LOOKUP(M928,{12.5,15,20,30,45,60,75,105,115,150,200,225,250,600,1000},{55,60,62,65,68,70,72,75,80,82,85,87,90,95,95})-LOOKUP(M928,{12.5,15,20,30,45,60,75,105,115,150,200,225,250,600,1000},{50,55,60,62,65,68,70,72,75,80,82,85,87,90,95})))))</f>
        <v>60</v>
      </c>
      <c r="P928" s="2">
        <f t="shared" si="73"/>
        <v>1</v>
      </c>
      <c r="Q928" s="2">
        <f t="shared" si="74"/>
        <v>0.5</v>
      </c>
    </row>
    <row r="929" customHeight="1" spans="1:17">
      <c r="B929" s="2">
        <v>928</v>
      </c>
      <c r="C929" s="3">
        <f t="shared" si="75"/>
        <v>59.6</v>
      </c>
      <c r="D929" s="2" t="s">
        <v>1342</v>
      </c>
      <c r="E929" s="12">
        <v>67</v>
      </c>
      <c r="F929" s="10">
        <v>80</v>
      </c>
      <c r="G929" s="9">
        <v>77</v>
      </c>
      <c r="H929" s="2" t="s">
        <v>743</v>
      </c>
      <c r="I929" s="2" t="s">
        <v>932</v>
      </c>
      <c r="J929" s="4" t="s">
        <v>43</v>
      </c>
      <c r="M929" s="2">
        <f t="shared" si="70"/>
        <v>1000</v>
      </c>
      <c r="N929" s="2">
        <f t="shared" si="71"/>
        <v>70.6</v>
      </c>
      <c r="O929" s="2">
        <f>IF(M929="","",IF(M929&gt;=1000,95,IF(M929&lt;=12.5,50,LOOKUP(M929,{12.5,15,20,30,45,60,75,105,115,150,200,225,250,600,1000},{50,55,60,62,65,68,70,72,75,80,82,85,87,90,95})+(M929-LOOKUP(M929,{12.5,15,20,30,45,60,75,105,115,150,200,225,250,600},{12.5,15,20,30,45,60,75,105,115,150,200,225,250,600}))/(LOOKUP(M929,{12.5,15,20,30,45,60,75,105,115,150,200,225,250,600,1000},{15,20,30,45,60,75,105,115,150,200,225,250,600,1000,1000})-LOOKUP(M929,{12.5,15,20,30,45,60,75,105,115,150,200,225,250,600},{12.5,15,20,30,45,60,75,105,115,150,200,225,250,600}))*(LOOKUP(M929,{12.5,15,20,30,45,60,75,105,115,150,200,225,250,600,1000},{55,60,62,65,68,70,72,75,80,82,85,87,90,95,95})-LOOKUP(M929,{12.5,15,20,30,45,60,75,105,115,150,200,225,250,600,1000},{50,55,60,62,65,68,70,72,75,80,82,85,87,90,95})))))</f>
        <v>95</v>
      </c>
      <c r="P929" s="2">
        <f t="shared" si="73"/>
        <v>-28</v>
      </c>
      <c r="Q929" s="2">
        <f t="shared" si="74"/>
        <v>-11</v>
      </c>
    </row>
    <row r="930" customHeight="1" spans="1:17">
      <c r="B930" s="2">
        <v>929</v>
      </c>
      <c r="C930" s="3">
        <f t="shared" si="75"/>
        <v>59.53</v>
      </c>
      <c r="D930" s="2" t="s">
        <v>1343</v>
      </c>
      <c r="E930" s="12">
        <v>62</v>
      </c>
      <c r="F930" s="9">
        <v>72</v>
      </c>
      <c r="G930" s="8">
        <v>94</v>
      </c>
      <c r="H930" s="2" t="s">
        <v>1344</v>
      </c>
      <c r="I930" s="2" t="s">
        <v>1067</v>
      </c>
      <c r="J930" s="4" t="s">
        <v>59</v>
      </c>
      <c r="M930" s="2">
        <f t="shared" si="70"/>
        <v>150</v>
      </c>
      <c r="N930" s="2">
        <f t="shared" si="71"/>
        <v>67.2</v>
      </c>
      <c r="O930" s="2">
        <f>IF(M930="","",IF(M930&gt;=1000,95,IF(M930&lt;=12.5,50,LOOKUP(M930,{12.5,15,20,30,45,60,75,105,115,150,200,225,250,600,1000},{50,55,60,62,65,68,70,72,75,80,82,85,87,90,95})+(M930-LOOKUP(M930,{12.5,15,20,30,45,60,75,105,115,150,200,225,250,600},{12.5,15,20,30,45,60,75,105,115,150,200,225,250,600}))/(LOOKUP(M930,{12.5,15,20,30,45,60,75,105,115,150,200,225,250,600,1000},{15,20,30,45,60,75,105,115,150,200,225,250,600,1000,1000})-LOOKUP(M930,{12.5,15,20,30,45,60,75,105,115,150,200,225,250,600},{12.5,15,20,30,45,60,75,105,115,150,200,225,250,600}))*(LOOKUP(M930,{12.5,15,20,30,45,60,75,105,115,150,200,225,250,600,1000},{55,60,62,65,68,70,72,75,80,82,85,87,90,95,95})-LOOKUP(M930,{12.5,15,20,30,45,60,75,105,115,150,200,225,250,600,1000},{50,55,60,62,65,68,70,72,75,80,82,85,87,90,95})))))</f>
        <v>80</v>
      </c>
      <c r="P930" s="2">
        <f t="shared" si="73"/>
        <v>-18</v>
      </c>
      <c r="Q930" s="2">
        <f t="shared" si="74"/>
        <v>-7.67</v>
      </c>
    </row>
    <row r="931" customHeight="1" spans="1:17">
      <c r="A931" s="2">
        <v>2026</v>
      </c>
      <c r="B931" s="2">
        <v>930</v>
      </c>
      <c r="C931" s="3">
        <f t="shared" si="75"/>
        <v>59.5</v>
      </c>
      <c r="D931" s="2" t="s">
        <v>1345</v>
      </c>
      <c r="E931" s="12">
        <v>60</v>
      </c>
      <c r="F931" s="12">
        <v>65</v>
      </c>
      <c r="G931" s="2">
        <v>55</v>
      </c>
      <c r="H931" s="2" t="s">
        <v>54</v>
      </c>
      <c r="I931" s="2" t="s">
        <v>63</v>
      </c>
      <c r="J931" s="4" t="s">
        <v>88</v>
      </c>
      <c r="M931" s="2">
        <f t="shared" si="70"/>
        <v>30</v>
      </c>
      <c r="N931" s="2">
        <f t="shared" si="71"/>
        <v>60.5</v>
      </c>
      <c r="O931" s="2">
        <f>IF(M931="","",IF(M931&gt;=1000,95,IF(M931&lt;=12.5,50,LOOKUP(M931,{12.5,15,20,30,45,60,75,105,115,150,200,225,250,600,1000},{50,55,60,62,65,68,70,72,75,80,82,85,87,90,95})+(M931-LOOKUP(M931,{12.5,15,20,30,45,60,75,105,115,150,200,225,250,600},{12.5,15,20,30,45,60,75,105,115,150,200,225,250,600}))/(LOOKUP(M931,{12.5,15,20,30,45,60,75,105,115,150,200,225,250,600,1000},{15,20,30,45,60,75,105,115,150,200,225,250,600,1000,1000})-LOOKUP(M931,{12.5,15,20,30,45,60,75,105,115,150,200,225,250,600},{12.5,15,20,30,45,60,75,105,115,150,200,225,250,600}))*(LOOKUP(M931,{12.5,15,20,30,45,60,75,105,115,150,200,225,250,600,1000},{55,60,62,65,68,70,72,75,80,82,85,87,90,95,95})-LOOKUP(M931,{12.5,15,20,30,45,60,75,105,115,150,200,225,250,600,1000},{50,55,60,62,65,68,70,72,75,80,82,85,87,90,95})))))</f>
        <v>62</v>
      </c>
      <c r="P931" s="2">
        <f t="shared" si="73"/>
        <v>-2</v>
      </c>
      <c r="Q931" s="2">
        <f t="shared" si="74"/>
        <v>-1</v>
      </c>
    </row>
    <row r="932" customHeight="1" spans="1:17">
      <c r="B932" s="2">
        <v>931</v>
      </c>
      <c r="C932" s="3">
        <f t="shared" si="75"/>
        <v>59.5</v>
      </c>
      <c r="D932" s="2" t="s">
        <v>1346</v>
      </c>
      <c r="E932" s="9">
        <v>71</v>
      </c>
      <c r="F932" s="2">
        <v>53</v>
      </c>
      <c r="G932" s="2">
        <v>37</v>
      </c>
      <c r="H932" s="2" t="s">
        <v>175</v>
      </c>
      <c r="I932" s="2" t="s">
        <v>33</v>
      </c>
      <c r="J932" s="4" t="s">
        <v>59</v>
      </c>
      <c r="M932" s="2">
        <f t="shared" si="70"/>
        <v>150</v>
      </c>
      <c r="N932" s="2">
        <f t="shared" si="71"/>
        <v>64</v>
      </c>
      <c r="O932" s="2">
        <f>IF(M932="","",IF(M932&gt;=1000,95,IF(M932&lt;=12.5,50,LOOKUP(M932,{12.5,15,20,30,45,60,75,105,115,150,200,225,250,600,1000},{50,55,60,62,65,68,70,72,75,80,82,85,87,90,95})+(M932-LOOKUP(M932,{12.5,15,20,30,45,60,75,105,115,150,200,225,250,600},{12.5,15,20,30,45,60,75,105,115,150,200,225,250,600}))/(LOOKUP(M932,{12.5,15,20,30,45,60,75,105,115,150,200,225,250,600,1000},{15,20,30,45,60,75,105,115,150,200,225,250,600,1000,1000})-LOOKUP(M932,{12.5,15,20,30,45,60,75,105,115,150,200,225,250,600},{12.5,15,20,30,45,60,75,105,115,150,200,225,250,600}))*(LOOKUP(M932,{12.5,15,20,30,45,60,75,105,115,150,200,225,250,600,1000},{55,60,62,65,68,70,72,75,80,82,85,87,90,95,95})-LOOKUP(M932,{12.5,15,20,30,45,60,75,105,115,150,200,225,250,600,1000},{50,55,60,62,65,68,70,72,75,80,82,85,87,90,95})))))</f>
        <v>80</v>
      </c>
      <c r="P932" s="2">
        <f t="shared" si="73"/>
        <v>-9</v>
      </c>
      <c r="Q932" s="2">
        <f t="shared" si="74"/>
        <v>-4.5</v>
      </c>
    </row>
    <row r="933" customHeight="1" spans="1:17">
      <c r="B933" s="2">
        <v>932</v>
      </c>
      <c r="C933" s="3">
        <f t="shared" si="75"/>
        <v>59.43</v>
      </c>
      <c r="D933" s="2" t="s">
        <v>1347</v>
      </c>
      <c r="E933" s="12">
        <v>68</v>
      </c>
      <c r="F933" s="12">
        <v>60</v>
      </c>
      <c r="G933" s="2">
        <v>55</v>
      </c>
      <c r="H933" s="2" t="s">
        <v>1305</v>
      </c>
      <c r="I933" s="2" t="s">
        <v>128</v>
      </c>
      <c r="J933" s="4" t="s">
        <v>59</v>
      </c>
      <c r="M933" s="2">
        <f t="shared" si="70"/>
        <v>150</v>
      </c>
      <c r="N933" s="2">
        <f t="shared" si="71"/>
        <v>65.1</v>
      </c>
      <c r="O933" s="2">
        <f>IF(M933="","",IF(M933&gt;=1000,95,IF(M933&lt;=12.5,50,LOOKUP(M933,{12.5,15,20,30,45,60,75,105,115,150,200,225,250,600,1000},{50,55,60,62,65,68,70,72,75,80,82,85,87,90,95})+(M933-LOOKUP(M933,{12.5,15,20,30,45,60,75,105,115,150,200,225,250,600},{12.5,15,20,30,45,60,75,105,115,150,200,225,250,600}))/(LOOKUP(M933,{12.5,15,20,30,45,60,75,105,115,150,200,225,250,600,1000},{15,20,30,45,60,75,105,115,150,200,225,250,600,1000,1000})-LOOKUP(M933,{12.5,15,20,30,45,60,75,105,115,150,200,225,250,600},{12.5,15,20,30,45,60,75,105,115,150,200,225,250,600}))*(LOOKUP(M933,{12.5,15,20,30,45,60,75,105,115,150,200,225,250,600,1000},{55,60,62,65,68,70,72,75,80,82,85,87,90,95,95})-LOOKUP(M933,{12.5,15,20,30,45,60,75,105,115,150,200,225,250,600,1000},{50,55,60,62,65,68,70,72,75,80,82,85,87,90,95})))))</f>
        <v>80</v>
      </c>
      <c r="P933" s="2">
        <f t="shared" si="73"/>
        <v>-12</v>
      </c>
      <c r="Q933" s="2">
        <f t="shared" si="74"/>
        <v>-5.67</v>
      </c>
    </row>
    <row r="934" customHeight="1" spans="1:17">
      <c r="A934" s="2">
        <v>2026</v>
      </c>
      <c r="B934" s="2">
        <v>933</v>
      </c>
      <c r="C934" s="3">
        <f t="shared" si="75"/>
        <v>59.4</v>
      </c>
      <c r="D934" s="2" t="s">
        <v>1348</v>
      </c>
      <c r="E934" s="12">
        <v>64</v>
      </c>
      <c r="F934" s="12">
        <v>68</v>
      </c>
      <c r="G934" s="2">
        <v>50</v>
      </c>
      <c r="H934" s="2" t="s">
        <v>87</v>
      </c>
      <c r="I934" s="2" t="s">
        <v>104</v>
      </c>
      <c r="J934" s="4" t="s">
        <v>105</v>
      </c>
      <c r="M934" s="2">
        <f t="shared" si="70"/>
        <v>105</v>
      </c>
      <c r="N934" s="2">
        <f t="shared" si="71"/>
        <v>63.4</v>
      </c>
      <c r="O934" s="2">
        <f>IF(M934="","",IF(M934&gt;=1000,95,IF(M934&lt;=12.5,50,LOOKUP(M934,{12.5,15,20,30,45,60,75,105,115,150,200,225,250,600,1000},{50,55,60,62,65,68,70,72,75,80,82,85,87,90,95})+(M934-LOOKUP(M934,{12.5,15,20,30,45,60,75,105,115,150,200,225,250,600},{12.5,15,20,30,45,60,75,105,115,150,200,225,250,600}))/(LOOKUP(M934,{12.5,15,20,30,45,60,75,105,115,150,200,225,250,600,1000},{15,20,30,45,60,75,105,115,150,200,225,250,600,1000,1000})-LOOKUP(M934,{12.5,15,20,30,45,60,75,105,115,150,200,225,250,600},{12.5,15,20,30,45,60,75,105,115,150,200,225,250,600}))*(LOOKUP(M934,{12.5,15,20,30,45,60,75,105,115,150,200,225,250,600,1000},{55,60,62,65,68,70,72,75,80,82,85,87,90,95,95})-LOOKUP(M934,{12.5,15,20,30,45,60,75,105,115,150,200,225,250,600,1000},{50,55,60,62,65,68,70,72,75,80,82,85,87,90,95})))))</f>
        <v>72</v>
      </c>
      <c r="P934" s="2">
        <f t="shared" si="73"/>
        <v>-8</v>
      </c>
      <c r="Q934" s="2">
        <f t="shared" si="74"/>
        <v>-4</v>
      </c>
    </row>
    <row r="935" customHeight="1" spans="1:17">
      <c r="B935" s="2">
        <v>934</v>
      </c>
      <c r="C935" s="3">
        <f t="shared" si="75"/>
        <v>59.4</v>
      </c>
      <c r="D935" s="2" t="s">
        <v>1349</v>
      </c>
      <c r="E935" s="12">
        <v>62</v>
      </c>
      <c r="F935" s="12">
        <v>69</v>
      </c>
      <c r="G935" s="10">
        <v>82</v>
      </c>
      <c r="H935" s="2" t="s">
        <v>37</v>
      </c>
      <c r="I935" s="2" t="s">
        <v>104</v>
      </c>
      <c r="J935" s="4" t="s">
        <v>148</v>
      </c>
      <c r="M935" s="2">
        <f t="shared" si="70"/>
        <v>115</v>
      </c>
      <c r="N935" s="2">
        <f t="shared" si="71"/>
        <v>65.4</v>
      </c>
      <c r="O935" s="2">
        <f>IF(M935="","",IF(M935&gt;=1000,95,IF(M935&lt;=12.5,50,LOOKUP(M935,{12.5,15,20,30,45,60,75,105,115,150,200,225,250,600,1000},{50,55,60,62,65,68,70,72,75,80,82,85,87,90,95})+(M935-LOOKUP(M935,{12.5,15,20,30,45,60,75,105,115,150,200,225,250,600},{12.5,15,20,30,45,60,75,105,115,150,200,225,250,600}))/(LOOKUP(M935,{12.5,15,20,30,45,60,75,105,115,150,200,225,250,600,1000},{15,20,30,45,60,75,105,115,150,200,225,250,600,1000,1000})-LOOKUP(M935,{12.5,15,20,30,45,60,75,105,115,150,200,225,250,600},{12.5,15,20,30,45,60,75,105,115,150,200,225,250,600}))*(LOOKUP(M935,{12.5,15,20,30,45,60,75,105,115,150,200,225,250,600,1000},{55,60,62,65,68,70,72,75,80,82,85,87,90,95,95})-LOOKUP(M935,{12.5,15,20,30,45,60,75,105,115,150,200,225,250,600,1000},{50,55,60,62,65,68,70,72,75,80,82,85,87,90,95})))))</f>
        <v>75</v>
      </c>
      <c r="P935" s="2">
        <f t="shared" si="73"/>
        <v>-13</v>
      </c>
      <c r="Q935" s="2">
        <f t="shared" si="74"/>
        <v>-6</v>
      </c>
    </row>
    <row r="936" customHeight="1" spans="1:17">
      <c r="B936" s="2">
        <v>935</v>
      </c>
      <c r="C936" s="3">
        <f t="shared" si="75"/>
        <v>59.4</v>
      </c>
      <c r="D936" s="2" t="s">
        <v>1350</v>
      </c>
      <c r="E936" s="12">
        <v>69</v>
      </c>
      <c r="F936" s="12">
        <v>65</v>
      </c>
      <c r="G936" s="2">
        <v>51</v>
      </c>
      <c r="H936" s="2" t="s">
        <v>611</v>
      </c>
      <c r="I936" s="2" t="s">
        <v>612</v>
      </c>
      <c r="J936" s="4" t="s">
        <v>19</v>
      </c>
      <c r="M936" s="2">
        <f t="shared" si="70"/>
        <v>225</v>
      </c>
      <c r="N936" s="2">
        <f t="shared" si="71"/>
        <v>66.4</v>
      </c>
      <c r="O936" s="2">
        <f>IF(M936="","",IF(M936&gt;=1000,95,IF(M936&lt;=12.5,50,LOOKUP(M936,{12.5,15,20,30,45,60,75,105,115,150,200,225,250,600,1000},{50,55,60,62,65,68,70,72,75,80,82,85,87,90,95})+(M936-LOOKUP(M936,{12.5,15,20,30,45,60,75,105,115,150,200,225,250,600},{12.5,15,20,30,45,60,75,105,115,150,200,225,250,600}))/(LOOKUP(M936,{12.5,15,20,30,45,60,75,105,115,150,200,225,250,600,1000},{15,20,30,45,60,75,105,115,150,200,225,250,600,1000,1000})-LOOKUP(M936,{12.5,15,20,30,45,60,75,105,115,150,200,225,250,600},{12.5,15,20,30,45,60,75,105,115,150,200,225,250,600}))*(LOOKUP(M936,{12.5,15,20,30,45,60,75,105,115,150,200,225,250,600,1000},{55,60,62,65,68,70,72,75,80,82,85,87,90,95,95})-LOOKUP(M936,{12.5,15,20,30,45,60,75,105,115,150,200,225,250,600,1000},{50,55,60,62,65,68,70,72,75,80,82,85,87,90,95})))))</f>
        <v>85</v>
      </c>
      <c r="P936" s="2">
        <f t="shared" si="73"/>
        <v>-16</v>
      </c>
      <c r="Q936" s="2">
        <f t="shared" si="74"/>
        <v>-7</v>
      </c>
    </row>
    <row r="937" customHeight="1" spans="1:17">
      <c r="B937" s="2">
        <v>936</v>
      </c>
      <c r="C937" s="3">
        <f t="shared" si="75"/>
        <v>59.4</v>
      </c>
      <c r="D937" s="2" t="s">
        <v>1351</v>
      </c>
      <c r="E937" s="12">
        <v>65</v>
      </c>
      <c r="F937" s="2">
        <v>53</v>
      </c>
      <c r="G937" s="2">
        <v>33</v>
      </c>
      <c r="H937" s="2" t="s">
        <v>41</v>
      </c>
      <c r="I937" s="2" t="s">
        <v>321</v>
      </c>
      <c r="J937" s="4" t="s">
        <v>38</v>
      </c>
      <c r="M937" s="2">
        <f t="shared" si="70"/>
        <v>45</v>
      </c>
      <c r="N937" s="2">
        <f t="shared" si="71"/>
        <v>59.4</v>
      </c>
      <c r="O937" s="2">
        <f>IF(M937="","",IF(M937&gt;=1000,95,IF(M937&lt;=12.5,50,LOOKUP(M937,{12.5,15,20,30,45,60,75,105,115,150,200,225,250,600,1000},{50,55,60,62,65,68,70,72,75,80,82,85,87,90,95})+(M937-LOOKUP(M937,{12.5,15,20,30,45,60,75,105,115,150,200,225,250,600},{12.5,15,20,30,45,60,75,105,115,150,200,225,250,600}))/(LOOKUP(M937,{12.5,15,20,30,45,60,75,105,115,150,200,225,250,600,1000},{15,20,30,45,60,75,105,115,150,200,225,250,600,1000,1000})-LOOKUP(M937,{12.5,15,20,30,45,60,75,105,115,150,200,225,250,600},{12.5,15,20,30,45,60,75,105,115,150,200,225,250,600}))*(LOOKUP(M937,{12.5,15,20,30,45,60,75,105,115,150,200,225,250,600,1000},{55,60,62,65,68,70,72,75,80,82,85,87,90,95,95})-LOOKUP(M937,{12.5,15,20,30,45,60,75,105,115,150,200,225,250,600,1000},{50,55,60,62,65,68,70,72,75,80,82,85,87,90,95})))))</f>
        <v>65</v>
      </c>
      <c r="P937" s="2">
        <f t="shared" si="73"/>
        <v>0</v>
      </c>
      <c r="Q937" s="2">
        <f t="shared" si="74"/>
        <v>0</v>
      </c>
    </row>
    <row r="938" customHeight="1" spans="1:17">
      <c r="B938" s="2">
        <v>937</v>
      </c>
      <c r="C938" s="3">
        <f t="shared" si="75"/>
        <v>59.3</v>
      </c>
      <c r="D938" s="2" t="s">
        <v>1352</v>
      </c>
      <c r="E938" s="12">
        <v>65</v>
      </c>
      <c r="F938" s="12">
        <v>62</v>
      </c>
      <c r="G938" s="12">
        <v>64</v>
      </c>
      <c r="H938" s="2" t="s">
        <v>41</v>
      </c>
      <c r="I938" s="2" t="s">
        <v>183</v>
      </c>
      <c r="J938" s="4" t="s">
        <v>148</v>
      </c>
      <c r="M938" s="2">
        <f t="shared" si="70"/>
        <v>115</v>
      </c>
      <c r="N938" s="2">
        <f t="shared" si="71"/>
        <v>64.3</v>
      </c>
      <c r="O938" s="2">
        <f>IF(M938="","",IF(M938&gt;=1000,95,IF(M938&lt;=12.5,50,LOOKUP(M938,{12.5,15,20,30,45,60,75,105,115,150,200,225,250,600,1000},{50,55,60,62,65,68,70,72,75,80,82,85,87,90,95})+(M938-LOOKUP(M938,{12.5,15,20,30,45,60,75,105,115,150,200,225,250,600},{12.5,15,20,30,45,60,75,105,115,150,200,225,250,600}))/(LOOKUP(M938,{12.5,15,20,30,45,60,75,105,115,150,200,225,250,600,1000},{15,20,30,45,60,75,105,115,150,200,225,250,600,1000,1000})-LOOKUP(M938,{12.5,15,20,30,45,60,75,105,115,150,200,225,250,600},{12.5,15,20,30,45,60,75,105,115,150,200,225,250,600}))*(LOOKUP(M938,{12.5,15,20,30,45,60,75,105,115,150,200,225,250,600,1000},{55,60,62,65,68,70,72,75,80,82,85,87,90,95,95})-LOOKUP(M938,{12.5,15,20,30,45,60,75,105,115,150,200,225,250,600,1000},{50,55,60,62,65,68,70,72,75,80,82,85,87,90,95})))))</f>
        <v>75</v>
      </c>
      <c r="P938" s="2">
        <f t="shared" si="73"/>
        <v>-10</v>
      </c>
      <c r="Q938" s="2">
        <f t="shared" si="74"/>
        <v>-5</v>
      </c>
    </row>
    <row r="939" customHeight="1" spans="1:17">
      <c r="A939" s="2">
        <v>2026</v>
      </c>
      <c r="B939" s="2">
        <v>938</v>
      </c>
      <c r="C939" s="3">
        <f t="shared" si="75"/>
        <v>59.3</v>
      </c>
      <c r="D939" s="2" t="s">
        <v>1353</v>
      </c>
      <c r="E939" s="12">
        <v>64</v>
      </c>
      <c r="F939" s="12">
        <v>64</v>
      </c>
      <c r="G939" s="2">
        <v>57</v>
      </c>
      <c r="H939" s="2" t="s">
        <v>54</v>
      </c>
      <c r="I939" s="2" t="s">
        <v>104</v>
      </c>
      <c r="J939" s="4" t="s">
        <v>105</v>
      </c>
      <c r="K939" s="2" t="s">
        <v>1354</v>
      </c>
      <c r="M939" s="2">
        <f t="shared" si="70"/>
        <v>105</v>
      </c>
      <c r="N939" s="2">
        <f t="shared" si="71"/>
        <v>63.3</v>
      </c>
      <c r="O939" s="2">
        <f>IF(M939="","",IF(M939&gt;=1000,95,IF(M939&lt;=12.5,50,LOOKUP(M939,{12.5,15,20,30,45,60,75,105,115,150,200,225,250,600,1000},{50,55,60,62,65,68,70,72,75,80,82,85,87,90,95})+(M939-LOOKUP(M939,{12.5,15,20,30,45,60,75,105,115,150,200,225,250,600},{12.5,15,20,30,45,60,75,105,115,150,200,225,250,600}))/(LOOKUP(M939,{12.5,15,20,30,45,60,75,105,115,150,200,225,250,600,1000},{15,20,30,45,60,75,105,115,150,200,225,250,600,1000,1000})-LOOKUP(M939,{12.5,15,20,30,45,60,75,105,115,150,200,225,250,600},{12.5,15,20,30,45,60,75,105,115,150,200,225,250,600}))*(LOOKUP(M939,{12.5,15,20,30,45,60,75,105,115,150,200,225,250,600,1000},{55,60,62,65,68,70,72,75,80,82,85,87,90,95,95})-LOOKUP(M939,{12.5,15,20,30,45,60,75,105,115,150,200,225,250,600,1000},{50,55,60,62,65,68,70,72,75,80,82,85,87,90,95})))))</f>
        <v>72</v>
      </c>
      <c r="P939" s="2">
        <f t="shared" si="73"/>
        <v>-8</v>
      </c>
      <c r="Q939" s="2">
        <f t="shared" si="74"/>
        <v>-4</v>
      </c>
    </row>
    <row r="940" customHeight="1" spans="1:17">
      <c r="A940" s="2">
        <v>2026</v>
      </c>
      <c r="B940" s="2">
        <v>939</v>
      </c>
      <c r="C940" s="3">
        <f t="shared" si="75"/>
        <v>59.3</v>
      </c>
      <c r="D940" s="2" t="s">
        <v>1355</v>
      </c>
      <c r="E940" s="12">
        <v>62</v>
      </c>
      <c r="F940" s="2">
        <v>52</v>
      </c>
      <c r="G940" s="2">
        <v>45</v>
      </c>
      <c r="H940" s="2" t="s">
        <v>41</v>
      </c>
      <c r="I940" s="2" t="s">
        <v>63</v>
      </c>
      <c r="J940" s="4" t="s">
        <v>140</v>
      </c>
      <c r="M940" s="2">
        <f t="shared" si="70"/>
        <v>20</v>
      </c>
      <c r="N940" s="2">
        <f t="shared" si="71"/>
        <v>58.3</v>
      </c>
      <c r="O940" s="2">
        <f>IF(M940="","",IF(M940&gt;=1000,95,IF(M940&lt;=12.5,50,LOOKUP(M940,{12.5,15,20,30,45,60,75,105,115,150,200,225,250,600,1000},{50,55,60,62,65,68,70,72,75,80,82,85,87,90,95})+(M940-LOOKUP(M940,{12.5,15,20,30,45,60,75,105,115,150,200,225,250,600},{12.5,15,20,30,45,60,75,105,115,150,200,225,250,600}))/(LOOKUP(M940,{12.5,15,20,30,45,60,75,105,115,150,200,225,250,600,1000},{15,20,30,45,60,75,105,115,150,200,225,250,600,1000,1000})-LOOKUP(M940,{12.5,15,20,30,45,60,75,105,115,150,200,225,250,600},{12.5,15,20,30,45,60,75,105,115,150,200,225,250,600}))*(LOOKUP(M940,{12.5,15,20,30,45,60,75,105,115,150,200,225,250,600,1000},{55,60,62,65,68,70,72,75,80,82,85,87,90,95,95})-LOOKUP(M940,{12.5,15,20,30,45,60,75,105,115,150,200,225,250,600,1000},{50,55,60,62,65,68,70,72,75,80,82,85,87,90,95})))))</f>
        <v>60</v>
      </c>
      <c r="P940" s="2">
        <f t="shared" si="73"/>
        <v>2</v>
      </c>
      <c r="Q940" s="2">
        <f t="shared" si="74"/>
        <v>1</v>
      </c>
    </row>
    <row r="941" customHeight="1" spans="1:17">
      <c r="B941" s="2">
        <v>940</v>
      </c>
      <c r="C941" s="3">
        <f t="shared" si="75"/>
        <v>59.3</v>
      </c>
      <c r="D941" s="2" t="s">
        <v>1356</v>
      </c>
      <c r="E941" s="12">
        <v>65</v>
      </c>
      <c r="F941" s="2">
        <v>54</v>
      </c>
      <c r="G941" s="2">
        <v>45</v>
      </c>
      <c r="H941" s="2" t="s">
        <v>515</v>
      </c>
      <c r="I941" s="2" t="s">
        <v>63</v>
      </c>
      <c r="J941" s="4" t="s">
        <v>34</v>
      </c>
      <c r="M941" s="2">
        <f t="shared" si="70"/>
        <v>60</v>
      </c>
      <c r="N941" s="2">
        <f t="shared" si="71"/>
        <v>60.8</v>
      </c>
      <c r="O941" s="2">
        <f>IF(M941="","",IF(M941&gt;=1000,95,IF(M941&lt;=12.5,50,LOOKUP(M941,{12.5,15,20,30,45,60,75,105,115,150,200,225,250,600,1000},{50,55,60,62,65,68,70,72,75,80,82,85,87,90,95})+(M941-LOOKUP(M941,{12.5,15,20,30,45,60,75,105,115,150,200,225,250,600},{12.5,15,20,30,45,60,75,105,115,150,200,225,250,600}))/(LOOKUP(M941,{12.5,15,20,30,45,60,75,105,115,150,200,225,250,600,1000},{15,20,30,45,60,75,105,115,150,200,225,250,600,1000,1000})-LOOKUP(M941,{12.5,15,20,30,45,60,75,105,115,150,200,225,250,600},{12.5,15,20,30,45,60,75,105,115,150,200,225,250,600}))*(LOOKUP(M941,{12.5,15,20,30,45,60,75,105,115,150,200,225,250,600,1000},{55,60,62,65,68,70,72,75,80,82,85,87,90,95,95})-LOOKUP(M941,{12.5,15,20,30,45,60,75,105,115,150,200,225,250,600,1000},{50,55,60,62,65,68,70,72,75,80,82,85,87,90,95})))))</f>
        <v>68</v>
      </c>
      <c r="P941" s="2">
        <f t="shared" si="73"/>
        <v>-3</v>
      </c>
      <c r="Q941" s="2">
        <f t="shared" si="74"/>
        <v>-1.5</v>
      </c>
    </row>
    <row r="942" customHeight="1" spans="1:17">
      <c r="B942" s="2">
        <v>941</v>
      </c>
      <c r="C942" s="3">
        <f t="shared" si="75"/>
        <v>59.3</v>
      </c>
      <c r="D942" s="2" t="s">
        <v>1357</v>
      </c>
      <c r="E942" s="12">
        <v>64</v>
      </c>
      <c r="F942" s="2">
        <v>50</v>
      </c>
      <c r="G942" s="2">
        <v>50</v>
      </c>
      <c r="H942" s="2" t="s">
        <v>41</v>
      </c>
      <c r="I942" s="2" t="s">
        <v>33</v>
      </c>
      <c r="J942" s="4" t="s">
        <v>38</v>
      </c>
      <c r="M942" s="2">
        <f t="shared" si="70"/>
        <v>45</v>
      </c>
      <c r="N942" s="2">
        <f t="shared" si="71"/>
        <v>59.8</v>
      </c>
      <c r="O942" s="2">
        <f>IF(M942="","",IF(M942&gt;=1000,95,IF(M942&lt;=12.5,50,LOOKUP(M942,{12.5,15,20,30,45,60,75,105,115,150,200,225,250,600,1000},{50,55,60,62,65,68,70,72,75,80,82,85,87,90,95})+(M942-LOOKUP(M942,{12.5,15,20,30,45,60,75,105,115,150,200,225,250,600},{12.5,15,20,30,45,60,75,105,115,150,200,225,250,600}))/(LOOKUP(M942,{12.5,15,20,30,45,60,75,105,115,150,200,225,250,600,1000},{15,20,30,45,60,75,105,115,150,200,225,250,600,1000,1000})-LOOKUP(M942,{12.5,15,20,30,45,60,75,105,115,150,200,225,250,600},{12.5,15,20,30,45,60,75,105,115,150,200,225,250,600}))*(LOOKUP(M942,{12.5,15,20,30,45,60,75,105,115,150,200,225,250,600,1000},{55,60,62,65,68,70,72,75,80,82,85,87,90,95,95})-LOOKUP(M942,{12.5,15,20,30,45,60,75,105,115,150,200,225,250,600,1000},{50,55,60,62,65,68,70,72,75,80,82,85,87,90,95})))))</f>
        <v>65</v>
      </c>
      <c r="P942" s="2">
        <f t="shared" si="73"/>
        <v>-1</v>
      </c>
      <c r="Q942" s="2">
        <f t="shared" si="74"/>
        <v>-0.5</v>
      </c>
    </row>
    <row r="943" customHeight="1" spans="1:17">
      <c r="A943" s="2">
        <v>2026</v>
      </c>
      <c r="B943" s="2">
        <v>942</v>
      </c>
      <c r="C943" s="3">
        <f t="shared" si="75"/>
        <v>59.23</v>
      </c>
      <c r="D943" s="2" t="s">
        <v>1358</v>
      </c>
      <c r="E943" s="12">
        <v>67</v>
      </c>
      <c r="F943" s="12">
        <v>66</v>
      </c>
      <c r="G943" s="2">
        <v>58</v>
      </c>
      <c r="H943" s="2" t="s">
        <v>264</v>
      </c>
      <c r="I943" s="2" t="s">
        <v>159</v>
      </c>
      <c r="J943" s="4" t="s">
        <v>51</v>
      </c>
      <c r="M943" s="2">
        <f t="shared" si="70"/>
        <v>200</v>
      </c>
      <c r="N943" s="2">
        <f t="shared" si="71"/>
        <v>65.9</v>
      </c>
      <c r="O943" s="2">
        <f>IF(M943="","",IF(M943&gt;=1000,95,IF(M943&lt;=12.5,50,LOOKUP(M943,{12.5,15,20,30,45,60,75,105,115,150,200,225,250,600,1000},{50,55,60,62,65,68,70,72,75,80,82,85,87,90,95})+(M943-LOOKUP(M943,{12.5,15,20,30,45,60,75,105,115,150,200,225,250,600},{12.5,15,20,30,45,60,75,105,115,150,200,225,250,600}))/(LOOKUP(M943,{12.5,15,20,30,45,60,75,105,115,150,200,225,250,600,1000},{15,20,30,45,60,75,105,115,150,200,225,250,600,1000,1000})-LOOKUP(M943,{12.5,15,20,30,45,60,75,105,115,150,200,225,250,600},{12.5,15,20,30,45,60,75,105,115,150,200,225,250,600}))*(LOOKUP(M943,{12.5,15,20,30,45,60,75,105,115,150,200,225,250,600,1000},{55,60,62,65,68,70,72,75,80,82,85,87,90,95,95})-LOOKUP(M943,{12.5,15,20,30,45,60,75,105,115,150,200,225,250,600,1000},{50,55,60,62,65,68,70,72,75,80,82,85,87,90,95})))))</f>
        <v>82</v>
      </c>
      <c r="P943" s="2">
        <f t="shared" si="73"/>
        <v>-15</v>
      </c>
      <c r="Q943" s="2">
        <f t="shared" si="74"/>
        <v>-6.67</v>
      </c>
    </row>
    <row r="944" customHeight="1" spans="1:17">
      <c r="B944" s="2">
        <v>943</v>
      </c>
      <c r="C944" s="3">
        <f t="shared" si="75"/>
        <v>59.23</v>
      </c>
      <c r="D944" s="2" t="s">
        <v>1359</v>
      </c>
      <c r="E944" s="12">
        <v>64</v>
      </c>
      <c r="F944" s="9">
        <v>79</v>
      </c>
      <c r="G944" s="9">
        <v>73</v>
      </c>
      <c r="H944" s="2" t="s">
        <v>41</v>
      </c>
      <c r="I944" s="2" t="s">
        <v>104</v>
      </c>
      <c r="J944" s="4" t="s">
        <v>19</v>
      </c>
      <c r="K944" s="2" t="s">
        <v>1069</v>
      </c>
      <c r="M944" s="2">
        <f t="shared" si="70"/>
        <v>225</v>
      </c>
      <c r="N944" s="2">
        <f t="shared" si="71"/>
        <v>67.9</v>
      </c>
      <c r="O944" s="2">
        <f>IF(M944="","",IF(M944&gt;=1000,95,IF(M944&lt;=12.5,50,LOOKUP(M944,{12.5,15,20,30,45,60,75,105,115,150,200,225,250,600,1000},{50,55,60,62,65,68,70,72,75,80,82,85,87,90,95})+(M944-LOOKUP(M944,{12.5,15,20,30,45,60,75,105,115,150,200,225,250,600},{12.5,15,20,30,45,60,75,105,115,150,200,225,250,600}))/(LOOKUP(M944,{12.5,15,20,30,45,60,75,105,115,150,200,225,250,600,1000},{15,20,30,45,60,75,105,115,150,200,225,250,600,1000,1000})-LOOKUP(M944,{12.5,15,20,30,45,60,75,105,115,150,200,225,250,600},{12.5,15,20,30,45,60,75,105,115,150,200,225,250,600}))*(LOOKUP(M944,{12.5,15,20,30,45,60,75,105,115,150,200,225,250,600,1000},{55,60,62,65,68,70,72,75,80,82,85,87,90,95,95})-LOOKUP(M944,{12.5,15,20,30,45,60,75,105,115,150,200,225,250,600,1000},{50,55,60,62,65,68,70,72,75,80,82,85,87,90,95})))))</f>
        <v>85</v>
      </c>
      <c r="P944" s="2">
        <f t="shared" si="73"/>
        <v>-21</v>
      </c>
      <c r="Q944" s="2">
        <f t="shared" si="74"/>
        <v>-8.67</v>
      </c>
    </row>
    <row r="945" customHeight="1" spans="1:17">
      <c r="B945" s="2">
        <v>944</v>
      </c>
      <c r="C945" s="3">
        <f t="shared" si="75"/>
        <v>59.23</v>
      </c>
      <c r="D945" s="2" t="s">
        <v>1360</v>
      </c>
      <c r="E945" s="12">
        <v>66</v>
      </c>
      <c r="F945" s="9">
        <v>70</v>
      </c>
      <c r="G945" s="9">
        <v>77</v>
      </c>
      <c r="H945" s="2" t="s">
        <v>1361</v>
      </c>
      <c r="I945" s="2" t="s">
        <v>239</v>
      </c>
      <c r="J945" s="4" t="s">
        <v>123</v>
      </c>
      <c r="M945" s="2">
        <f t="shared" si="70"/>
        <v>250</v>
      </c>
      <c r="N945" s="2">
        <f t="shared" si="71"/>
        <v>67.9</v>
      </c>
      <c r="O945" s="2">
        <f>IF(M945="","",IF(M945&gt;=1000,95,IF(M945&lt;=12.5,50,LOOKUP(M945,{12.5,15,20,30,45,60,75,105,115,150,200,225,250,600,1000},{50,55,60,62,65,68,70,72,75,80,82,85,87,90,95})+(M945-LOOKUP(M945,{12.5,15,20,30,45,60,75,105,115,150,200,225,250,600},{12.5,15,20,30,45,60,75,105,115,150,200,225,250,600}))/(LOOKUP(M945,{12.5,15,20,30,45,60,75,105,115,150,200,225,250,600,1000},{15,20,30,45,60,75,105,115,150,200,225,250,600,1000,1000})-LOOKUP(M945,{12.5,15,20,30,45,60,75,105,115,150,200,225,250,600},{12.5,15,20,30,45,60,75,105,115,150,200,225,250,600}))*(LOOKUP(M945,{12.5,15,20,30,45,60,75,105,115,150,200,225,250,600,1000},{55,60,62,65,68,70,72,75,80,82,85,87,90,95,95})-LOOKUP(M945,{12.5,15,20,30,45,60,75,105,115,150,200,225,250,600,1000},{50,55,60,62,65,68,70,72,75,80,82,85,87,90,95})))))</f>
        <v>87</v>
      </c>
      <c r="P945" s="2">
        <f t="shared" si="73"/>
        <v>-21</v>
      </c>
      <c r="Q945" s="2">
        <f t="shared" si="74"/>
        <v>-8.67</v>
      </c>
    </row>
    <row r="946" customHeight="1" spans="1:17">
      <c r="A946" s="2">
        <v>2026</v>
      </c>
      <c r="B946" s="2">
        <v>945</v>
      </c>
      <c r="C946" s="3">
        <f t="shared" si="75"/>
        <v>59.2</v>
      </c>
      <c r="D946" s="2" t="s">
        <v>1362</v>
      </c>
      <c r="E946" s="12">
        <v>63</v>
      </c>
      <c r="F946" s="12">
        <v>60</v>
      </c>
      <c r="G946" s="2">
        <v>56</v>
      </c>
      <c r="H946" s="2" t="s">
        <v>54</v>
      </c>
      <c r="I946" s="2" t="s">
        <v>803</v>
      </c>
      <c r="J946" s="4" t="s">
        <v>34</v>
      </c>
      <c r="M946" s="2">
        <f t="shared" si="70"/>
        <v>60</v>
      </c>
      <c r="N946" s="2">
        <f t="shared" si="71"/>
        <v>61.7</v>
      </c>
      <c r="O946" s="2">
        <f>IF(M946="","",IF(M946&gt;=1000,95,IF(M946&lt;=12.5,50,LOOKUP(M946,{12.5,15,20,30,45,60,75,105,115,150,200,225,250,600,1000},{50,55,60,62,65,68,70,72,75,80,82,85,87,90,95})+(M946-LOOKUP(M946,{12.5,15,20,30,45,60,75,105,115,150,200,225,250,600},{12.5,15,20,30,45,60,75,105,115,150,200,225,250,600}))/(LOOKUP(M946,{12.5,15,20,30,45,60,75,105,115,150,200,225,250,600,1000},{15,20,30,45,60,75,105,115,150,200,225,250,600,1000,1000})-LOOKUP(M946,{12.5,15,20,30,45,60,75,105,115,150,200,225,250,600},{12.5,15,20,30,45,60,75,105,115,150,200,225,250,600}))*(LOOKUP(M946,{12.5,15,20,30,45,60,75,105,115,150,200,225,250,600,1000},{55,60,62,65,68,70,72,75,80,82,85,87,90,95,95})-LOOKUP(M946,{12.5,15,20,30,45,60,75,105,115,150,200,225,250,600,1000},{50,55,60,62,65,68,70,72,75,80,82,85,87,90,95})))))</f>
        <v>68</v>
      </c>
      <c r="P946" s="2">
        <f t="shared" si="73"/>
        <v>-5</v>
      </c>
      <c r="Q946" s="2">
        <f t="shared" si="74"/>
        <v>-2.5</v>
      </c>
    </row>
    <row r="947" customHeight="1" spans="1:17">
      <c r="B947" s="2">
        <v>946</v>
      </c>
      <c r="C947" s="3">
        <f t="shared" si="75"/>
        <v>59.2</v>
      </c>
      <c r="D947" s="2" t="s">
        <v>1363</v>
      </c>
      <c r="E947" s="12">
        <v>62</v>
      </c>
      <c r="F947" s="2">
        <v>55</v>
      </c>
      <c r="G947" s="12">
        <v>63</v>
      </c>
      <c r="H947" s="2" t="s">
        <v>91</v>
      </c>
      <c r="I947" s="2" t="s">
        <v>63</v>
      </c>
      <c r="J947" s="4" t="s">
        <v>38</v>
      </c>
      <c r="M947" s="2">
        <f t="shared" si="70"/>
        <v>45</v>
      </c>
      <c r="N947" s="2">
        <f t="shared" si="71"/>
        <v>60.7</v>
      </c>
      <c r="O947" s="2">
        <f>IF(M947="","",IF(M947&gt;=1000,95,IF(M947&lt;=12.5,50,LOOKUP(M947,{12.5,15,20,30,45,60,75,105,115,150,200,225,250,600,1000},{50,55,60,62,65,68,70,72,75,80,82,85,87,90,95})+(M947-LOOKUP(M947,{12.5,15,20,30,45,60,75,105,115,150,200,225,250,600},{12.5,15,20,30,45,60,75,105,115,150,200,225,250,600}))/(LOOKUP(M947,{12.5,15,20,30,45,60,75,105,115,150,200,225,250,600,1000},{15,20,30,45,60,75,105,115,150,200,225,250,600,1000,1000})-LOOKUP(M947,{12.5,15,20,30,45,60,75,105,115,150,200,225,250,600},{12.5,15,20,30,45,60,75,105,115,150,200,225,250,600}))*(LOOKUP(M947,{12.5,15,20,30,45,60,75,105,115,150,200,225,250,600,1000},{55,60,62,65,68,70,72,75,80,82,85,87,90,95,95})-LOOKUP(M947,{12.5,15,20,30,45,60,75,105,115,150,200,225,250,600,1000},{50,55,60,62,65,68,70,72,75,80,82,85,87,90,95})))))</f>
        <v>65</v>
      </c>
      <c r="P947" s="2">
        <f t="shared" si="73"/>
        <v>-3</v>
      </c>
      <c r="Q947" s="2">
        <f t="shared" si="74"/>
        <v>-1.5</v>
      </c>
    </row>
    <row r="948" customHeight="1" spans="1:17">
      <c r="B948" s="2">
        <v>947</v>
      </c>
      <c r="C948" s="3">
        <f t="shared" si="75"/>
        <v>59.2</v>
      </c>
      <c r="D948" s="2" t="s">
        <v>1364</v>
      </c>
      <c r="E948" s="12">
        <v>63</v>
      </c>
      <c r="F948" s="2">
        <v>50</v>
      </c>
      <c r="G948" s="12">
        <v>61</v>
      </c>
      <c r="H948" s="2" t="s">
        <v>41</v>
      </c>
      <c r="I948" s="2" t="s">
        <v>63</v>
      </c>
      <c r="J948" s="4" t="s">
        <v>38</v>
      </c>
      <c r="M948" s="2">
        <f t="shared" si="70"/>
        <v>45</v>
      </c>
      <c r="N948" s="2">
        <f t="shared" si="71"/>
        <v>60.2</v>
      </c>
      <c r="O948" s="2">
        <f>IF(M948="","",IF(M948&gt;=1000,95,IF(M948&lt;=12.5,50,LOOKUP(M948,{12.5,15,20,30,45,60,75,105,115,150,200,225,250,600,1000},{50,55,60,62,65,68,70,72,75,80,82,85,87,90,95})+(M948-LOOKUP(M948,{12.5,15,20,30,45,60,75,105,115,150,200,225,250,600},{12.5,15,20,30,45,60,75,105,115,150,200,225,250,600}))/(LOOKUP(M948,{12.5,15,20,30,45,60,75,105,115,150,200,225,250,600,1000},{15,20,30,45,60,75,105,115,150,200,225,250,600,1000,1000})-LOOKUP(M948,{12.5,15,20,30,45,60,75,105,115,150,200,225,250,600},{12.5,15,20,30,45,60,75,105,115,150,200,225,250,600}))*(LOOKUP(M948,{12.5,15,20,30,45,60,75,105,115,150,200,225,250,600,1000},{55,60,62,65,68,70,72,75,80,82,85,87,90,95,95})-LOOKUP(M948,{12.5,15,20,30,45,60,75,105,115,150,200,225,250,600,1000},{50,55,60,62,65,68,70,72,75,80,82,85,87,90,95})))))</f>
        <v>65</v>
      </c>
      <c r="P948" s="2">
        <f t="shared" si="73"/>
        <v>-2</v>
      </c>
      <c r="Q948" s="2">
        <f t="shared" si="74"/>
        <v>-1</v>
      </c>
    </row>
    <row r="949" customHeight="1" spans="1:17">
      <c r="A949" s="2">
        <v>2026</v>
      </c>
      <c r="B949" s="2">
        <v>948</v>
      </c>
      <c r="C949" s="3">
        <f t="shared" si="75"/>
        <v>59.2</v>
      </c>
      <c r="D949" s="2" t="s">
        <v>1365</v>
      </c>
      <c r="E949" s="12">
        <v>62</v>
      </c>
      <c r="F949" s="2">
        <v>55</v>
      </c>
      <c r="G949" s="2">
        <v>48</v>
      </c>
      <c r="H949" s="2" t="s">
        <v>41</v>
      </c>
      <c r="I949" s="2" t="s">
        <v>63</v>
      </c>
      <c r="J949" s="4" t="s">
        <v>88</v>
      </c>
      <c r="M949" s="2">
        <f t="shared" si="70"/>
        <v>30</v>
      </c>
      <c r="N949" s="2">
        <f t="shared" si="71"/>
        <v>59.2</v>
      </c>
      <c r="O949" s="2">
        <f>IF(M949="","",IF(M949&gt;=1000,95,IF(M949&lt;=12.5,50,LOOKUP(M949,{12.5,15,20,30,45,60,75,105,115,150,200,225,250,600,1000},{50,55,60,62,65,68,70,72,75,80,82,85,87,90,95})+(M949-LOOKUP(M949,{12.5,15,20,30,45,60,75,105,115,150,200,225,250,600},{12.5,15,20,30,45,60,75,105,115,150,200,225,250,600}))/(LOOKUP(M949,{12.5,15,20,30,45,60,75,105,115,150,200,225,250,600,1000},{15,20,30,45,60,75,105,115,150,200,225,250,600,1000,1000})-LOOKUP(M949,{12.5,15,20,30,45,60,75,105,115,150,200,225,250,600},{12.5,15,20,30,45,60,75,105,115,150,200,225,250,600}))*(LOOKUP(M949,{12.5,15,20,30,45,60,75,105,115,150,200,225,250,600,1000},{55,60,62,65,68,70,72,75,80,82,85,87,90,95,95})-LOOKUP(M949,{12.5,15,20,30,45,60,75,105,115,150,200,225,250,600,1000},{50,55,60,62,65,68,70,72,75,80,82,85,87,90,95})))))</f>
        <v>62</v>
      </c>
      <c r="P949" s="2">
        <f t="shared" si="73"/>
        <v>0</v>
      </c>
      <c r="Q949" s="2">
        <f t="shared" si="74"/>
        <v>0</v>
      </c>
    </row>
    <row r="950" customHeight="1" spans="1:17">
      <c r="A950" s="2">
        <v>2026</v>
      </c>
      <c r="B950" s="2">
        <v>949</v>
      </c>
      <c r="C950" s="3">
        <f t="shared" si="75"/>
        <v>59.2</v>
      </c>
      <c r="D950" s="2" t="s">
        <v>1366</v>
      </c>
      <c r="E950" s="12">
        <v>63</v>
      </c>
      <c r="F950" s="2">
        <v>53</v>
      </c>
      <c r="G950" s="2">
        <v>40</v>
      </c>
      <c r="H950" s="2" t="s">
        <v>99</v>
      </c>
      <c r="I950" s="2" t="s">
        <v>63</v>
      </c>
      <c r="J950" s="4" t="s">
        <v>88</v>
      </c>
      <c r="M950" s="2">
        <f t="shared" si="70"/>
        <v>30</v>
      </c>
      <c r="N950" s="2">
        <f t="shared" si="71"/>
        <v>58.7</v>
      </c>
      <c r="O950" s="2">
        <f>IF(M950="","",IF(M950&gt;=1000,95,IF(M950&lt;=12.5,50,LOOKUP(M950,{12.5,15,20,30,45,60,75,105,115,150,200,225,250,600,1000},{50,55,60,62,65,68,70,72,75,80,82,85,87,90,95})+(M950-LOOKUP(M950,{12.5,15,20,30,45,60,75,105,115,150,200,225,250,600},{12.5,15,20,30,45,60,75,105,115,150,200,225,250,600}))/(LOOKUP(M950,{12.5,15,20,30,45,60,75,105,115,150,200,225,250,600,1000},{15,20,30,45,60,75,105,115,150,200,225,250,600,1000,1000})-LOOKUP(M950,{12.5,15,20,30,45,60,75,105,115,150,200,225,250,600},{12.5,15,20,30,45,60,75,105,115,150,200,225,250,600}))*(LOOKUP(M950,{12.5,15,20,30,45,60,75,105,115,150,200,225,250,600,1000},{55,60,62,65,68,70,72,75,80,82,85,87,90,95,95})-LOOKUP(M950,{12.5,15,20,30,45,60,75,105,115,150,200,225,250,600,1000},{50,55,60,62,65,68,70,72,75,80,82,85,87,90,95})))))</f>
        <v>62</v>
      </c>
      <c r="P950" s="2">
        <f t="shared" si="73"/>
        <v>1</v>
      </c>
      <c r="Q950" s="2">
        <f t="shared" si="74"/>
        <v>0.5</v>
      </c>
    </row>
    <row r="951" customHeight="1" spans="1:17">
      <c r="A951" s="2">
        <v>2026</v>
      </c>
      <c r="B951" s="2">
        <v>950</v>
      </c>
      <c r="C951" s="3">
        <f t="shared" si="75"/>
        <v>59.2</v>
      </c>
      <c r="D951" s="2" t="s">
        <v>1367</v>
      </c>
      <c r="E951" s="12">
        <v>66</v>
      </c>
      <c r="F951" s="2">
        <v>50</v>
      </c>
      <c r="G951" s="2">
        <v>25</v>
      </c>
      <c r="H951" s="2" t="s">
        <v>54</v>
      </c>
      <c r="I951" s="2" t="s">
        <v>589</v>
      </c>
      <c r="J951" s="4" t="s">
        <v>38</v>
      </c>
      <c r="M951" s="2">
        <f t="shared" si="70"/>
        <v>45</v>
      </c>
      <c r="N951" s="2">
        <f t="shared" si="71"/>
        <v>58.7</v>
      </c>
      <c r="O951" s="2">
        <f>IF(M951="","",IF(M951&gt;=1000,95,IF(M951&lt;=12.5,50,LOOKUP(M951,{12.5,15,20,30,45,60,75,105,115,150,200,225,250,600,1000},{50,55,60,62,65,68,70,72,75,80,82,85,87,90,95})+(M951-LOOKUP(M951,{12.5,15,20,30,45,60,75,105,115,150,200,225,250,600},{12.5,15,20,30,45,60,75,105,115,150,200,225,250,600}))/(LOOKUP(M951,{12.5,15,20,30,45,60,75,105,115,150,200,225,250,600,1000},{15,20,30,45,60,75,105,115,150,200,225,250,600,1000,1000})-LOOKUP(M951,{12.5,15,20,30,45,60,75,105,115,150,200,225,250,600},{12.5,15,20,30,45,60,75,105,115,150,200,225,250,600}))*(LOOKUP(M951,{12.5,15,20,30,45,60,75,105,115,150,200,225,250,600,1000},{55,60,62,65,68,70,72,75,80,82,85,87,90,95,95})-LOOKUP(M951,{12.5,15,20,30,45,60,75,105,115,150,200,225,250,600,1000},{50,55,60,62,65,68,70,72,75,80,82,85,87,90,95})))))</f>
        <v>65</v>
      </c>
      <c r="P951" s="2">
        <f t="shared" si="73"/>
        <v>1</v>
      </c>
      <c r="Q951" s="2">
        <f t="shared" si="74"/>
        <v>0.5</v>
      </c>
    </row>
    <row r="952" customHeight="1" spans="1:17">
      <c r="B952" s="2">
        <v>951</v>
      </c>
      <c r="C952" s="3">
        <f t="shared" si="75"/>
        <v>59.17</v>
      </c>
      <c r="D952" s="2" t="s">
        <v>1368</v>
      </c>
      <c r="E952" s="12">
        <v>64</v>
      </c>
      <c r="F952" s="12">
        <v>64</v>
      </c>
      <c r="G952" s="12">
        <v>69</v>
      </c>
      <c r="H952" s="2" t="s">
        <v>91</v>
      </c>
      <c r="I952" s="2" t="s">
        <v>350</v>
      </c>
      <c r="J952" s="4" t="s">
        <v>148</v>
      </c>
      <c r="M952" s="2">
        <f t="shared" si="70"/>
        <v>115</v>
      </c>
      <c r="N952" s="2">
        <f t="shared" si="71"/>
        <v>64.5</v>
      </c>
      <c r="O952" s="2">
        <f>IF(M952="","",IF(M952&gt;=1000,95,IF(M952&lt;=12.5,50,LOOKUP(M952,{12.5,15,20,30,45,60,75,105,115,150,200,225,250,600,1000},{50,55,60,62,65,68,70,72,75,80,82,85,87,90,95})+(M952-LOOKUP(M952,{12.5,15,20,30,45,60,75,105,115,150,200,225,250,600},{12.5,15,20,30,45,60,75,105,115,150,200,225,250,600}))/(LOOKUP(M952,{12.5,15,20,30,45,60,75,105,115,150,200,225,250,600,1000},{15,20,30,45,60,75,105,115,150,200,225,250,600,1000,1000})-LOOKUP(M952,{12.5,15,20,30,45,60,75,105,115,150,200,225,250,600},{12.5,15,20,30,45,60,75,105,115,150,200,225,250,600}))*(LOOKUP(M952,{12.5,15,20,30,45,60,75,105,115,150,200,225,250,600,1000},{55,60,62,65,68,70,72,75,80,82,85,87,90,95,95})-LOOKUP(M952,{12.5,15,20,30,45,60,75,105,115,150,200,225,250,600,1000},{50,55,60,62,65,68,70,72,75,80,82,85,87,90,95})))))</f>
        <v>75</v>
      </c>
      <c r="P952" s="2">
        <f t="shared" si="73"/>
        <v>-11</v>
      </c>
      <c r="Q952" s="2">
        <f t="shared" si="74"/>
        <v>-5.33</v>
      </c>
    </row>
    <row r="953" customHeight="1" spans="1:17">
      <c r="A953" s="2">
        <v>2026</v>
      </c>
      <c r="B953" s="2">
        <v>952</v>
      </c>
      <c r="C953" s="3">
        <f t="shared" si="75"/>
        <v>59.1</v>
      </c>
      <c r="D953" s="2" t="s">
        <v>1369</v>
      </c>
      <c r="E953" s="12">
        <v>62</v>
      </c>
      <c r="F953" s="2">
        <v>59</v>
      </c>
      <c r="G953" s="2">
        <v>54</v>
      </c>
      <c r="H953" s="2" t="s">
        <v>37</v>
      </c>
      <c r="I953" s="2" t="s">
        <v>33</v>
      </c>
      <c r="J953" s="4" t="s">
        <v>38</v>
      </c>
      <c r="M953" s="2">
        <f t="shared" si="70"/>
        <v>45</v>
      </c>
      <c r="N953" s="2">
        <f t="shared" si="71"/>
        <v>60.6</v>
      </c>
      <c r="O953" s="2">
        <f>IF(M953="","",IF(M953&gt;=1000,95,IF(M953&lt;=12.5,50,LOOKUP(M953,{12.5,15,20,30,45,60,75,105,115,150,200,225,250,600,1000},{50,55,60,62,65,68,70,72,75,80,82,85,87,90,95})+(M953-LOOKUP(M953,{12.5,15,20,30,45,60,75,105,115,150,200,225,250,600},{12.5,15,20,30,45,60,75,105,115,150,200,225,250,600}))/(LOOKUP(M953,{12.5,15,20,30,45,60,75,105,115,150,200,225,250,600,1000},{15,20,30,45,60,75,105,115,150,200,225,250,600,1000,1000})-LOOKUP(M953,{12.5,15,20,30,45,60,75,105,115,150,200,225,250,600},{12.5,15,20,30,45,60,75,105,115,150,200,225,250,600}))*(LOOKUP(M953,{12.5,15,20,30,45,60,75,105,115,150,200,225,250,600,1000},{55,60,62,65,68,70,72,75,80,82,85,87,90,95,95})-LOOKUP(M953,{12.5,15,20,30,45,60,75,105,115,150,200,225,250,600,1000},{50,55,60,62,65,68,70,72,75,80,82,85,87,90,95})))))</f>
        <v>65</v>
      </c>
      <c r="P953" s="2">
        <f t="shared" si="73"/>
        <v>-3</v>
      </c>
      <c r="Q953" s="2">
        <f t="shared" si="74"/>
        <v>-1.5</v>
      </c>
    </row>
    <row r="954" customHeight="1" spans="1:17">
      <c r="B954" s="2">
        <v>953</v>
      </c>
      <c r="C954" s="3">
        <f t="shared" si="75"/>
        <v>59.1</v>
      </c>
      <c r="D954" s="2" t="s">
        <v>1370</v>
      </c>
      <c r="E954" s="12">
        <v>67</v>
      </c>
      <c r="F954" s="12">
        <v>62</v>
      </c>
      <c r="G954" s="2">
        <v>58</v>
      </c>
      <c r="H954" s="2" t="s">
        <v>17</v>
      </c>
      <c r="I954" s="2" t="s">
        <v>183</v>
      </c>
      <c r="J954" s="4" t="s">
        <v>59</v>
      </c>
      <c r="M954" s="2">
        <f t="shared" si="70"/>
        <v>150</v>
      </c>
      <c r="N954" s="2">
        <f t="shared" si="71"/>
        <v>65.1</v>
      </c>
      <c r="O954" s="2">
        <f>IF(M954="","",IF(M954&gt;=1000,95,IF(M954&lt;=12.5,50,LOOKUP(M954,{12.5,15,20,30,45,60,75,105,115,150,200,225,250,600,1000},{50,55,60,62,65,68,70,72,75,80,82,85,87,90,95})+(M954-LOOKUP(M954,{12.5,15,20,30,45,60,75,105,115,150,200,225,250,600},{12.5,15,20,30,45,60,75,105,115,150,200,225,250,600}))/(LOOKUP(M954,{12.5,15,20,30,45,60,75,105,115,150,200,225,250,600,1000},{15,20,30,45,60,75,105,115,150,200,225,250,600,1000,1000})-LOOKUP(M954,{12.5,15,20,30,45,60,75,105,115,150,200,225,250,600},{12.5,15,20,30,45,60,75,105,115,150,200,225,250,600}))*(LOOKUP(M954,{12.5,15,20,30,45,60,75,105,115,150,200,225,250,600,1000},{55,60,62,65,68,70,72,75,80,82,85,87,90,95,95})-LOOKUP(M954,{12.5,15,20,30,45,60,75,105,115,150,200,225,250,600,1000},{50,55,60,62,65,68,70,72,75,80,82,85,87,90,95})))))</f>
        <v>80</v>
      </c>
      <c r="P954" s="2">
        <f t="shared" si="73"/>
        <v>-13</v>
      </c>
      <c r="Q954" s="2">
        <f t="shared" si="74"/>
        <v>-6</v>
      </c>
    </row>
    <row r="955" customHeight="1" spans="1:17">
      <c r="B955" s="2">
        <v>954</v>
      </c>
      <c r="C955" s="3">
        <f t="shared" si="75"/>
        <v>59.03</v>
      </c>
      <c r="D955" s="2" t="s">
        <v>1371</v>
      </c>
      <c r="E955" s="12">
        <v>65</v>
      </c>
      <c r="F955" s="12">
        <v>67</v>
      </c>
      <c r="G955" s="12">
        <v>68</v>
      </c>
      <c r="H955" s="2" t="s">
        <v>175</v>
      </c>
      <c r="I955" s="2" t="s">
        <v>305</v>
      </c>
      <c r="J955" s="4" t="s">
        <v>59</v>
      </c>
      <c r="M955" s="2">
        <f t="shared" si="70"/>
        <v>150</v>
      </c>
      <c r="N955" s="2">
        <f t="shared" si="71"/>
        <v>65.7</v>
      </c>
      <c r="O955" s="2">
        <f>IF(M955="","",IF(M955&gt;=1000,95,IF(M955&lt;=12.5,50,LOOKUP(M955,{12.5,15,20,30,45,60,75,105,115,150,200,225,250,600,1000},{50,55,60,62,65,68,70,72,75,80,82,85,87,90,95})+(M955-LOOKUP(M955,{12.5,15,20,30,45,60,75,105,115,150,200,225,250,600},{12.5,15,20,30,45,60,75,105,115,150,200,225,250,600}))/(LOOKUP(M955,{12.5,15,20,30,45,60,75,105,115,150,200,225,250,600,1000},{15,20,30,45,60,75,105,115,150,200,225,250,600,1000,1000})-LOOKUP(M955,{12.5,15,20,30,45,60,75,105,115,150,200,225,250,600},{12.5,15,20,30,45,60,75,105,115,150,200,225,250,600}))*(LOOKUP(M955,{12.5,15,20,30,45,60,75,105,115,150,200,225,250,600,1000},{55,60,62,65,68,70,72,75,80,82,85,87,90,95,95})-LOOKUP(M955,{12.5,15,20,30,45,60,75,105,115,150,200,225,250,600,1000},{50,55,60,62,65,68,70,72,75,80,82,85,87,90,95})))))</f>
        <v>80</v>
      </c>
      <c r="P955" s="2">
        <f t="shared" si="73"/>
        <v>-15</v>
      </c>
      <c r="Q955" s="2">
        <f t="shared" si="74"/>
        <v>-6.67</v>
      </c>
    </row>
    <row r="956" customHeight="1" spans="1:17">
      <c r="A956" s="2">
        <v>2026</v>
      </c>
      <c r="B956" s="2">
        <v>955</v>
      </c>
      <c r="C956" s="3">
        <f t="shared" si="75"/>
        <v>59</v>
      </c>
      <c r="D956" s="2" t="s">
        <v>1372</v>
      </c>
      <c r="E956" s="12">
        <v>62</v>
      </c>
      <c r="F956" s="12">
        <v>66</v>
      </c>
      <c r="G956" s="2">
        <v>54</v>
      </c>
      <c r="H956" s="2" t="s">
        <v>54</v>
      </c>
      <c r="I956" s="2" t="s">
        <v>33</v>
      </c>
      <c r="J956" s="4" t="s">
        <v>34</v>
      </c>
      <c r="M956" s="2">
        <f t="shared" si="70"/>
        <v>60</v>
      </c>
      <c r="N956" s="2">
        <f t="shared" si="71"/>
        <v>62</v>
      </c>
      <c r="O956" s="2">
        <f>IF(M956="","",IF(M956&gt;=1000,95,IF(M956&lt;=12.5,50,LOOKUP(M956,{12.5,15,20,30,45,60,75,105,115,150,200,225,250,600,1000},{50,55,60,62,65,68,70,72,75,80,82,85,87,90,95})+(M956-LOOKUP(M956,{12.5,15,20,30,45,60,75,105,115,150,200,225,250,600},{12.5,15,20,30,45,60,75,105,115,150,200,225,250,600}))/(LOOKUP(M956,{12.5,15,20,30,45,60,75,105,115,150,200,225,250,600,1000},{15,20,30,45,60,75,105,115,150,200,225,250,600,1000,1000})-LOOKUP(M956,{12.5,15,20,30,45,60,75,105,115,150,200,225,250,600},{12.5,15,20,30,45,60,75,105,115,150,200,225,250,600}))*(LOOKUP(M956,{12.5,15,20,30,45,60,75,105,115,150,200,225,250,600,1000},{55,60,62,65,68,70,72,75,80,82,85,87,90,95,95})-LOOKUP(M956,{12.5,15,20,30,45,60,75,105,115,150,200,225,250,600,1000},{50,55,60,62,65,68,70,72,75,80,82,85,87,90,95})))))</f>
        <v>68</v>
      </c>
      <c r="P956" s="2">
        <f t="shared" si="73"/>
        <v>-6</v>
      </c>
      <c r="Q956" s="2">
        <f t="shared" si="74"/>
        <v>-3</v>
      </c>
    </row>
    <row r="957" customHeight="1" spans="1:17">
      <c r="B957" s="2">
        <v>956</v>
      </c>
      <c r="C957" s="3">
        <f t="shared" si="75"/>
        <v>59</v>
      </c>
      <c r="D957" s="2" t="s">
        <v>1373</v>
      </c>
      <c r="E957" s="12">
        <v>62</v>
      </c>
      <c r="F957" s="2">
        <v>52</v>
      </c>
      <c r="G957" s="2">
        <v>42</v>
      </c>
      <c r="H957" s="2" t="s">
        <v>122</v>
      </c>
      <c r="I957" s="2" t="s">
        <v>28</v>
      </c>
      <c r="J957" s="4" t="s">
        <v>140</v>
      </c>
      <c r="M957" s="2">
        <f t="shared" si="70"/>
        <v>20</v>
      </c>
      <c r="N957" s="2">
        <f t="shared" si="71"/>
        <v>58</v>
      </c>
      <c r="O957" s="2">
        <f>IF(M957="","",IF(M957&gt;=1000,95,IF(M957&lt;=12.5,50,LOOKUP(M957,{12.5,15,20,30,45,60,75,105,115,150,200,225,250,600,1000},{50,55,60,62,65,68,70,72,75,80,82,85,87,90,95})+(M957-LOOKUP(M957,{12.5,15,20,30,45,60,75,105,115,150,200,225,250,600},{12.5,15,20,30,45,60,75,105,115,150,200,225,250,600}))/(LOOKUP(M957,{12.5,15,20,30,45,60,75,105,115,150,200,225,250,600,1000},{15,20,30,45,60,75,105,115,150,200,225,250,600,1000,1000})-LOOKUP(M957,{12.5,15,20,30,45,60,75,105,115,150,200,225,250,600},{12.5,15,20,30,45,60,75,105,115,150,200,225,250,600}))*(LOOKUP(M957,{12.5,15,20,30,45,60,75,105,115,150,200,225,250,600,1000},{55,60,62,65,68,70,72,75,80,82,85,87,90,95,95})-LOOKUP(M957,{12.5,15,20,30,45,60,75,105,115,150,200,225,250,600,1000},{50,55,60,62,65,68,70,72,75,80,82,85,87,90,95})))))</f>
        <v>60</v>
      </c>
      <c r="P957" s="2">
        <f t="shared" si="73"/>
        <v>2</v>
      </c>
      <c r="Q957" s="2">
        <f t="shared" si="74"/>
        <v>1</v>
      </c>
    </row>
    <row r="958" customHeight="1" spans="1:17">
      <c r="B958" s="2">
        <v>957</v>
      </c>
      <c r="C958" s="3">
        <f t="shared" si="75"/>
        <v>59</v>
      </c>
      <c r="D958" s="2" t="s">
        <v>1374</v>
      </c>
      <c r="E958" s="12">
        <v>65</v>
      </c>
      <c r="F958" s="2">
        <v>50</v>
      </c>
      <c r="G958" s="2">
        <v>35</v>
      </c>
      <c r="H958" s="2" t="s">
        <v>347</v>
      </c>
      <c r="I958" s="2" t="s">
        <v>63</v>
      </c>
      <c r="J958" s="4" t="s">
        <v>38</v>
      </c>
      <c r="M958" s="2">
        <f t="shared" si="70"/>
        <v>45</v>
      </c>
      <c r="N958" s="2">
        <f t="shared" si="71"/>
        <v>59</v>
      </c>
      <c r="O958" s="2">
        <f>IF(M958="","",IF(M958&gt;=1000,95,IF(M958&lt;=12.5,50,LOOKUP(M958,{12.5,15,20,30,45,60,75,105,115,150,200,225,250,600,1000},{50,55,60,62,65,68,70,72,75,80,82,85,87,90,95})+(M958-LOOKUP(M958,{12.5,15,20,30,45,60,75,105,115,150,200,225,250,600},{12.5,15,20,30,45,60,75,105,115,150,200,225,250,600}))/(LOOKUP(M958,{12.5,15,20,30,45,60,75,105,115,150,200,225,250,600,1000},{15,20,30,45,60,75,105,115,150,200,225,250,600,1000,1000})-LOOKUP(M958,{12.5,15,20,30,45,60,75,105,115,150,200,225,250,600},{12.5,15,20,30,45,60,75,105,115,150,200,225,250,600}))*(LOOKUP(M958,{12.5,15,20,30,45,60,75,105,115,150,200,225,250,600,1000},{55,60,62,65,68,70,72,75,80,82,85,87,90,95,95})-LOOKUP(M958,{12.5,15,20,30,45,60,75,105,115,150,200,225,250,600,1000},{50,55,60,62,65,68,70,72,75,80,82,85,87,90,95})))))</f>
        <v>65</v>
      </c>
      <c r="P958" s="2">
        <f t="shared" si="73"/>
        <v>0</v>
      </c>
      <c r="Q958" s="2">
        <f t="shared" si="74"/>
        <v>0</v>
      </c>
    </row>
    <row r="959" customHeight="1" spans="1:17">
      <c r="A959" s="2">
        <v>2026</v>
      </c>
      <c r="B959" s="2">
        <v>958</v>
      </c>
      <c r="C959" s="3">
        <f t="shared" si="75"/>
        <v>58.93</v>
      </c>
      <c r="D959" s="2" t="s">
        <v>1375</v>
      </c>
      <c r="E959" s="12">
        <v>66</v>
      </c>
      <c r="F959" s="9">
        <v>70</v>
      </c>
      <c r="G959" s="9">
        <v>74</v>
      </c>
      <c r="H959" s="2" t="s">
        <v>347</v>
      </c>
      <c r="I959" s="2" t="s">
        <v>577</v>
      </c>
      <c r="J959" s="4" t="s">
        <v>123</v>
      </c>
      <c r="M959" s="2">
        <f t="shared" si="70"/>
        <v>250</v>
      </c>
      <c r="N959" s="2">
        <f t="shared" si="71"/>
        <v>67.6</v>
      </c>
      <c r="O959" s="2">
        <f>IF(M959="","",IF(M959&gt;=1000,95,IF(M959&lt;=12.5,50,LOOKUP(M959,{12.5,15,20,30,45,60,75,105,115,150,200,225,250,600,1000},{50,55,60,62,65,68,70,72,75,80,82,85,87,90,95})+(M959-LOOKUP(M959,{12.5,15,20,30,45,60,75,105,115,150,200,225,250,600},{12.5,15,20,30,45,60,75,105,115,150,200,225,250,600}))/(LOOKUP(M959,{12.5,15,20,30,45,60,75,105,115,150,200,225,250,600,1000},{15,20,30,45,60,75,105,115,150,200,225,250,600,1000,1000})-LOOKUP(M959,{12.5,15,20,30,45,60,75,105,115,150,200,225,250,600},{12.5,15,20,30,45,60,75,105,115,150,200,225,250,600}))*(LOOKUP(M959,{12.5,15,20,30,45,60,75,105,115,150,200,225,250,600,1000},{55,60,62,65,68,70,72,75,80,82,85,87,90,95,95})-LOOKUP(M959,{12.5,15,20,30,45,60,75,105,115,150,200,225,250,600,1000},{50,55,60,62,65,68,70,72,75,80,82,85,87,90,95})))))</f>
        <v>87</v>
      </c>
      <c r="P959" s="2">
        <f t="shared" si="73"/>
        <v>-21</v>
      </c>
      <c r="Q959" s="2">
        <f t="shared" si="74"/>
        <v>-8.67</v>
      </c>
    </row>
    <row r="960" customHeight="1" spans="1:17">
      <c r="B960" s="2">
        <v>959</v>
      </c>
      <c r="C960" s="3">
        <f t="shared" si="75"/>
        <v>58.9</v>
      </c>
      <c r="D960" s="2" t="s">
        <v>1376</v>
      </c>
      <c r="E960" s="12">
        <v>61</v>
      </c>
      <c r="F960" s="9">
        <v>72</v>
      </c>
      <c r="G960" s="2">
        <v>53</v>
      </c>
      <c r="H960" s="2" t="s">
        <v>41</v>
      </c>
      <c r="I960" s="2" t="s">
        <v>229</v>
      </c>
      <c r="J960" s="4" t="s">
        <v>34</v>
      </c>
      <c r="M960" s="2">
        <f t="shared" si="70"/>
        <v>60</v>
      </c>
      <c r="N960" s="2">
        <f t="shared" si="71"/>
        <v>62.4</v>
      </c>
      <c r="O960" s="2">
        <f>IF(M960="","",IF(M960&gt;=1000,95,IF(M960&lt;=12.5,50,LOOKUP(M960,{12.5,15,20,30,45,60,75,105,115,150,200,225,250,600,1000},{50,55,60,62,65,68,70,72,75,80,82,85,87,90,95})+(M960-LOOKUP(M960,{12.5,15,20,30,45,60,75,105,115,150,200,225,250,600},{12.5,15,20,30,45,60,75,105,115,150,200,225,250,600}))/(LOOKUP(M960,{12.5,15,20,30,45,60,75,105,115,150,200,225,250,600,1000},{15,20,30,45,60,75,105,115,150,200,225,250,600,1000,1000})-LOOKUP(M960,{12.5,15,20,30,45,60,75,105,115,150,200,225,250,600},{12.5,15,20,30,45,60,75,105,115,150,200,225,250,600}))*(LOOKUP(M960,{12.5,15,20,30,45,60,75,105,115,150,200,225,250,600,1000},{55,60,62,65,68,70,72,75,80,82,85,87,90,95,95})-LOOKUP(M960,{12.5,15,20,30,45,60,75,105,115,150,200,225,250,600,1000},{50,55,60,62,65,68,70,72,75,80,82,85,87,90,95})))))</f>
        <v>68</v>
      </c>
      <c r="P960" s="2">
        <f t="shared" si="73"/>
        <v>-7</v>
      </c>
      <c r="Q960" s="2">
        <f t="shared" si="74"/>
        <v>-3.5</v>
      </c>
    </row>
    <row r="961" customHeight="1" spans="1:17">
      <c r="A961" s="2">
        <v>2026</v>
      </c>
      <c r="B961" s="2">
        <v>960</v>
      </c>
      <c r="C961" s="3">
        <f t="shared" si="75"/>
        <v>58.9</v>
      </c>
      <c r="D961" s="2" t="s">
        <v>1377</v>
      </c>
      <c r="E961" s="12">
        <v>61</v>
      </c>
      <c r="F961" s="2">
        <v>58</v>
      </c>
      <c r="G961" s="2">
        <v>51</v>
      </c>
      <c r="H961" s="2" t="s">
        <v>87</v>
      </c>
      <c r="I961" s="2" t="s">
        <v>28</v>
      </c>
      <c r="J961" s="4" t="s">
        <v>88</v>
      </c>
      <c r="M961" s="2">
        <f t="shared" si="70"/>
        <v>30</v>
      </c>
      <c r="N961" s="2">
        <f t="shared" si="71"/>
        <v>59.4</v>
      </c>
      <c r="O961" s="2">
        <f>IF(M961="","",IF(M961&gt;=1000,95,IF(M961&lt;=12.5,50,LOOKUP(M961,{12.5,15,20,30,45,60,75,105,115,150,200,225,250,600,1000},{50,55,60,62,65,68,70,72,75,80,82,85,87,90,95})+(M961-LOOKUP(M961,{12.5,15,20,30,45,60,75,105,115,150,200,225,250,600},{12.5,15,20,30,45,60,75,105,115,150,200,225,250,600}))/(LOOKUP(M961,{12.5,15,20,30,45,60,75,105,115,150,200,225,250,600,1000},{15,20,30,45,60,75,105,115,150,200,225,250,600,1000,1000})-LOOKUP(M961,{12.5,15,20,30,45,60,75,105,115,150,200,225,250,600},{12.5,15,20,30,45,60,75,105,115,150,200,225,250,600}))*(LOOKUP(M961,{12.5,15,20,30,45,60,75,105,115,150,200,225,250,600,1000},{55,60,62,65,68,70,72,75,80,82,85,87,90,95,95})-LOOKUP(M961,{12.5,15,20,30,45,60,75,105,115,150,200,225,250,600,1000},{50,55,60,62,65,68,70,72,75,80,82,85,87,90,95})))))</f>
        <v>62</v>
      </c>
      <c r="P961" s="2">
        <f t="shared" si="73"/>
        <v>-1</v>
      </c>
      <c r="Q961" s="2">
        <f t="shared" si="74"/>
        <v>-0.5</v>
      </c>
    </row>
    <row r="962" customHeight="1" spans="1:17">
      <c r="A962" s="2">
        <v>2026</v>
      </c>
      <c r="B962" s="2">
        <v>961</v>
      </c>
      <c r="C962" s="3">
        <f t="shared" si="75"/>
        <v>58.9</v>
      </c>
      <c r="D962" s="2" t="s">
        <v>1378</v>
      </c>
      <c r="E962" s="12">
        <v>62</v>
      </c>
      <c r="F962" s="2">
        <v>55</v>
      </c>
      <c r="G962" s="2">
        <v>35</v>
      </c>
      <c r="H962" s="2" t="s">
        <v>54</v>
      </c>
      <c r="I962" s="2" t="s">
        <v>28</v>
      </c>
      <c r="J962" s="4" t="s">
        <v>140</v>
      </c>
      <c r="M962" s="2">
        <f t="shared" ref="M962:M1025" si="76">IF(J962="1000+",1000,(LEFT(J962,FIND("-",J962)-1)+RIGHT(J962,LEN(J962)-FIND("-",J962)))/2)</f>
        <v>20</v>
      </c>
      <c r="N962" s="2">
        <f t="shared" ref="N962:N1025" si="77">ROUND(E962*0.7+F962*0.2+G962*0.1,2)</f>
        <v>57.9</v>
      </c>
      <c r="O962" s="2">
        <f>IF(M962="","",IF(M962&gt;=1000,95,IF(M962&lt;=12.5,50,LOOKUP(M962,{12.5,15,20,30,45,60,75,105,115,150,200,225,250,600,1000},{50,55,60,62,65,68,70,72,75,80,82,85,87,90,95})+(M962-LOOKUP(M962,{12.5,15,20,30,45,60,75,105,115,150,200,225,250,600},{12.5,15,20,30,45,60,75,105,115,150,200,225,250,600}))/(LOOKUP(M962,{12.5,15,20,30,45,60,75,105,115,150,200,225,250,600,1000},{15,20,30,45,60,75,105,115,150,200,225,250,600,1000,1000})-LOOKUP(M962,{12.5,15,20,30,45,60,75,105,115,150,200,225,250,600},{12.5,15,20,30,45,60,75,105,115,150,200,225,250,600}))*(LOOKUP(M962,{12.5,15,20,30,45,60,75,105,115,150,200,225,250,600,1000},{55,60,62,65,68,70,72,75,80,82,85,87,90,95,95})-LOOKUP(M962,{12.5,15,20,30,45,60,75,105,115,150,200,225,250,600,1000},{50,55,60,62,65,68,70,72,75,80,82,85,87,90,95})))))</f>
        <v>60</v>
      </c>
      <c r="P962" s="2">
        <f t="shared" si="73"/>
        <v>2</v>
      </c>
      <c r="Q962" s="2">
        <f t="shared" si="74"/>
        <v>1</v>
      </c>
    </row>
    <row r="963" customHeight="1" spans="1:17">
      <c r="A963" s="2">
        <v>2026</v>
      </c>
      <c r="B963" s="2">
        <v>962</v>
      </c>
      <c r="C963" s="3">
        <f t="shared" si="75"/>
        <v>58.87</v>
      </c>
      <c r="D963" s="2" t="s">
        <v>1379</v>
      </c>
      <c r="E963" s="12">
        <v>64</v>
      </c>
      <c r="F963" s="12">
        <v>65</v>
      </c>
      <c r="G963" s="12">
        <v>64</v>
      </c>
      <c r="H963" s="2" t="s">
        <v>54</v>
      </c>
      <c r="I963" s="2" t="s">
        <v>104</v>
      </c>
      <c r="J963" s="4" t="s">
        <v>148</v>
      </c>
      <c r="M963" s="2">
        <f t="shared" si="76"/>
        <v>115</v>
      </c>
      <c r="N963" s="2">
        <f t="shared" si="77"/>
        <v>64.2</v>
      </c>
      <c r="O963" s="2">
        <f>IF(M963="","",IF(M963&gt;=1000,95,IF(M963&lt;=12.5,50,LOOKUP(M963,{12.5,15,20,30,45,60,75,105,115,150,200,225,250,600,1000},{50,55,60,62,65,68,70,72,75,80,82,85,87,90,95})+(M963-LOOKUP(M963,{12.5,15,20,30,45,60,75,105,115,150,200,225,250,600},{12.5,15,20,30,45,60,75,105,115,150,200,225,250,600}))/(LOOKUP(M963,{12.5,15,20,30,45,60,75,105,115,150,200,225,250,600,1000},{15,20,30,45,60,75,105,115,150,200,225,250,600,1000,1000})-LOOKUP(M963,{12.5,15,20,30,45,60,75,105,115,150,200,225,250,600},{12.5,15,20,30,45,60,75,105,115,150,200,225,250,600}))*(LOOKUP(M963,{12.5,15,20,30,45,60,75,105,115,150,200,225,250,600,1000},{55,60,62,65,68,70,72,75,80,82,85,87,90,95,95})-LOOKUP(M963,{12.5,15,20,30,45,60,75,105,115,150,200,225,250,600,1000},{50,55,60,62,65,68,70,72,75,80,82,85,87,90,95})))))</f>
        <v>75</v>
      </c>
      <c r="P963" s="2">
        <f t="shared" si="73"/>
        <v>-11</v>
      </c>
      <c r="Q963" s="2">
        <f t="shared" si="74"/>
        <v>-5.33</v>
      </c>
    </row>
    <row r="964" customHeight="1" spans="1:17">
      <c r="B964" s="2">
        <v>963</v>
      </c>
      <c r="C964" s="3">
        <f t="shared" si="75"/>
        <v>58.86</v>
      </c>
      <c r="D964" s="2" t="s">
        <v>1380</v>
      </c>
      <c r="E964" s="12">
        <v>62</v>
      </c>
      <c r="F964" s="10">
        <v>80</v>
      </c>
      <c r="G964" s="9">
        <v>78</v>
      </c>
      <c r="H964" s="2" t="s">
        <v>37</v>
      </c>
      <c r="I964" s="2" t="s">
        <v>577</v>
      </c>
      <c r="J964" s="4" t="s">
        <v>51</v>
      </c>
      <c r="M964" s="2">
        <f t="shared" si="76"/>
        <v>200</v>
      </c>
      <c r="N964" s="2">
        <f t="shared" si="77"/>
        <v>67.2</v>
      </c>
      <c r="O964" s="2">
        <f>IF(M964="","",IF(M964&gt;=1000,95,IF(M964&lt;=12.5,50,LOOKUP(M964,{12.5,15,20,30,45,60,75,105,115,150,200,225,250,600,1000},{50,55,60,62,65,68,70,72,75,80,82,85,87,90,95})+(M964-LOOKUP(M964,{12.5,15,20,30,45,60,75,105,115,150,200,225,250,600},{12.5,15,20,30,45,60,75,105,115,150,200,225,250,600}))/(LOOKUP(M964,{12.5,15,20,30,45,60,75,105,115,150,200,225,250,600,1000},{15,20,30,45,60,75,105,115,150,200,225,250,600,1000,1000})-LOOKUP(M964,{12.5,15,20,30,45,60,75,105,115,150,200,225,250,600},{12.5,15,20,30,45,60,75,105,115,150,200,225,250,600}))*(LOOKUP(M964,{12.5,15,20,30,45,60,75,105,115,150,200,225,250,600,1000},{55,60,62,65,68,70,72,75,80,82,85,87,90,95,95})-LOOKUP(M964,{12.5,15,20,30,45,60,75,105,115,150,200,225,250,600,1000},{50,55,60,62,65,68,70,72,75,80,82,85,87,90,95})))))</f>
        <v>82</v>
      </c>
      <c r="P964" s="2">
        <f t="shared" si="73"/>
        <v>-20</v>
      </c>
      <c r="Q964" s="2">
        <f t="shared" si="74"/>
        <v>-8.34</v>
      </c>
    </row>
    <row r="965" customHeight="1" spans="1:17">
      <c r="B965" s="2">
        <v>964</v>
      </c>
      <c r="C965" s="3">
        <f t="shared" si="75"/>
        <v>58.86</v>
      </c>
      <c r="D965" s="2" t="s">
        <v>1381</v>
      </c>
      <c r="E965" s="12">
        <v>68</v>
      </c>
      <c r="F965" s="12">
        <v>64</v>
      </c>
      <c r="G965" s="2">
        <v>58</v>
      </c>
      <c r="H965" s="2" t="s">
        <v>244</v>
      </c>
      <c r="I965" s="2" t="s">
        <v>23</v>
      </c>
      <c r="J965" s="4" t="s">
        <v>19</v>
      </c>
      <c r="K965" s="2" t="s">
        <v>1382</v>
      </c>
      <c r="M965" s="2">
        <f t="shared" si="76"/>
        <v>225</v>
      </c>
      <c r="N965" s="2">
        <f t="shared" si="77"/>
        <v>66.2</v>
      </c>
      <c r="O965" s="2">
        <f>IF(M965="","",IF(M965&gt;=1000,95,IF(M965&lt;=12.5,50,LOOKUP(M965,{12.5,15,20,30,45,60,75,105,115,150,200,225,250,600,1000},{50,55,60,62,65,68,70,72,75,80,82,85,87,90,95})+(M965-LOOKUP(M965,{12.5,15,20,30,45,60,75,105,115,150,200,225,250,600},{12.5,15,20,30,45,60,75,105,115,150,200,225,250,600}))/(LOOKUP(M965,{12.5,15,20,30,45,60,75,105,115,150,200,225,250,600,1000},{15,20,30,45,60,75,105,115,150,200,225,250,600,1000,1000})-LOOKUP(M965,{12.5,15,20,30,45,60,75,105,115,150,200,225,250,600},{12.5,15,20,30,45,60,75,105,115,150,200,225,250,600}))*(LOOKUP(M965,{12.5,15,20,30,45,60,75,105,115,150,200,225,250,600,1000},{55,60,62,65,68,70,72,75,80,82,85,87,90,95,95})-LOOKUP(M965,{12.5,15,20,30,45,60,75,105,115,150,200,225,250,600,1000},{50,55,60,62,65,68,70,72,75,80,82,85,87,90,95})))))</f>
        <v>85</v>
      </c>
      <c r="P965" s="2">
        <f t="shared" si="73"/>
        <v>-17</v>
      </c>
      <c r="Q965" s="2">
        <f t="shared" si="74"/>
        <v>-7.34</v>
      </c>
    </row>
    <row r="966" customHeight="1" spans="1:17">
      <c r="A966" s="2">
        <v>2026</v>
      </c>
      <c r="B966" s="2">
        <v>965</v>
      </c>
      <c r="C966" s="3">
        <f t="shared" si="75"/>
        <v>58.86</v>
      </c>
      <c r="D966" s="2" t="s">
        <v>1383</v>
      </c>
      <c r="E966" s="12">
        <v>66</v>
      </c>
      <c r="F966" s="12">
        <v>61</v>
      </c>
      <c r="G966" s="12">
        <v>68</v>
      </c>
      <c r="H966" s="2" t="s">
        <v>37</v>
      </c>
      <c r="I966" s="2" t="s">
        <v>435</v>
      </c>
      <c r="J966" s="4" t="s">
        <v>59</v>
      </c>
      <c r="M966" s="2">
        <f t="shared" si="76"/>
        <v>150</v>
      </c>
      <c r="N966" s="2">
        <f t="shared" si="77"/>
        <v>65.2</v>
      </c>
      <c r="O966" s="2">
        <f>IF(M966="","",IF(M966&gt;=1000,95,IF(M966&lt;=12.5,50,LOOKUP(M966,{12.5,15,20,30,45,60,75,105,115,150,200,225,250,600,1000},{50,55,60,62,65,68,70,72,75,80,82,85,87,90,95})+(M966-LOOKUP(M966,{12.5,15,20,30,45,60,75,105,115,150,200,225,250,600},{12.5,15,20,30,45,60,75,105,115,150,200,225,250,600}))/(LOOKUP(M966,{12.5,15,20,30,45,60,75,105,115,150,200,225,250,600,1000},{15,20,30,45,60,75,105,115,150,200,225,250,600,1000,1000})-LOOKUP(M966,{12.5,15,20,30,45,60,75,105,115,150,200,225,250,600},{12.5,15,20,30,45,60,75,105,115,150,200,225,250,600}))*(LOOKUP(M966,{12.5,15,20,30,45,60,75,105,115,150,200,225,250,600,1000},{55,60,62,65,68,70,72,75,80,82,85,87,90,95,95})-LOOKUP(M966,{12.5,15,20,30,45,60,75,105,115,150,200,225,250,600,1000},{50,55,60,62,65,68,70,72,75,80,82,85,87,90,95})))))</f>
        <v>80</v>
      </c>
      <c r="P966" s="2">
        <f t="shared" ref="P966:P1029" si="78">E966-O966</f>
        <v>-14</v>
      </c>
      <c r="Q966" s="2">
        <f t="shared" ref="Q966:Q1029" si="79">ROUND(SIGN(P966)*IF(ABS(P966)&lt;=10,ABS(P966)*0.5,IF(ABS(P966)&lt;=15,5+(ABS(P966)-10)*(1.67/5),6.67+(ABS(P966)-15)*0.333)),2)</f>
        <v>-6.34</v>
      </c>
    </row>
    <row r="967" customHeight="1" spans="1:17">
      <c r="A967" s="2">
        <v>2026</v>
      </c>
      <c r="B967" s="2">
        <v>966</v>
      </c>
      <c r="C967" s="3">
        <f t="shared" si="75"/>
        <v>58.8</v>
      </c>
      <c r="D967" s="2" t="s">
        <v>1384</v>
      </c>
      <c r="E967" s="12">
        <v>63</v>
      </c>
      <c r="F967" s="2">
        <v>55</v>
      </c>
      <c r="G967" s="2">
        <v>47</v>
      </c>
      <c r="H967" s="2" t="s">
        <v>41</v>
      </c>
      <c r="I967" s="2" t="s">
        <v>63</v>
      </c>
      <c r="J967" s="4" t="s">
        <v>38</v>
      </c>
      <c r="M967" s="2">
        <f t="shared" si="76"/>
        <v>45</v>
      </c>
      <c r="N967" s="2">
        <f t="shared" si="77"/>
        <v>59.8</v>
      </c>
      <c r="O967" s="2">
        <f>IF(M967="","",IF(M967&gt;=1000,95,IF(M967&lt;=12.5,50,LOOKUP(M967,{12.5,15,20,30,45,60,75,105,115,150,200,225,250,600,1000},{50,55,60,62,65,68,70,72,75,80,82,85,87,90,95})+(M967-LOOKUP(M967,{12.5,15,20,30,45,60,75,105,115,150,200,225,250,600},{12.5,15,20,30,45,60,75,105,115,150,200,225,250,600}))/(LOOKUP(M967,{12.5,15,20,30,45,60,75,105,115,150,200,225,250,600,1000},{15,20,30,45,60,75,105,115,150,200,225,250,600,1000,1000})-LOOKUP(M967,{12.5,15,20,30,45,60,75,105,115,150,200,225,250,600},{12.5,15,20,30,45,60,75,105,115,150,200,225,250,600}))*(LOOKUP(M967,{12.5,15,20,30,45,60,75,105,115,150,200,225,250,600,1000},{55,60,62,65,68,70,72,75,80,82,85,87,90,95,95})-LOOKUP(M967,{12.5,15,20,30,45,60,75,105,115,150,200,225,250,600,1000},{50,55,60,62,65,68,70,72,75,80,82,85,87,90,95})))))</f>
        <v>65</v>
      </c>
      <c r="P967" s="2">
        <f t="shared" si="78"/>
        <v>-2</v>
      </c>
      <c r="Q967" s="2">
        <f t="shared" si="79"/>
        <v>-1</v>
      </c>
    </row>
    <row r="968" customHeight="1" spans="1:17">
      <c r="A968" s="2">
        <v>2026</v>
      </c>
      <c r="B968" s="2">
        <v>967</v>
      </c>
      <c r="C968" s="3">
        <f t="shared" si="75"/>
        <v>58.8</v>
      </c>
      <c r="D968" s="2" t="s">
        <v>1385</v>
      </c>
      <c r="E968" s="12">
        <v>63</v>
      </c>
      <c r="F968" s="2">
        <v>57</v>
      </c>
      <c r="G968" s="12">
        <v>68</v>
      </c>
      <c r="H968" s="2" t="s">
        <v>46</v>
      </c>
      <c r="I968" s="2" t="s">
        <v>63</v>
      </c>
      <c r="J968" s="4" t="s">
        <v>24</v>
      </c>
      <c r="M968" s="2">
        <f t="shared" si="76"/>
        <v>75</v>
      </c>
      <c r="N968" s="2">
        <f t="shared" si="77"/>
        <v>62.3</v>
      </c>
      <c r="O968" s="2">
        <f>IF(M968="","",IF(M968&gt;=1000,95,IF(M968&lt;=12.5,50,LOOKUP(M968,{12.5,15,20,30,45,60,75,105,115,150,200,225,250,600,1000},{50,55,60,62,65,68,70,72,75,80,82,85,87,90,95})+(M968-LOOKUP(M968,{12.5,15,20,30,45,60,75,105,115,150,200,225,250,600},{12.5,15,20,30,45,60,75,105,115,150,200,225,250,600}))/(LOOKUP(M968,{12.5,15,20,30,45,60,75,105,115,150,200,225,250,600,1000},{15,20,30,45,60,75,105,115,150,200,225,250,600,1000,1000})-LOOKUP(M968,{12.5,15,20,30,45,60,75,105,115,150,200,225,250,600},{12.5,15,20,30,45,60,75,105,115,150,200,225,250,600}))*(LOOKUP(M968,{12.5,15,20,30,45,60,75,105,115,150,200,225,250,600,1000},{55,60,62,65,68,70,72,75,80,82,85,87,90,95,95})-LOOKUP(M968,{12.5,15,20,30,45,60,75,105,115,150,200,225,250,600,1000},{50,55,60,62,65,68,70,72,75,80,82,85,87,90,95})))))</f>
        <v>70</v>
      </c>
      <c r="P968" s="2">
        <f t="shared" si="78"/>
        <v>-7</v>
      </c>
      <c r="Q968" s="2">
        <f t="shared" si="79"/>
        <v>-3.5</v>
      </c>
    </row>
    <row r="969" customHeight="1" spans="1:17">
      <c r="B969" s="2">
        <v>968</v>
      </c>
      <c r="C969" s="3">
        <f t="shared" si="75"/>
        <v>58.73</v>
      </c>
      <c r="D969" s="2" t="s">
        <v>1386</v>
      </c>
      <c r="E969" s="12">
        <v>67</v>
      </c>
      <c r="F969" s="12">
        <v>60</v>
      </c>
      <c r="G969" s="12">
        <v>65</v>
      </c>
      <c r="H969" s="2" t="s">
        <v>175</v>
      </c>
      <c r="I969" s="2" t="s">
        <v>466</v>
      </c>
      <c r="J969" s="4" t="s">
        <v>51</v>
      </c>
      <c r="M969" s="2">
        <f t="shared" si="76"/>
        <v>200</v>
      </c>
      <c r="N969" s="2">
        <f t="shared" si="77"/>
        <v>65.4</v>
      </c>
      <c r="O969" s="2">
        <f>IF(M969="","",IF(M969&gt;=1000,95,IF(M969&lt;=12.5,50,LOOKUP(M969,{12.5,15,20,30,45,60,75,105,115,150,200,225,250,600,1000},{50,55,60,62,65,68,70,72,75,80,82,85,87,90,95})+(M969-LOOKUP(M969,{12.5,15,20,30,45,60,75,105,115,150,200,225,250,600},{12.5,15,20,30,45,60,75,105,115,150,200,225,250,600}))/(LOOKUP(M969,{12.5,15,20,30,45,60,75,105,115,150,200,225,250,600,1000},{15,20,30,45,60,75,105,115,150,200,225,250,600,1000,1000})-LOOKUP(M969,{12.5,15,20,30,45,60,75,105,115,150,200,225,250,600},{12.5,15,20,30,45,60,75,105,115,150,200,225,250,600}))*(LOOKUP(M969,{12.5,15,20,30,45,60,75,105,115,150,200,225,250,600,1000},{55,60,62,65,68,70,72,75,80,82,85,87,90,95,95})-LOOKUP(M969,{12.5,15,20,30,45,60,75,105,115,150,200,225,250,600,1000},{50,55,60,62,65,68,70,72,75,80,82,85,87,90,95})))))</f>
        <v>82</v>
      </c>
      <c r="P969" s="2">
        <f t="shared" si="78"/>
        <v>-15</v>
      </c>
      <c r="Q969" s="2">
        <f t="shared" si="79"/>
        <v>-6.67</v>
      </c>
    </row>
    <row r="970" customHeight="1" spans="1:17">
      <c r="B970" s="2">
        <v>969</v>
      </c>
      <c r="C970" s="3">
        <f t="shared" si="75"/>
        <v>58.73</v>
      </c>
      <c r="D970" s="2" t="s">
        <v>1387</v>
      </c>
      <c r="E970" s="12">
        <v>68</v>
      </c>
      <c r="F970" s="2">
        <v>55</v>
      </c>
      <c r="G970" s="2">
        <v>58</v>
      </c>
      <c r="H970" s="2" t="s">
        <v>444</v>
      </c>
      <c r="I970" s="2" t="s">
        <v>28</v>
      </c>
      <c r="J970" s="4" t="s">
        <v>59</v>
      </c>
      <c r="M970" s="2">
        <f t="shared" si="76"/>
        <v>150</v>
      </c>
      <c r="N970" s="2">
        <f t="shared" si="77"/>
        <v>64.4</v>
      </c>
      <c r="O970" s="2">
        <f>IF(M970="","",IF(M970&gt;=1000,95,IF(M970&lt;=12.5,50,LOOKUP(M970,{12.5,15,20,30,45,60,75,105,115,150,200,225,250,600,1000},{50,55,60,62,65,68,70,72,75,80,82,85,87,90,95})+(M970-LOOKUP(M970,{12.5,15,20,30,45,60,75,105,115,150,200,225,250,600},{12.5,15,20,30,45,60,75,105,115,150,200,225,250,600}))/(LOOKUP(M970,{12.5,15,20,30,45,60,75,105,115,150,200,225,250,600,1000},{15,20,30,45,60,75,105,115,150,200,225,250,600,1000,1000})-LOOKUP(M970,{12.5,15,20,30,45,60,75,105,115,150,200,225,250,600},{12.5,15,20,30,45,60,75,105,115,150,200,225,250,600}))*(LOOKUP(M970,{12.5,15,20,30,45,60,75,105,115,150,200,225,250,600,1000},{55,60,62,65,68,70,72,75,80,82,85,87,90,95,95})-LOOKUP(M970,{12.5,15,20,30,45,60,75,105,115,150,200,225,250,600,1000},{50,55,60,62,65,68,70,72,75,80,82,85,87,90,95})))))</f>
        <v>80</v>
      </c>
      <c r="P970" s="2">
        <f t="shared" si="78"/>
        <v>-12</v>
      </c>
      <c r="Q970" s="2">
        <f t="shared" si="79"/>
        <v>-5.67</v>
      </c>
    </row>
    <row r="971" customHeight="1" spans="1:17">
      <c r="A971" s="2">
        <v>2026</v>
      </c>
      <c r="B971" s="2">
        <v>970</v>
      </c>
      <c r="C971" s="3">
        <f t="shared" si="75"/>
        <v>58.7</v>
      </c>
      <c r="D971" s="2" t="s">
        <v>1388</v>
      </c>
      <c r="E971" s="12">
        <v>65</v>
      </c>
      <c r="F971" s="12">
        <v>62</v>
      </c>
      <c r="G971" s="2">
        <v>58</v>
      </c>
      <c r="H971" s="2" t="s">
        <v>41</v>
      </c>
      <c r="I971" s="2" t="s">
        <v>183</v>
      </c>
      <c r="J971" s="4" t="s">
        <v>148</v>
      </c>
      <c r="M971" s="2">
        <f t="shared" si="76"/>
        <v>115</v>
      </c>
      <c r="N971" s="2">
        <f t="shared" si="77"/>
        <v>63.7</v>
      </c>
      <c r="O971" s="2">
        <f>IF(M971="","",IF(M971&gt;=1000,95,IF(M971&lt;=12.5,50,LOOKUP(M971,{12.5,15,20,30,45,60,75,105,115,150,200,225,250,600,1000},{50,55,60,62,65,68,70,72,75,80,82,85,87,90,95})+(M971-LOOKUP(M971,{12.5,15,20,30,45,60,75,105,115,150,200,225,250,600},{12.5,15,20,30,45,60,75,105,115,150,200,225,250,600}))/(LOOKUP(M971,{12.5,15,20,30,45,60,75,105,115,150,200,225,250,600,1000},{15,20,30,45,60,75,105,115,150,200,225,250,600,1000,1000})-LOOKUP(M971,{12.5,15,20,30,45,60,75,105,115,150,200,225,250,600},{12.5,15,20,30,45,60,75,105,115,150,200,225,250,600}))*(LOOKUP(M971,{12.5,15,20,30,45,60,75,105,115,150,200,225,250,600,1000},{55,60,62,65,68,70,72,75,80,82,85,87,90,95,95})-LOOKUP(M971,{12.5,15,20,30,45,60,75,105,115,150,200,225,250,600,1000},{50,55,60,62,65,68,70,72,75,80,82,85,87,90,95})))))</f>
        <v>75</v>
      </c>
      <c r="P971" s="2">
        <f t="shared" si="78"/>
        <v>-10</v>
      </c>
      <c r="Q971" s="2">
        <f t="shared" si="79"/>
        <v>-5</v>
      </c>
    </row>
    <row r="972" customHeight="1" spans="1:17">
      <c r="B972" s="2">
        <v>971</v>
      </c>
      <c r="C972" s="3">
        <f t="shared" si="75"/>
        <v>58.7</v>
      </c>
      <c r="D972" s="2" t="s">
        <v>1389</v>
      </c>
      <c r="E972" s="12">
        <v>61</v>
      </c>
      <c r="F972" s="2">
        <v>56</v>
      </c>
      <c r="G972" s="2">
        <v>53</v>
      </c>
      <c r="H972" s="2" t="s">
        <v>189</v>
      </c>
      <c r="I972" s="2" t="s">
        <v>28</v>
      </c>
      <c r="J972" s="4" t="s">
        <v>88</v>
      </c>
      <c r="M972" s="2">
        <f t="shared" si="76"/>
        <v>30</v>
      </c>
      <c r="N972" s="2">
        <f t="shared" si="77"/>
        <v>59.2</v>
      </c>
      <c r="O972" s="2">
        <f>IF(M972="","",IF(M972&gt;=1000,95,IF(M972&lt;=12.5,50,LOOKUP(M972,{12.5,15,20,30,45,60,75,105,115,150,200,225,250,600,1000},{50,55,60,62,65,68,70,72,75,80,82,85,87,90,95})+(M972-LOOKUP(M972,{12.5,15,20,30,45,60,75,105,115,150,200,225,250,600},{12.5,15,20,30,45,60,75,105,115,150,200,225,250,600}))/(LOOKUP(M972,{12.5,15,20,30,45,60,75,105,115,150,200,225,250,600,1000},{15,20,30,45,60,75,105,115,150,200,225,250,600,1000,1000})-LOOKUP(M972,{12.5,15,20,30,45,60,75,105,115,150,200,225,250,600},{12.5,15,20,30,45,60,75,105,115,150,200,225,250,600}))*(LOOKUP(M972,{12.5,15,20,30,45,60,75,105,115,150,200,225,250,600,1000},{55,60,62,65,68,70,72,75,80,82,85,87,90,95,95})-LOOKUP(M972,{12.5,15,20,30,45,60,75,105,115,150,200,225,250,600,1000},{50,55,60,62,65,68,70,72,75,80,82,85,87,90,95})))))</f>
        <v>62</v>
      </c>
      <c r="P972" s="2">
        <f t="shared" si="78"/>
        <v>-1</v>
      </c>
      <c r="Q972" s="2">
        <f t="shared" si="79"/>
        <v>-0.5</v>
      </c>
    </row>
    <row r="973" customHeight="1" spans="1:17">
      <c r="B973" s="2">
        <v>972</v>
      </c>
      <c r="C973" s="3">
        <f t="shared" si="75"/>
        <v>58.7</v>
      </c>
      <c r="D973" s="2" t="s">
        <v>1390</v>
      </c>
      <c r="E973" s="12">
        <v>69</v>
      </c>
      <c r="F973" s="2">
        <v>50</v>
      </c>
      <c r="G973" s="12">
        <v>64</v>
      </c>
      <c r="H973" s="2" t="s">
        <v>137</v>
      </c>
      <c r="I973" s="2" t="s">
        <v>717</v>
      </c>
      <c r="J973" s="4" t="s">
        <v>51</v>
      </c>
      <c r="M973" s="2">
        <f t="shared" si="76"/>
        <v>200</v>
      </c>
      <c r="N973" s="2">
        <f t="shared" si="77"/>
        <v>64.7</v>
      </c>
      <c r="O973" s="2">
        <f>IF(M973="","",IF(M973&gt;=1000,95,IF(M973&lt;=12.5,50,LOOKUP(M973,{12.5,15,20,30,45,60,75,105,115,150,200,225,250,600,1000},{50,55,60,62,65,68,70,72,75,80,82,85,87,90,95})+(M973-LOOKUP(M973,{12.5,15,20,30,45,60,75,105,115,150,200,225,250,600},{12.5,15,20,30,45,60,75,105,115,150,200,225,250,600}))/(LOOKUP(M973,{12.5,15,20,30,45,60,75,105,115,150,200,225,250,600,1000},{15,20,30,45,60,75,105,115,150,200,225,250,600,1000,1000})-LOOKUP(M973,{12.5,15,20,30,45,60,75,105,115,150,200,225,250,600},{12.5,15,20,30,45,60,75,105,115,150,200,225,250,600}))*(LOOKUP(M973,{12.5,15,20,30,45,60,75,105,115,150,200,225,250,600,1000},{55,60,62,65,68,70,72,75,80,82,85,87,90,95,95})-LOOKUP(M973,{12.5,15,20,30,45,60,75,105,115,150,200,225,250,600,1000},{50,55,60,62,65,68,70,72,75,80,82,85,87,90,95})))))</f>
        <v>82</v>
      </c>
      <c r="P973" s="2">
        <f t="shared" si="78"/>
        <v>-13</v>
      </c>
      <c r="Q973" s="2">
        <f t="shared" si="79"/>
        <v>-6</v>
      </c>
    </row>
    <row r="974" customHeight="1" spans="1:17">
      <c r="B974" s="2">
        <v>973</v>
      </c>
      <c r="C974" s="3">
        <f t="shared" si="75"/>
        <v>58.6</v>
      </c>
      <c r="D974" s="2" t="s">
        <v>1391</v>
      </c>
      <c r="E974" s="12">
        <v>62</v>
      </c>
      <c r="F974" s="12">
        <v>64</v>
      </c>
      <c r="G974" s="12">
        <v>64</v>
      </c>
      <c r="H974" s="2" t="s">
        <v>41</v>
      </c>
      <c r="I974" s="2" t="s">
        <v>23</v>
      </c>
      <c r="J974" s="4" t="s">
        <v>24</v>
      </c>
      <c r="M974" s="2">
        <f t="shared" si="76"/>
        <v>75</v>
      </c>
      <c r="N974" s="2">
        <f t="shared" si="77"/>
        <v>62.6</v>
      </c>
      <c r="O974" s="2">
        <f>IF(M974="","",IF(M974&gt;=1000,95,IF(M974&lt;=12.5,50,LOOKUP(M974,{12.5,15,20,30,45,60,75,105,115,150,200,225,250,600,1000},{50,55,60,62,65,68,70,72,75,80,82,85,87,90,95})+(M974-LOOKUP(M974,{12.5,15,20,30,45,60,75,105,115,150,200,225,250,600},{12.5,15,20,30,45,60,75,105,115,150,200,225,250,600}))/(LOOKUP(M974,{12.5,15,20,30,45,60,75,105,115,150,200,225,250,600,1000},{15,20,30,45,60,75,105,115,150,200,225,250,600,1000,1000})-LOOKUP(M974,{12.5,15,20,30,45,60,75,105,115,150,200,225,250,600},{12.5,15,20,30,45,60,75,105,115,150,200,225,250,600}))*(LOOKUP(M974,{12.5,15,20,30,45,60,75,105,115,150,200,225,250,600,1000},{55,60,62,65,68,70,72,75,80,82,85,87,90,95,95})-LOOKUP(M974,{12.5,15,20,30,45,60,75,105,115,150,200,225,250,600,1000},{50,55,60,62,65,68,70,72,75,80,82,85,87,90,95})))))</f>
        <v>70</v>
      </c>
      <c r="P974" s="2">
        <f t="shared" si="78"/>
        <v>-8</v>
      </c>
      <c r="Q974" s="2">
        <f t="shared" si="79"/>
        <v>-4</v>
      </c>
    </row>
    <row r="975" customHeight="1" spans="1:17">
      <c r="A975" s="2">
        <v>2026</v>
      </c>
      <c r="B975" s="2">
        <v>974</v>
      </c>
      <c r="C975" s="3">
        <f t="shared" si="75"/>
        <v>58.6</v>
      </c>
      <c r="D975" s="2" t="s">
        <v>1392</v>
      </c>
      <c r="E975" s="12">
        <v>61</v>
      </c>
      <c r="F975" s="2">
        <v>56</v>
      </c>
      <c r="G975" s="2">
        <v>42</v>
      </c>
      <c r="H975" s="2" t="s">
        <v>54</v>
      </c>
      <c r="I975" s="2" t="s">
        <v>28</v>
      </c>
      <c r="J975" s="4" t="s">
        <v>140</v>
      </c>
      <c r="M975" s="2">
        <f t="shared" si="76"/>
        <v>20</v>
      </c>
      <c r="N975" s="2">
        <f t="shared" si="77"/>
        <v>58.1</v>
      </c>
      <c r="O975" s="2">
        <f>IF(M975="","",IF(M975&gt;=1000,95,IF(M975&lt;=12.5,50,LOOKUP(M975,{12.5,15,20,30,45,60,75,105,115,150,200,225,250,600,1000},{50,55,60,62,65,68,70,72,75,80,82,85,87,90,95})+(M975-LOOKUP(M975,{12.5,15,20,30,45,60,75,105,115,150,200,225,250,600},{12.5,15,20,30,45,60,75,105,115,150,200,225,250,600}))/(LOOKUP(M975,{12.5,15,20,30,45,60,75,105,115,150,200,225,250,600,1000},{15,20,30,45,60,75,105,115,150,200,225,250,600,1000,1000})-LOOKUP(M975,{12.5,15,20,30,45,60,75,105,115,150,200,225,250,600},{12.5,15,20,30,45,60,75,105,115,150,200,225,250,600}))*(LOOKUP(M975,{12.5,15,20,30,45,60,75,105,115,150,200,225,250,600,1000},{55,60,62,65,68,70,72,75,80,82,85,87,90,95,95})-LOOKUP(M975,{12.5,15,20,30,45,60,75,105,115,150,200,225,250,600,1000},{50,55,60,62,65,68,70,72,75,80,82,85,87,90,95})))))</f>
        <v>60</v>
      </c>
      <c r="P975" s="2">
        <f t="shared" si="78"/>
        <v>1</v>
      </c>
      <c r="Q975" s="2">
        <f t="shared" si="79"/>
        <v>0.5</v>
      </c>
    </row>
    <row r="976" customHeight="1" spans="1:17">
      <c r="B976" s="2">
        <v>975</v>
      </c>
      <c r="C976" s="3">
        <f t="shared" si="75"/>
        <v>58.6</v>
      </c>
      <c r="D976" s="2" t="s">
        <v>1393</v>
      </c>
      <c r="E976" s="12">
        <v>62</v>
      </c>
      <c r="F976" s="2">
        <v>55</v>
      </c>
      <c r="G976" s="2">
        <v>42</v>
      </c>
      <c r="H976" s="2" t="s">
        <v>848</v>
      </c>
      <c r="I976" s="2" t="s">
        <v>128</v>
      </c>
      <c r="J976" s="4" t="s">
        <v>88</v>
      </c>
      <c r="M976" s="2">
        <f t="shared" si="76"/>
        <v>30</v>
      </c>
      <c r="N976" s="2">
        <f t="shared" si="77"/>
        <v>58.6</v>
      </c>
      <c r="O976" s="2">
        <f>IF(M976="","",IF(M976&gt;=1000,95,IF(M976&lt;=12.5,50,LOOKUP(M976,{12.5,15,20,30,45,60,75,105,115,150,200,225,250,600,1000},{50,55,60,62,65,68,70,72,75,80,82,85,87,90,95})+(M976-LOOKUP(M976,{12.5,15,20,30,45,60,75,105,115,150,200,225,250,600},{12.5,15,20,30,45,60,75,105,115,150,200,225,250,600}))/(LOOKUP(M976,{12.5,15,20,30,45,60,75,105,115,150,200,225,250,600,1000},{15,20,30,45,60,75,105,115,150,200,225,250,600,1000,1000})-LOOKUP(M976,{12.5,15,20,30,45,60,75,105,115,150,200,225,250,600},{12.5,15,20,30,45,60,75,105,115,150,200,225,250,600}))*(LOOKUP(M976,{12.5,15,20,30,45,60,75,105,115,150,200,225,250,600,1000},{55,60,62,65,68,70,72,75,80,82,85,87,90,95,95})-LOOKUP(M976,{12.5,15,20,30,45,60,75,105,115,150,200,225,250,600,1000},{50,55,60,62,65,68,70,72,75,80,82,85,87,90,95})))))</f>
        <v>62</v>
      </c>
      <c r="P976" s="2">
        <f t="shared" si="78"/>
        <v>0</v>
      </c>
      <c r="Q976" s="2">
        <f t="shared" si="79"/>
        <v>0</v>
      </c>
    </row>
    <row r="977" customHeight="1" spans="1:17">
      <c r="B977" s="2">
        <v>976</v>
      </c>
      <c r="C977" s="3">
        <f t="shared" si="75"/>
        <v>58.6</v>
      </c>
      <c r="D977" s="2" t="s">
        <v>1394</v>
      </c>
      <c r="E977" s="12">
        <v>65</v>
      </c>
      <c r="F977" s="2">
        <v>50</v>
      </c>
      <c r="G977" s="2">
        <v>56</v>
      </c>
      <c r="H977" s="2" t="s">
        <v>244</v>
      </c>
      <c r="I977" s="2" t="s">
        <v>577</v>
      </c>
      <c r="J977" s="4" t="s">
        <v>24</v>
      </c>
      <c r="M977" s="2">
        <f t="shared" si="76"/>
        <v>75</v>
      </c>
      <c r="N977" s="2">
        <f t="shared" si="77"/>
        <v>61.1</v>
      </c>
      <c r="O977" s="2">
        <f>IF(M977="","",IF(M977&gt;=1000,95,IF(M977&lt;=12.5,50,LOOKUP(M977,{12.5,15,20,30,45,60,75,105,115,150,200,225,250,600,1000},{50,55,60,62,65,68,70,72,75,80,82,85,87,90,95})+(M977-LOOKUP(M977,{12.5,15,20,30,45,60,75,105,115,150,200,225,250,600},{12.5,15,20,30,45,60,75,105,115,150,200,225,250,600}))/(LOOKUP(M977,{12.5,15,20,30,45,60,75,105,115,150,200,225,250,600,1000},{15,20,30,45,60,75,105,115,150,200,225,250,600,1000,1000})-LOOKUP(M977,{12.5,15,20,30,45,60,75,105,115,150,200,225,250,600},{12.5,15,20,30,45,60,75,105,115,150,200,225,250,600}))*(LOOKUP(M977,{12.5,15,20,30,45,60,75,105,115,150,200,225,250,600,1000},{55,60,62,65,68,70,72,75,80,82,85,87,90,95,95})-LOOKUP(M977,{12.5,15,20,30,45,60,75,105,115,150,200,225,250,600,1000},{50,55,60,62,65,68,70,72,75,80,82,85,87,90,95})))))</f>
        <v>70</v>
      </c>
      <c r="P977" s="2">
        <f t="shared" si="78"/>
        <v>-5</v>
      </c>
      <c r="Q977" s="2">
        <f t="shared" si="79"/>
        <v>-2.5</v>
      </c>
    </row>
    <row r="978" customHeight="1" spans="1:17">
      <c r="B978" s="2">
        <v>977</v>
      </c>
      <c r="C978" s="3">
        <f t="shared" si="75"/>
        <v>58.53</v>
      </c>
      <c r="D978" s="2" t="s">
        <v>1395</v>
      </c>
      <c r="E978" s="12">
        <v>66</v>
      </c>
      <c r="F978" s="9">
        <v>75</v>
      </c>
      <c r="G978" s="12">
        <v>60</v>
      </c>
      <c r="H978" s="2" t="s">
        <v>113</v>
      </c>
      <c r="I978" s="2" t="s">
        <v>50</v>
      </c>
      <c r="J978" s="4" t="s">
        <v>123</v>
      </c>
      <c r="M978" s="2">
        <f t="shared" si="76"/>
        <v>250</v>
      </c>
      <c r="N978" s="2">
        <f t="shared" si="77"/>
        <v>67.2</v>
      </c>
      <c r="O978" s="2">
        <f>IF(M978="","",IF(M978&gt;=1000,95,IF(M978&lt;=12.5,50,LOOKUP(M978,{12.5,15,20,30,45,60,75,105,115,150,200,225,250,600,1000},{50,55,60,62,65,68,70,72,75,80,82,85,87,90,95})+(M978-LOOKUP(M978,{12.5,15,20,30,45,60,75,105,115,150,200,225,250,600},{12.5,15,20,30,45,60,75,105,115,150,200,225,250,600}))/(LOOKUP(M978,{12.5,15,20,30,45,60,75,105,115,150,200,225,250,600,1000},{15,20,30,45,60,75,105,115,150,200,225,250,600,1000,1000})-LOOKUP(M978,{12.5,15,20,30,45,60,75,105,115,150,200,225,250,600},{12.5,15,20,30,45,60,75,105,115,150,200,225,250,600}))*(LOOKUP(M978,{12.5,15,20,30,45,60,75,105,115,150,200,225,250,600,1000},{55,60,62,65,68,70,72,75,80,82,85,87,90,95,95})-LOOKUP(M978,{12.5,15,20,30,45,60,75,105,115,150,200,225,250,600,1000},{50,55,60,62,65,68,70,72,75,80,82,85,87,90,95})))))</f>
        <v>87</v>
      </c>
      <c r="P978" s="2">
        <f t="shared" si="78"/>
        <v>-21</v>
      </c>
      <c r="Q978" s="2">
        <f t="shared" si="79"/>
        <v>-8.67</v>
      </c>
    </row>
    <row r="979" customHeight="1" spans="1:17">
      <c r="B979" s="2">
        <v>978</v>
      </c>
      <c r="C979" s="3">
        <f t="shared" si="75"/>
        <v>58.53</v>
      </c>
      <c r="D979" s="2" t="s">
        <v>1396</v>
      </c>
      <c r="E979" s="12">
        <v>69</v>
      </c>
      <c r="F979" s="12">
        <v>63</v>
      </c>
      <c r="G979" s="12">
        <v>63</v>
      </c>
      <c r="H979" s="2" t="s">
        <v>1101</v>
      </c>
      <c r="I979" s="2" t="s">
        <v>932</v>
      </c>
      <c r="J979" s="4" t="s">
        <v>73</v>
      </c>
      <c r="K979" s="2" t="s">
        <v>1397</v>
      </c>
      <c r="M979" s="2">
        <f t="shared" si="76"/>
        <v>600</v>
      </c>
      <c r="N979" s="2">
        <f t="shared" si="77"/>
        <v>67.2</v>
      </c>
      <c r="O979" s="2">
        <f>IF(M979="","",IF(M979&gt;=1000,95,IF(M979&lt;=12.5,50,LOOKUP(M979,{12.5,15,20,30,45,60,75,105,115,150,200,225,250,600,1000},{50,55,60,62,65,68,70,72,75,80,82,85,87,90,95})+(M979-LOOKUP(M979,{12.5,15,20,30,45,60,75,105,115,150,200,225,250,600},{12.5,15,20,30,45,60,75,105,115,150,200,225,250,600}))/(LOOKUP(M979,{12.5,15,20,30,45,60,75,105,115,150,200,225,250,600,1000},{15,20,30,45,60,75,105,115,150,200,225,250,600,1000,1000})-LOOKUP(M979,{12.5,15,20,30,45,60,75,105,115,150,200,225,250,600},{12.5,15,20,30,45,60,75,105,115,150,200,225,250,600}))*(LOOKUP(M979,{12.5,15,20,30,45,60,75,105,115,150,200,225,250,600,1000},{55,60,62,65,68,70,72,75,80,82,85,87,90,95,95})-LOOKUP(M979,{12.5,15,20,30,45,60,75,105,115,150,200,225,250,600,1000},{50,55,60,62,65,68,70,72,75,80,82,85,87,90,95})))))</f>
        <v>90</v>
      </c>
      <c r="P979" s="2">
        <f t="shared" si="78"/>
        <v>-21</v>
      </c>
      <c r="Q979" s="2">
        <f t="shared" si="79"/>
        <v>-8.67</v>
      </c>
    </row>
    <row r="980" customHeight="1" spans="1:17">
      <c r="B980" s="2">
        <v>979</v>
      </c>
      <c r="C980" s="3">
        <f t="shared" ref="C980:C1043" si="80">ROUND(MAX(MIN(N980+Q980,100),0),2)</f>
        <v>58.5</v>
      </c>
      <c r="D980" s="2" t="s">
        <v>1398</v>
      </c>
      <c r="E980" s="12">
        <v>61</v>
      </c>
      <c r="F980" s="10">
        <v>89</v>
      </c>
      <c r="G980" s="12">
        <v>60</v>
      </c>
      <c r="H980" s="2" t="s">
        <v>469</v>
      </c>
      <c r="I980" s="2" t="s">
        <v>50</v>
      </c>
      <c r="J980" s="4" t="s">
        <v>59</v>
      </c>
      <c r="M980" s="2">
        <f t="shared" si="76"/>
        <v>150</v>
      </c>
      <c r="N980" s="2">
        <f t="shared" si="77"/>
        <v>66.5</v>
      </c>
      <c r="O980" s="2">
        <f>IF(M980="","",IF(M980&gt;=1000,95,IF(M980&lt;=12.5,50,LOOKUP(M980,{12.5,15,20,30,45,60,75,105,115,150,200,225,250,600,1000},{50,55,60,62,65,68,70,72,75,80,82,85,87,90,95})+(M980-LOOKUP(M980,{12.5,15,20,30,45,60,75,105,115,150,200,225,250,600},{12.5,15,20,30,45,60,75,105,115,150,200,225,250,600}))/(LOOKUP(M980,{12.5,15,20,30,45,60,75,105,115,150,200,225,250,600,1000},{15,20,30,45,60,75,105,115,150,200,225,250,600,1000,1000})-LOOKUP(M980,{12.5,15,20,30,45,60,75,105,115,150,200,225,250,600},{12.5,15,20,30,45,60,75,105,115,150,200,225,250,600}))*(LOOKUP(M980,{12.5,15,20,30,45,60,75,105,115,150,200,225,250,600,1000},{55,60,62,65,68,70,72,75,80,82,85,87,90,95,95})-LOOKUP(M980,{12.5,15,20,30,45,60,75,105,115,150,200,225,250,600,1000},{50,55,60,62,65,68,70,72,75,80,82,85,87,90,95})))))</f>
        <v>80</v>
      </c>
      <c r="P980" s="2">
        <f t="shared" si="78"/>
        <v>-19</v>
      </c>
      <c r="Q980" s="2">
        <f t="shared" si="79"/>
        <v>-8</v>
      </c>
    </row>
    <row r="981" customHeight="1" spans="1:17">
      <c r="B981" s="2">
        <v>980</v>
      </c>
      <c r="C981" s="3">
        <f t="shared" si="80"/>
        <v>58.46</v>
      </c>
      <c r="D981" s="2" t="s">
        <v>1399</v>
      </c>
      <c r="E981" s="9">
        <v>70</v>
      </c>
      <c r="F981" s="2">
        <v>48</v>
      </c>
      <c r="G981" s="9">
        <v>72</v>
      </c>
      <c r="H981" s="2" t="s">
        <v>41</v>
      </c>
      <c r="I981" s="2" t="s">
        <v>104</v>
      </c>
      <c r="J981" s="4" t="s">
        <v>123</v>
      </c>
      <c r="K981" s="2" t="s">
        <v>1400</v>
      </c>
      <c r="M981" s="2">
        <f t="shared" si="76"/>
        <v>250</v>
      </c>
      <c r="N981" s="2">
        <f t="shared" si="77"/>
        <v>65.8</v>
      </c>
      <c r="O981" s="2">
        <f>IF(M981="","",IF(M981&gt;=1000,95,IF(M981&lt;=12.5,50,LOOKUP(M981,{12.5,15,20,30,45,60,75,105,115,150,200,225,250,600,1000},{50,55,60,62,65,68,70,72,75,80,82,85,87,90,95})+(M981-LOOKUP(M981,{12.5,15,20,30,45,60,75,105,115,150,200,225,250,600},{12.5,15,20,30,45,60,75,105,115,150,200,225,250,600}))/(LOOKUP(M981,{12.5,15,20,30,45,60,75,105,115,150,200,225,250,600,1000},{15,20,30,45,60,75,105,115,150,200,225,250,600,1000,1000})-LOOKUP(M981,{12.5,15,20,30,45,60,75,105,115,150,200,225,250,600},{12.5,15,20,30,45,60,75,105,115,150,200,225,250,600}))*(LOOKUP(M981,{12.5,15,20,30,45,60,75,105,115,150,200,225,250,600,1000},{55,60,62,65,68,70,72,75,80,82,85,87,90,95,95})-LOOKUP(M981,{12.5,15,20,30,45,60,75,105,115,150,200,225,250,600,1000},{50,55,60,62,65,68,70,72,75,80,82,85,87,90,95})))))</f>
        <v>87</v>
      </c>
      <c r="P981" s="2">
        <f t="shared" si="78"/>
        <v>-17</v>
      </c>
      <c r="Q981" s="2">
        <f t="shared" si="79"/>
        <v>-7.34</v>
      </c>
    </row>
    <row r="982" customHeight="1" spans="1:17">
      <c r="B982" s="2">
        <v>981</v>
      </c>
      <c r="C982" s="3">
        <f t="shared" si="80"/>
        <v>58.43</v>
      </c>
      <c r="D982" s="2" t="s">
        <v>1401</v>
      </c>
      <c r="E982" s="12">
        <v>63</v>
      </c>
      <c r="F982" s="10">
        <v>80</v>
      </c>
      <c r="G982" s="10">
        <v>80</v>
      </c>
      <c r="H982" s="2" t="s">
        <v>119</v>
      </c>
      <c r="I982" s="2" t="s">
        <v>229</v>
      </c>
      <c r="J982" s="4" t="s">
        <v>123</v>
      </c>
      <c r="M982" s="2">
        <f t="shared" si="76"/>
        <v>250</v>
      </c>
      <c r="N982" s="2">
        <f t="shared" si="77"/>
        <v>68.1</v>
      </c>
      <c r="O982" s="2">
        <f>IF(M982="","",IF(M982&gt;=1000,95,IF(M982&lt;=12.5,50,LOOKUP(M982,{12.5,15,20,30,45,60,75,105,115,150,200,225,250,600,1000},{50,55,60,62,65,68,70,72,75,80,82,85,87,90,95})+(M982-LOOKUP(M982,{12.5,15,20,30,45,60,75,105,115,150,200,225,250,600},{12.5,15,20,30,45,60,75,105,115,150,200,225,250,600}))/(LOOKUP(M982,{12.5,15,20,30,45,60,75,105,115,150,200,225,250,600,1000},{15,20,30,45,60,75,105,115,150,200,225,250,600,1000,1000})-LOOKUP(M982,{12.5,15,20,30,45,60,75,105,115,150,200,225,250,600},{12.5,15,20,30,45,60,75,105,115,150,200,225,250,600}))*(LOOKUP(M982,{12.5,15,20,30,45,60,75,105,115,150,200,225,250,600,1000},{55,60,62,65,68,70,72,75,80,82,85,87,90,95,95})-LOOKUP(M982,{12.5,15,20,30,45,60,75,105,115,150,200,225,250,600,1000},{50,55,60,62,65,68,70,72,75,80,82,85,87,90,95})))))</f>
        <v>87</v>
      </c>
      <c r="P982" s="2">
        <f t="shared" si="78"/>
        <v>-24</v>
      </c>
      <c r="Q982" s="2">
        <f t="shared" si="79"/>
        <v>-9.67</v>
      </c>
    </row>
    <row r="983" customHeight="1" spans="1:17">
      <c r="B983" s="2">
        <v>982</v>
      </c>
      <c r="C983" s="3">
        <f t="shared" si="80"/>
        <v>58.4</v>
      </c>
      <c r="D983" s="2" t="s">
        <v>1402</v>
      </c>
      <c r="E983" s="12">
        <v>62</v>
      </c>
      <c r="F983" s="9">
        <v>74</v>
      </c>
      <c r="G983" s="12">
        <v>62</v>
      </c>
      <c r="H983" s="2" t="s">
        <v>264</v>
      </c>
      <c r="I983" s="2" t="s">
        <v>23</v>
      </c>
      <c r="J983" s="4" t="s">
        <v>148</v>
      </c>
      <c r="M983" s="2">
        <f t="shared" si="76"/>
        <v>115</v>
      </c>
      <c r="N983" s="2">
        <f t="shared" si="77"/>
        <v>64.4</v>
      </c>
      <c r="O983" s="2">
        <f>IF(M983="","",IF(M983&gt;=1000,95,IF(M983&lt;=12.5,50,LOOKUP(M983,{12.5,15,20,30,45,60,75,105,115,150,200,225,250,600,1000},{50,55,60,62,65,68,70,72,75,80,82,85,87,90,95})+(M983-LOOKUP(M983,{12.5,15,20,30,45,60,75,105,115,150,200,225,250,600},{12.5,15,20,30,45,60,75,105,115,150,200,225,250,600}))/(LOOKUP(M983,{12.5,15,20,30,45,60,75,105,115,150,200,225,250,600,1000},{15,20,30,45,60,75,105,115,150,200,225,250,600,1000,1000})-LOOKUP(M983,{12.5,15,20,30,45,60,75,105,115,150,200,225,250,600},{12.5,15,20,30,45,60,75,105,115,150,200,225,250,600}))*(LOOKUP(M983,{12.5,15,20,30,45,60,75,105,115,150,200,225,250,600,1000},{55,60,62,65,68,70,72,75,80,82,85,87,90,95,95})-LOOKUP(M983,{12.5,15,20,30,45,60,75,105,115,150,200,225,250,600,1000},{50,55,60,62,65,68,70,72,75,80,82,85,87,90,95})))))</f>
        <v>75</v>
      </c>
      <c r="P983" s="2">
        <f t="shared" si="78"/>
        <v>-13</v>
      </c>
      <c r="Q983" s="2">
        <f t="shared" si="79"/>
        <v>-6</v>
      </c>
    </row>
    <row r="984" customHeight="1" spans="1:17">
      <c r="A984" s="2">
        <v>2026</v>
      </c>
      <c r="B984" s="2">
        <v>983</v>
      </c>
      <c r="C984" s="3">
        <f t="shared" si="80"/>
        <v>58.4</v>
      </c>
      <c r="D984" s="2" t="s">
        <v>1403</v>
      </c>
      <c r="E984" s="2">
        <v>58</v>
      </c>
      <c r="F984" s="12">
        <v>62</v>
      </c>
      <c r="G984" s="2">
        <v>39</v>
      </c>
      <c r="H984" s="2" t="s">
        <v>54</v>
      </c>
      <c r="I984" s="2" t="s">
        <v>28</v>
      </c>
      <c r="J984" s="4" t="s">
        <v>29</v>
      </c>
      <c r="M984" s="2">
        <f t="shared" si="76"/>
        <v>15</v>
      </c>
      <c r="N984" s="2">
        <f t="shared" si="77"/>
        <v>56.9</v>
      </c>
      <c r="O984" s="2">
        <f>IF(M984="","",IF(M984&gt;=1000,95,IF(M984&lt;=12.5,50,LOOKUP(M984,{12.5,15,20,30,45,60,75,105,115,150,200,225,250,600,1000},{50,55,60,62,65,68,70,72,75,80,82,85,87,90,95})+(M984-LOOKUP(M984,{12.5,15,20,30,45,60,75,105,115,150,200,225,250,600},{12.5,15,20,30,45,60,75,105,115,150,200,225,250,600}))/(LOOKUP(M984,{12.5,15,20,30,45,60,75,105,115,150,200,225,250,600,1000},{15,20,30,45,60,75,105,115,150,200,225,250,600,1000,1000})-LOOKUP(M984,{12.5,15,20,30,45,60,75,105,115,150,200,225,250,600},{12.5,15,20,30,45,60,75,105,115,150,200,225,250,600}))*(LOOKUP(M984,{12.5,15,20,30,45,60,75,105,115,150,200,225,250,600,1000},{55,60,62,65,68,70,72,75,80,82,85,87,90,95,95})-LOOKUP(M984,{12.5,15,20,30,45,60,75,105,115,150,200,225,250,600,1000},{50,55,60,62,65,68,70,72,75,80,82,85,87,90,95})))))</f>
        <v>55</v>
      </c>
      <c r="P984" s="2">
        <f t="shared" si="78"/>
        <v>3</v>
      </c>
      <c r="Q984" s="2">
        <f t="shared" si="79"/>
        <v>1.5</v>
      </c>
    </row>
    <row r="985" customHeight="1" spans="1:17">
      <c r="A985" s="2">
        <v>2026</v>
      </c>
      <c r="B985" s="2">
        <v>984</v>
      </c>
      <c r="C985" s="3">
        <f t="shared" si="80"/>
        <v>58.4</v>
      </c>
      <c r="D985" s="2" t="s">
        <v>1404</v>
      </c>
      <c r="E985" s="12">
        <v>64</v>
      </c>
      <c r="F985" s="12">
        <v>61</v>
      </c>
      <c r="G985" s="2">
        <v>54</v>
      </c>
      <c r="H985" s="2" t="s">
        <v>54</v>
      </c>
      <c r="I985" s="2" t="s">
        <v>447</v>
      </c>
      <c r="J985" s="4" t="s">
        <v>105</v>
      </c>
      <c r="M985" s="2">
        <f t="shared" si="76"/>
        <v>105</v>
      </c>
      <c r="N985" s="2">
        <f t="shared" si="77"/>
        <v>62.4</v>
      </c>
      <c r="O985" s="2">
        <f>IF(M985="","",IF(M985&gt;=1000,95,IF(M985&lt;=12.5,50,LOOKUP(M985,{12.5,15,20,30,45,60,75,105,115,150,200,225,250,600,1000},{50,55,60,62,65,68,70,72,75,80,82,85,87,90,95})+(M985-LOOKUP(M985,{12.5,15,20,30,45,60,75,105,115,150,200,225,250,600},{12.5,15,20,30,45,60,75,105,115,150,200,225,250,600}))/(LOOKUP(M985,{12.5,15,20,30,45,60,75,105,115,150,200,225,250,600,1000},{15,20,30,45,60,75,105,115,150,200,225,250,600,1000,1000})-LOOKUP(M985,{12.5,15,20,30,45,60,75,105,115,150,200,225,250,600},{12.5,15,20,30,45,60,75,105,115,150,200,225,250,600}))*(LOOKUP(M985,{12.5,15,20,30,45,60,75,105,115,150,200,225,250,600,1000},{55,60,62,65,68,70,72,75,80,82,85,87,90,95,95})-LOOKUP(M985,{12.5,15,20,30,45,60,75,105,115,150,200,225,250,600,1000},{50,55,60,62,65,68,70,72,75,80,82,85,87,90,95})))))</f>
        <v>72</v>
      </c>
      <c r="P985" s="2">
        <f t="shared" si="78"/>
        <v>-8</v>
      </c>
      <c r="Q985" s="2">
        <f t="shared" si="79"/>
        <v>-4</v>
      </c>
    </row>
    <row r="986" customHeight="1" spans="1:17">
      <c r="B986" s="2">
        <v>985</v>
      </c>
      <c r="C986" s="3">
        <f t="shared" si="80"/>
        <v>58.4</v>
      </c>
      <c r="D986" s="2" t="s">
        <v>1405</v>
      </c>
      <c r="E986" s="12">
        <v>62</v>
      </c>
      <c r="F986" s="2">
        <v>55</v>
      </c>
      <c r="G986" s="2">
        <v>55</v>
      </c>
      <c r="H986" s="2" t="s">
        <v>41</v>
      </c>
      <c r="I986" s="2" t="s">
        <v>128</v>
      </c>
      <c r="J986" s="4" t="s">
        <v>38</v>
      </c>
      <c r="M986" s="2">
        <f t="shared" si="76"/>
        <v>45</v>
      </c>
      <c r="N986" s="2">
        <f t="shared" si="77"/>
        <v>59.9</v>
      </c>
      <c r="O986" s="2">
        <f>IF(M986="","",IF(M986&gt;=1000,95,IF(M986&lt;=12.5,50,LOOKUP(M986,{12.5,15,20,30,45,60,75,105,115,150,200,225,250,600,1000},{50,55,60,62,65,68,70,72,75,80,82,85,87,90,95})+(M986-LOOKUP(M986,{12.5,15,20,30,45,60,75,105,115,150,200,225,250,600},{12.5,15,20,30,45,60,75,105,115,150,200,225,250,600}))/(LOOKUP(M986,{12.5,15,20,30,45,60,75,105,115,150,200,225,250,600,1000},{15,20,30,45,60,75,105,115,150,200,225,250,600,1000,1000})-LOOKUP(M986,{12.5,15,20,30,45,60,75,105,115,150,200,225,250,600},{12.5,15,20,30,45,60,75,105,115,150,200,225,250,600}))*(LOOKUP(M986,{12.5,15,20,30,45,60,75,105,115,150,200,225,250,600,1000},{55,60,62,65,68,70,72,75,80,82,85,87,90,95,95})-LOOKUP(M986,{12.5,15,20,30,45,60,75,105,115,150,200,225,250,600,1000},{50,55,60,62,65,68,70,72,75,80,82,85,87,90,95})))))</f>
        <v>65</v>
      </c>
      <c r="P986" s="2">
        <f t="shared" si="78"/>
        <v>-3</v>
      </c>
      <c r="Q986" s="2">
        <f t="shared" si="79"/>
        <v>-1.5</v>
      </c>
    </row>
    <row r="987" customHeight="1" spans="1:17">
      <c r="B987" s="2">
        <v>986</v>
      </c>
      <c r="C987" s="3">
        <f t="shared" si="80"/>
        <v>58.3</v>
      </c>
      <c r="D987" s="2" t="s">
        <v>1406</v>
      </c>
      <c r="E987" s="12">
        <v>60</v>
      </c>
      <c r="F987" s="12">
        <v>68</v>
      </c>
      <c r="G987" s="2">
        <v>52</v>
      </c>
      <c r="H987" s="2" t="s">
        <v>991</v>
      </c>
      <c r="I987" s="2" t="s">
        <v>992</v>
      </c>
      <c r="J987" s="4" t="s">
        <v>38</v>
      </c>
      <c r="M987" s="2">
        <f t="shared" si="76"/>
        <v>45</v>
      </c>
      <c r="N987" s="2">
        <f t="shared" si="77"/>
        <v>60.8</v>
      </c>
      <c r="O987" s="2">
        <f>IF(M987="","",IF(M987&gt;=1000,95,IF(M987&lt;=12.5,50,LOOKUP(M987,{12.5,15,20,30,45,60,75,105,115,150,200,225,250,600,1000},{50,55,60,62,65,68,70,72,75,80,82,85,87,90,95})+(M987-LOOKUP(M987,{12.5,15,20,30,45,60,75,105,115,150,200,225,250,600},{12.5,15,20,30,45,60,75,105,115,150,200,225,250,600}))/(LOOKUP(M987,{12.5,15,20,30,45,60,75,105,115,150,200,225,250,600,1000},{15,20,30,45,60,75,105,115,150,200,225,250,600,1000,1000})-LOOKUP(M987,{12.5,15,20,30,45,60,75,105,115,150,200,225,250,600},{12.5,15,20,30,45,60,75,105,115,150,200,225,250,600}))*(LOOKUP(M987,{12.5,15,20,30,45,60,75,105,115,150,200,225,250,600,1000},{55,60,62,65,68,70,72,75,80,82,85,87,90,95,95})-LOOKUP(M987,{12.5,15,20,30,45,60,75,105,115,150,200,225,250,600,1000},{50,55,60,62,65,68,70,72,75,80,82,85,87,90,95})))))</f>
        <v>65</v>
      </c>
      <c r="P987" s="2">
        <f t="shared" si="78"/>
        <v>-5</v>
      </c>
      <c r="Q987" s="2">
        <f t="shared" si="79"/>
        <v>-2.5</v>
      </c>
    </row>
    <row r="988" customHeight="1" spans="1:17">
      <c r="A988" s="2">
        <v>2026</v>
      </c>
      <c r="B988" s="2">
        <v>987</v>
      </c>
      <c r="C988" s="3">
        <f t="shared" si="80"/>
        <v>58.3</v>
      </c>
      <c r="D988" s="2" t="s">
        <v>1407</v>
      </c>
      <c r="E988" s="12">
        <v>64</v>
      </c>
      <c r="F988" s="2">
        <v>55</v>
      </c>
      <c r="G988" s="2">
        <v>45</v>
      </c>
      <c r="H988" s="2" t="s">
        <v>1408</v>
      </c>
      <c r="I988" s="2" t="s">
        <v>128</v>
      </c>
      <c r="J988" s="4" t="s">
        <v>34</v>
      </c>
      <c r="M988" s="2">
        <f t="shared" si="76"/>
        <v>60</v>
      </c>
      <c r="N988" s="2">
        <f t="shared" si="77"/>
        <v>60.3</v>
      </c>
      <c r="O988" s="2">
        <f>IF(M988="","",IF(M988&gt;=1000,95,IF(M988&lt;=12.5,50,LOOKUP(M988,{12.5,15,20,30,45,60,75,105,115,150,200,225,250,600,1000},{50,55,60,62,65,68,70,72,75,80,82,85,87,90,95})+(M988-LOOKUP(M988,{12.5,15,20,30,45,60,75,105,115,150,200,225,250,600},{12.5,15,20,30,45,60,75,105,115,150,200,225,250,600}))/(LOOKUP(M988,{12.5,15,20,30,45,60,75,105,115,150,200,225,250,600,1000},{15,20,30,45,60,75,105,115,150,200,225,250,600,1000,1000})-LOOKUP(M988,{12.5,15,20,30,45,60,75,105,115,150,200,225,250,600},{12.5,15,20,30,45,60,75,105,115,150,200,225,250,600}))*(LOOKUP(M988,{12.5,15,20,30,45,60,75,105,115,150,200,225,250,600,1000},{55,60,62,65,68,70,72,75,80,82,85,87,90,95,95})-LOOKUP(M988,{12.5,15,20,30,45,60,75,105,115,150,200,225,250,600,1000},{50,55,60,62,65,68,70,72,75,80,82,85,87,90,95})))))</f>
        <v>68</v>
      </c>
      <c r="P988" s="2">
        <f t="shared" si="78"/>
        <v>-4</v>
      </c>
      <c r="Q988" s="2">
        <f t="shared" si="79"/>
        <v>-2</v>
      </c>
    </row>
    <row r="989" customHeight="1" spans="1:17">
      <c r="A989" s="2">
        <v>2026</v>
      </c>
      <c r="B989" s="2">
        <v>988</v>
      </c>
      <c r="C989" s="3">
        <f t="shared" si="80"/>
        <v>58.2</v>
      </c>
      <c r="D989" s="2" t="s">
        <v>1409</v>
      </c>
      <c r="E989" s="12">
        <v>62</v>
      </c>
      <c r="F989" s="12">
        <v>60</v>
      </c>
      <c r="G989" s="2">
        <v>58</v>
      </c>
      <c r="H989" s="2" t="s">
        <v>54</v>
      </c>
      <c r="I989" s="2" t="s">
        <v>937</v>
      </c>
      <c r="J989" s="4" t="s">
        <v>34</v>
      </c>
      <c r="M989" s="2">
        <f t="shared" si="76"/>
        <v>60</v>
      </c>
      <c r="N989" s="2">
        <f t="shared" si="77"/>
        <v>61.2</v>
      </c>
      <c r="O989" s="2">
        <f>IF(M989="","",IF(M989&gt;=1000,95,IF(M989&lt;=12.5,50,LOOKUP(M989,{12.5,15,20,30,45,60,75,105,115,150,200,225,250,600,1000},{50,55,60,62,65,68,70,72,75,80,82,85,87,90,95})+(M989-LOOKUP(M989,{12.5,15,20,30,45,60,75,105,115,150,200,225,250,600},{12.5,15,20,30,45,60,75,105,115,150,200,225,250,600}))/(LOOKUP(M989,{12.5,15,20,30,45,60,75,105,115,150,200,225,250,600,1000},{15,20,30,45,60,75,105,115,150,200,225,250,600,1000,1000})-LOOKUP(M989,{12.5,15,20,30,45,60,75,105,115,150,200,225,250,600},{12.5,15,20,30,45,60,75,105,115,150,200,225,250,600}))*(LOOKUP(M989,{12.5,15,20,30,45,60,75,105,115,150,200,225,250,600,1000},{55,60,62,65,68,70,72,75,80,82,85,87,90,95,95})-LOOKUP(M989,{12.5,15,20,30,45,60,75,105,115,150,200,225,250,600,1000},{50,55,60,62,65,68,70,72,75,80,82,85,87,90,95})))))</f>
        <v>68</v>
      </c>
      <c r="P989" s="2">
        <f t="shared" si="78"/>
        <v>-6</v>
      </c>
      <c r="Q989" s="2">
        <f t="shared" si="79"/>
        <v>-3</v>
      </c>
    </row>
    <row r="990" customHeight="1" spans="1:17">
      <c r="B990" s="2">
        <v>989</v>
      </c>
      <c r="C990" s="3">
        <f t="shared" si="80"/>
        <v>58.2</v>
      </c>
      <c r="D990" s="2" t="s">
        <v>1410</v>
      </c>
      <c r="E990" s="12">
        <v>63</v>
      </c>
      <c r="F990" s="2">
        <v>58</v>
      </c>
      <c r="G990" s="2">
        <v>50</v>
      </c>
      <c r="H990" s="2" t="s">
        <v>342</v>
      </c>
      <c r="I990" s="2" t="s">
        <v>33</v>
      </c>
      <c r="J990" s="4" t="s">
        <v>34</v>
      </c>
      <c r="M990" s="2">
        <f t="shared" si="76"/>
        <v>60</v>
      </c>
      <c r="N990" s="2">
        <f t="shared" si="77"/>
        <v>60.7</v>
      </c>
      <c r="O990" s="2">
        <f>IF(M990="","",IF(M990&gt;=1000,95,IF(M990&lt;=12.5,50,LOOKUP(M990,{12.5,15,20,30,45,60,75,105,115,150,200,225,250,600,1000},{50,55,60,62,65,68,70,72,75,80,82,85,87,90,95})+(M990-LOOKUP(M990,{12.5,15,20,30,45,60,75,105,115,150,200,225,250,600},{12.5,15,20,30,45,60,75,105,115,150,200,225,250,600}))/(LOOKUP(M990,{12.5,15,20,30,45,60,75,105,115,150,200,225,250,600,1000},{15,20,30,45,60,75,105,115,150,200,225,250,600,1000,1000})-LOOKUP(M990,{12.5,15,20,30,45,60,75,105,115,150,200,225,250,600},{12.5,15,20,30,45,60,75,105,115,150,200,225,250,600}))*(LOOKUP(M990,{12.5,15,20,30,45,60,75,105,115,150,200,225,250,600,1000},{55,60,62,65,68,70,72,75,80,82,85,87,90,95,95})-LOOKUP(M990,{12.5,15,20,30,45,60,75,105,115,150,200,225,250,600,1000},{50,55,60,62,65,68,70,72,75,80,82,85,87,90,95})))))</f>
        <v>68</v>
      </c>
      <c r="P990" s="2">
        <f t="shared" si="78"/>
        <v>-5</v>
      </c>
      <c r="Q990" s="2">
        <f t="shared" si="79"/>
        <v>-2.5</v>
      </c>
    </row>
    <row r="991" customHeight="1" spans="1:17">
      <c r="B991" s="2">
        <v>990</v>
      </c>
      <c r="C991" s="3">
        <f t="shared" si="80"/>
        <v>58.17</v>
      </c>
      <c r="D991" s="2" t="s">
        <v>1411</v>
      </c>
      <c r="E991" s="12">
        <v>64</v>
      </c>
      <c r="F991" s="9">
        <v>75</v>
      </c>
      <c r="G991" s="10">
        <v>87</v>
      </c>
      <c r="H991" s="2" t="s">
        <v>264</v>
      </c>
      <c r="I991" s="2" t="s">
        <v>638</v>
      </c>
      <c r="J991" s="4" t="s">
        <v>73</v>
      </c>
      <c r="M991" s="2">
        <f t="shared" si="76"/>
        <v>600</v>
      </c>
      <c r="N991" s="2">
        <f t="shared" si="77"/>
        <v>68.5</v>
      </c>
      <c r="O991" s="2">
        <f>IF(M991="","",IF(M991&gt;=1000,95,IF(M991&lt;=12.5,50,LOOKUP(M991,{12.5,15,20,30,45,60,75,105,115,150,200,225,250,600,1000},{50,55,60,62,65,68,70,72,75,80,82,85,87,90,95})+(M991-LOOKUP(M991,{12.5,15,20,30,45,60,75,105,115,150,200,225,250,600},{12.5,15,20,30,45,60,75,105,115,150,200,225,250,600}))/(LOOKUP(M991,{12.5,15,20,30,45,60,75,105,115,150,200,225,250,600,1000},{15,20,30,45,60,75,105,115,150,200,225,250,600,1000,1000})-LOOKUP(M991,{12.5,15,20,30,45,60,75,105,115,150,200,225,250,600},{12.5,15,20,30,45,60,75,105,115,150,200,225,250,600}))*(LOOKUP(M991,{12.5,15,20,30,45,60,75,105,115,150,200,225,250,600,1000},{55,60,62,65,68,70,72,75,80,82,85,87,90,95,95})-LOOKUP(M991,{12.5,15,20,30,45,60,75,105,115,150,200,225,250,600,1000},{50,55,60,62,65,68,70,72,75,80,82,85,87,90,95})))))</f>
        <v>90</v>
      </c>
      <c r="P991" s="2">
        <f t="shared" si="78"/>
        <v>-26</v>
      </c>
      <c r="Q991" s="2">
        <f t="shared" si="79"/>
        <v>-10.33</v>
      </c>
    </row>
    <row r="992" customHeight="1" spans="1:17">
      <c r="B992" s="2">
        <v>991</v>
      </c>
      <c r="C992" s="3">
        <f t="shared" si="80"/>
        <v>58.03</v>
      </c>
      <c r="D992" s="2" t="s">
        <v>1412</v>
      </c>
      <c r="E992" s="12">
        <v>60</v>
      </c>
      <c r="F992" s="10">
        <v>89</v>
      </c>
      <c r="G992" s="10">
        <v>89</v>
      </c>
      <c r="H992" s="2" t="s">
        <v>1000</v>
      </c>
      <c r="I992" s="2" t="s">
        <v>159</v>
      </c>
      <c r="J992" s="4" t="s">
        <v>123</v>
      </c>
      <c r="M992" s="2">
        <f t="shared" si="76"/>
        <v>250</v>
      </c>
      <c r="N992" s="2">
        <f t="shared" si="77"/>
        <v>68.7</v>
      </c>
      <c r="O992" s="2">
        <f>IF(M992="","",IF(M992&gt;=1000,95,IF(M992&lt;=12.5,50,LOOKUP(M992,{12.5,15,20,30,45,60,75,105,115,150,200,225,250,600,1000},{50,55,60,62,65,68,70,72,75,80,82,85,87,90,95})+(M992-LOOKUP(M992,{12.5,15,20,30,45,60,75,105,115,150,200,225,250,600},{12.5,15,20,30,45,60,75,105,115,150,200,225,250,600}))/(LOOKUP(M992,{12.5,15,20,30,45,60,75,105,115,150,200,225,250,600,1000},{15,20,30,45,60,75,105,115,150,200,225,250,600,1000,1000})-LOOKUP(M992,{12.5,15,20,30,45,60,75,105,115,150,200,225,250,600},{12.5,15,20,30,45,60,75,105,115,150,200,225,250,600}))*(LOOKUP(M992,{12.5,15,20,30,45,60,75,105,115,150,200,225,250,600,1000},{55,60,62,65,68,70,72,75,80,82,85,87,90,95,95})-LOOKUP(M992,{12.5,15,20,30,45,60,75,105,115,150,200,225,250,600,1000},{50,55,60,62,65,68,70,72,75,80,82,85,87,90,95})))))</f>
        <v>87</v>
      </c>
      <c r="P992" s="2">
        <f t="shared" si="78"/>
        <v>-27</v>
      </c>
      <c r="Q992" s="2">
        <f t="shared" si="79"/>
        <v>-10.67</v>
      </c>
    </row>
    <row r="993" customHeight="1" spans="1:17">
      <c r="B993" s="2">
        <v>992</v>
      </c>
      <c r="C993" s="3">
        <f t="shared" si="80"/>
        <v>58</v>
      </c>
      <c r="D993" s="2" t="s">
        <v>1413</v>
      </c>
      <c r="E993" s="12">
        <v>65</v>
      </c>
      <c r="F993" s="9">
        <v>77</v>
      </c>
      <c r="G993" s="9">
        <v>71</v>
      </c>
      <c r="H993" s="2" t="s">
        <v>1101</v>
      </c>
      <c r="I993" s="2" t="s">
        <v>932</v>
      </c>
      <c r="J993" s="4" t="s">
        <v>73</v>
      </c>
      <c r="K993" s="2" t="s">
        <v>1414</v>
      </c>
      <c r="M993" s="2">
        <f t="shared" si="76"/>
        <v>600</v>
      </c>
      <c r="N993" s="2">
        <f t="shared" si="77"/>
        <v>68</v>
      </c>
      <c r="O993" s="2">
        <f>IF(M993="","",IF(M993&gt;=1000,95,IF(M993&lt;=12.5,50,LOOKUP(M993,{12.5,15,20,30,45,60,75,105,115,150,200,225,250,600,1000},{50,55,60,62,65,68,70,72,75,80,82,85,87,90,95})+(M993-LOOKUP(M993,{12.5,15,20,30,45,60,75,105,115,150,200,225,250,600},{12.5,15,20,30,45,60,75,105,115,150,200,225,250,600}))/(LOOKUP(M993,{12.5,15,20,30,45,60,75,105,115,150,200,225,250,600,1000},{15,20,30,45,60,75,105,115,150,200,225,250,600,1000,1000})-LOOKUP(M993,{12.5,15,20,30,45,60,75,105,115,150,200,225,250,600},{12.5,15,20,30,45,60,75,105,115,150,200,225,250,600}))*(LOOKUP(M993,{12.5,15,20,30,45,60,75,105,115,150,200,225,250,600,1000},{55,60,62,65,68,70,72,75,80,82,85,87,90,95,95})-LOOKUP(M993,{12.5,15,20,30,45,60,75,105,115,150,200,225,250,600,1000},{50,55,60,62,65,68,70,72,75,80,82,85,87,90,95})))))</f>
        <v>90</v>
      </c>
      <c r="P993" s="2">
        <f t="shared" si="78"/>
        <v>-25</v>
      </c>
      <c r="Q993" s="2">
        <f t="shared" si="79"/>
        <v>-10</v>
      </c>
    </row>
    <row r="994" customHeight="1" spans="1:17">
      <c r="B994" s="2">
        <v>993</v>
      </c>
      <c r="C994" s="3">
        <f t="shared" si="80"/>
        <v>58</v>
      </c>
      <c r="D994" s="2" t="s">
        <v>1415</v>
      </c>
      <c r="E994" s="12">
        <v>62</v>
      </c>
      <c r="F994" s="2">
        <v>50</v>
      </c>
      <c r="G994" s="2">
        <v>36</v>
      </c>
      <c r="H994" s="2" t="s">
        <v>91</v>
      </c>
      <c r="I994" s="2" t="s">
        <v>503</v>
      </c>
      <c r="J994" s="4" t="s">
        <v>140</v>
      </c>
      <c r="M994" s="2">
        <f t="shared" si="76"/>
        <v>20</v>
      </c>
      <c r="N994" s="2">
        <f t="shared" si="77"/>
        <v>57</v>
      </c>
      <c r="O994" s="2">
        <f>IF(M994="","",IF(M994&gt;=1000,95,IF(M994&lt;=12.5,50,LOOKUP(M994,{12.5,15,20,30,45,60,75,105,115,150,200,225,250,600,1000},{50,55,60,62,65,68,70,72,75,80,82,85,87,90,95})+(M994-LOOKUP(M994,{12.5,15,20,30,45,60,75,105,115,150,200,225,250,600},{12.5,15,20,30,45,60,75,105,115,150,200,225,250,600}))/(LOOKUP(M994,{12.5,15,20,30,45,60,75,105,115,150,200,225,250,600,1000},{15,20,30,45,60,75,105,115,150,200,225,250,600,1000,1000})-LOOKUP(M994,{12.5,15,20,30,45,60,75,105,115,150,200,225,250,600},{12.5,15,20,30,45,60,75,105,115,150,200,225,250,600}))*(LOOKUP(M994,{12.5,15,20,30,45,60,75,105,115,150,200,225,250,600,1000},{55,60,62,65,68,70,72,75,80,82,85,87,90,95,95})-LOOKUP(M994,{12.5,15,20,30,45,60,75,105,115,150,200,225,250,600,1000},{50,55,60,62,65,68,70,72,75,80,82,85,87,90,95})))))</f>
        <v>60</v>
      </c>
      <c r="P994" s="2">
        <f t="shared" si="78"/>
        <v>2</v>
      </c>
      <c r="Q994" s="2">
        <f t="shared" si="79"/>
        <v>1</v>
      </c>
    </row>
    <row r="995" customHeight="1" spans="1:17">
      <c r="B995" s="2">
        <v>994</v>
      </c>
      <c r="C995" s="3">
        <f t="shared" si="80"/>
        <v>57.93</v>
      </c>
      <c r="D995" s="2" t="s">
        <v>1416</v>
      </c>
      <c r="E995" s="12">
        <v>64</v>
      </c>
      <c r="F995" s="12">
        <v>67</v>
      </c>
      <c r="G995" s="9">
        <v>74</v>
      </c>
      <c r="H995" s="2" t="s">
        <v>175</v>
      </c>
      <c r="I995" s="2" t="s">
        <v>239</v>
      </c>
      <c r="J995" s="4" t="s">
        <v>51</v>
      </c>
      <c r="M995" s="2">
        <f t="shared" si="76"/>
        <v>200</v>
      </c>
      <c r="N995" s="2">
        <f t="shared" si="77"/>
        <v>65.6</v>
      </c>
      <c r="O995" s="2">
        <f>IF(M995="","",IF(M995&gt;=1000,95,IF(M995&lt;=12.5,50,LOOKUP(M995,{12.5,15,20,30,45,60,75,105,115,150,200,225,250,600,1000},{50,55,60,62,65,68,70,72,75,80,82,85,87,90,95})+(M995-LOOKUP(M995,{12.5,15,20,30,45,60,75,105,115,150,200,225,250,600},{12.5,15,20,30,45,60,75,105,115,150,200,225,250,600}))/(LOOKUP(M995,{12.5,15,20,30,45,60,75,105,115,150,200,225,250,600,1000},{15,20,30,45,60,75,105,115,150,200,225,250,600,1000,1000})-LOOKUP(M995,{12.5,15,20,30,45,60,75,105,115,150,200,225,250,600},{12.5,15,20,30,45,60,75,105,115,150,200,225,250,600}))*(LOOKUP(M995,{12.5,15,20,30,45,60,75,105,115,150,200,225,250,600,1000},{55,60,62,65,68,70,72,75,80,82,85,87,90,95,95})-LOOKUP(M995,{12.5,15,20,30,45,60,75,105,115,150,200,225,250,600,1000},{50,55,60,62,65,68,70,72,75,80,82,85,87,90,95})))))</f>
        <v>82</v>
      </c>
      <c r="P995" s="2">
        <f t="shared" si="78"/>
        <v>-18</v>
      </c>
      <c r="Q995" s="2">
        <f t="shared" si="79"/>
        <v>-7.67</v>
      </c>
    </row>
    <row r="996" customHeight="1" spans="1:17">
      <c r="B996" s="2">
        <v>995</v>
      </c>
      <c r="C996" s="3">
        <f t="shared" si="80"/>
        <v>57.9</v>
      </c>
      <c r="D996" s="2" t="s">
        <v>1417</v>
      </c>
      <c r="E996" s="12">
        <v>63</v>
      </c>
      <c r="F996" s="12">
        <v>60</v>
      </c>
      <c r="G996" s="12">
        <v>63</v>
      </c>
      <c r="H996" s="2" t="s">
        <v>367</v>
      </c>
      <c r="I996" s="2" t="s">
        <v>33</v>
      </c>
      <c r="J996" s="4" t="s">
        <v>105</v>
      </c>
      <c r="M996" s="2">
        <f t="shared" si="76"/>
        <v>105</v>
      </c>
      <c r="N996" s="2">
        <f t="shared" si="77"/>
        <v>62.4</v>
      </c>
      <c r="O996" s="2">
        <f>IF(M996="","",IF(M996&gt;=1000,95,IF(M996&lt;=12.5,50,LOOKUP(M996,{12.5,15,20,30,45,60,75,105,115,150,200,225,250,600,1000},{50,55,60,62,65,68,70,72,75,80,82,85,87,90,95})+(M996-LOOKUP(M996,{12.5,15,20,30,45,60,75,105,115,150,200,225,250,600},{12.5,15,20,30,45,60,75,105,115,150,200,225,250,600}))/(LOOKUP(M996,{12.5,15,20,30,45,60,75,105,115,150,200,225,250,600,1000},{15,20,30,45,60,75,105,115,150,200,225,250,600,1000,1000})-LOOKUP(M996,{12.5,15,20,30,45,60,75,105,115,150,200,225,250,600},{12.5,15,20,30,45,60,75,105,115,150,200,225,250,600}))*(LOOKUP(M996,{12.5,15,20,30,45,60,75,105,115,150,200,225,250,600,1000},{55,60,62,65,68,70,72,75,80,82,85,87,90,95,95})-LOOKUP(M996,{12.5,15,20,30,45,60,75,105,115,150,200,225,250,600,1000},{50,55,60,62,65,68,70,72,75,80,82,85,87,90,95})))))</f>
        <v>72</v>
      </c>
      <c r="P996" s="2">
        <f t="shared" si="78"/>
        <v>-9</v>
      </c>
      <c r="Q996" s="2">
        <f t="shared" si="79"/>
        <v>-4.5</v>
      </c>
    </row>
    <row r="997" customHeight="1" spans="1:17">
      <c r="B997" s="2">
        <v>996</v>
      </c>
      <c r="C997" s="3">
        <f t="shared" si="80"/>
        <v>57.9</v>
      </c>
      <c r="D997" s="2" t="s">
        <v>1418</v>
      </c>
      <c r="E997" s="12">
        <v>68</v>
      </c>
      <c r="F997" s="12">
        <v>63</v>
      </c>
      <c r="G997" s="12">
        <v>67</v>
      </c>
      <c r="H997" s="2" t="s">
        <v>524</v>
      </c>
      <c r="I997" s="2" t="s">
        <v>305</v>
      </c>
      <c r="J997" s="4" t="s">
        <v>73</v>
      </c>
      <c r="M997" s="2">
        <f t="shared" si="76"/>
        <v>600</v>
      </c>
      <c r="N997" s="2">
        <f t="shared" si="77"/>
        <v>66.9</v>
      </c>
      <c r="O997" s="2">
        <f>IF(M997="","",IF(M997&gt;=1000,95,IF(M997&lt;=12.5,50,LOOKUP(M997,{12.5,15,20,30,45,60,75,105,115,150,200,225,250,600,1000},{50,55,60,62,65,68,70,72,75,80,82,85,87,90,95})+(M997-LOOKUP(M997,{12.5,15,20,30,45,60,75,105,115,150,200,225,250,600},{12.5,15,20,30,45,60,75,105,115,150,200,225,250,600}))/(LOOKUP(M997,{12.5,15,20,30,45,60,75,105,115,150,200,225,250,600,1000},{15,20,30,45,60,75,105,115,150,200,225,250,600,1000,1000})-LOOKUP(M997,{12.5,15,20,30,45,60,75,105,115,150,200,225,250,600},{12.5,15,20,30,45,60,75,105,115,150,200,225,250,600}))*(LOOKUP(M997,{12.5,15,20,30,45,60,75,105,115,150,200,225,250,600,1000},{55,60,62,65,68,70,72,75,80,82,85,87,90,95,95})-LOOKUP(M997,{12.5,15,20,30,45,60,75,105,115,150,200,225,250,600,1000},{50,55,60,62,65,68,70,72,75,80,82,85,87,90,95})))))</f>
        <v>90</v>
      </c>
      <c r="P997" s="2">
        <f t="shared" si="78"/>
        <v>-22</v>
      </c>
      <c r="Q997" s="2">
        <f t="shared" si="79"/>
        <v>-9</v>
      </c>
    </row>
    <row r="998" customHeight="1" spans="1:17">
      <c r="B998" s="2">
        <v>997</v>
      </c>
      <c r="C998" s="3">
        <f t="shared" si="80"/>
        <v>57.9</v>
      </c>
      <c r="D998" s="2" t="s">
        <v>1419</v>
      </c>
      <c r="E998" s="12">
        <v>60</v>
      </c>
      <c r="F998" s="2">
        <v>54</v>
      </c>
      <c r="G998" s="2">
        <v>51</v>
      </c>
      <c r="H998" s="2" t="s">
        <v>91</v>
      </c>
      <c r="I998" s="2" t="s">
        <v>28</v>
      </c>
      <c r="J998" s="4" t="s">
        <v>140</v>
      </c>
      <c r="M998" s="2">
        <f t="shared" si="76"/>
        <v>20</v>
      </c>
      <c r="N998" s="2">
        <f t="shared" si="77"/>
        <v>57.9</v>
      </c>
      <c r="O998" s="2">
        <f>IF(M998="","",IF(M998&gt;=1000,95,IF(M998&lt;=12.5,50,LOOKUP(M998,{12.5,15,20,30,45,60,75,105,115,150,200,225,250,600,1000},{50,55,60,62,65,68,70,72,75,80,82,85,87,90,95})+(M998-LOOKUP(M998,{12.5,15,20,30,45,60,75,105,115,150,200,225,250,600},{12.5,15,20,30,45,60,75,105,115,150,200,225,250,600}))/(LOOKUP(M998,{12.5,15,20,30,45,60,75,105,115,150,200,225,250,600,1000},{15,20,30,45,60,75,105,115,150,200,225,250,600,1000,1000})-LOOKUP(M998,{12.5,15,20,30,45,60,75,105,115,150,200,225,250,600},{12.5,15,20,30,45,60,75,105,115,150,200,225,250,600}))*(LOOKUP(M998,{12.5,15,20,30,45,60,75,105,115,150,200,225,250,600,1000},{55,60,62,65,68,70,72,75,80,82,85,87,90,95,95})-LOOKUP(M998,{12.5,15,20,30,45,60,75,105,115,150,200,225,250,600,1000},{50,55,60,62,65,68,70,72,75,80,82,85,87,90,95})))))</f>
        <v>60</v>
      </c>
      <c r="P998" s="2">
        <f t="shared" si="78"/>
        <v>0</v>
      </c>
      <c r="Q998" s="2">
        <f t="shared" si="79"/>
        <v>0</v>
      </c>
    </row>
    <row r="999" customHeight="1" spans="1:17">
      <c r="B999" s="2">
        <v>998</v>
      </c>
      <c r="C999" s="3">
        <f t="shared" si="80"/>
        <v>57.8</v>
      </c>
      <c r="D999" s="2" t="s">
        <v>1420</v>
      </c>
      <c r="E999" s="12">
        <v>64</v>
      </c>
      <c r="F999" s="12">
        <v>69</v>
      </c>
      <c r="G999" s="12">
        <v>62</v>
      </c>
      <c r="H999" s="2" t="s">
        <v>41</v>
      </c>
      <c r="I999" s="2" t="s">
        <v>183</v>
      </c>
      <c r="J999" s="4" t="s">
        <v>59</v>
      </c>
      <c r="M999" s="2">
        <f t="shared" si="76"/>
        <v>150</v>
      </c>
      <c r="N999" s="2">
        <f t="shared" si="77"/>
        <v>64.8</v>
      </c>
      <c r="O999" s="2">
        <f>IF(M999="","",IF(M999&gt;=1000,95,IF(M999&lt;=12.5,50,LOOKUP(M999,{12.5,15,20,30,45,60,75,105,115,150,200,225,250,600,1000},{50,55,60,62,65,68,70,72,75,80,82,85,87,90,95})+(M999-LOOKUP(M999,{12.5,15,20,30,45,60,75,105,115,150,200,225,250,600},{12.5,15,20,30,45,60,75,105,115,150,200,225,250,600}))/(LOOKUP(M999,{12.5,15,20,30,45,60,75,105,115,150,200,225,250,600,1000},{15,20,30,45,60,75,105,115,150,200,225,250,600,1000,1000})-LOOKUP(M999,{12.5,15,20,30,45,60,75,105,115,150,200,225,250,600},{12.5,15,20,30,45,60,75,105,115,150,200,225,250,600}))*(LOOKUP(M999,{12.5,15,20,30,45,60,75,105,115,150,200,225,250,600,1000},{55,60,62,65,68,70,72,75,80,82,85,87,90,95,95})-LOOKUP(M999,{12.5,15,20,30,45,60,75,105,115,150,200,225,250,600,1000},{50,55,60,62,65,68,70,72,75,80,82,85,87,90,95})))))</f>
        <v>80</v>
      </c>
      <c r="P999" s="2">
        <f t="shared" si="78"/>
        <v>-16</v>
      </c>
      <c r="Q999" s="2">
        <f t="shared" si="79"/>
        <v>-7</v>
      </c>
    </row>
    <row r="1000" customHeight="1" spans="1:17">
      <c r="B1000" s="2">
        <v>999</v>
      </c>
      <c r="C1000" s="3">
        <f t="shared" si="80"/>
        <v>57.8</v>
      </c>
      <c r="D1000" s="2" t="s">
        <v>1421</v>
      </c>
      <c r="E1000" s="12">
        <v>63</v>
      </c>
      <c r="F1000" s="12">
        <v>60</v>
      </c>
      <c r="G1000" s="2">
        <v>52</v>
      </c>
      <c r="H1000" s="2" t="s">
        <v>41</v>
      </c>
      <c r="I1000" s="2" t="s">
        <v>18</v>
      </c>
      <c r="J1000" s="4" t="s">
        <v>24</v>
      </c>
      <c r="M1000" s="2">
        <f t="shared" si="76"/>
        <v>75</v>
      </c>
      <c r="N1000" s="2">
        <f t="shared" si="77"/>
        <v>61.3</v>
      </c>
      <c r="O1000" s="2">
        <f>IF(M1000="","",IF(M1000&gt;=1000,95,IF(M1000&lt;=12.5,50,LOOKUP(M1000,{12.5,15,20,30,45,60,75,105,115,150,200,225,250,600,1000},{50,55,60,62,65,68,70,72,75,80,82,85,87,90,95})+(M1000-LOOKUP(M1000,{12.5,15,20,30,45,60,75,105,115,150,200,225,250,600},{12.5,15,20,30,45,60,75,105,115,150,200,225,250,600}))/(LOOKUP(M1000,{12.5,15,20,30,45,60,75,105,115,150,200,225,250,600,1000},{15,20,30,45,60,75,105,115,150,200,225,250,600,1000,1000})-LOOKUP(M1000,{12.5,15,20,30,45,60,75,105,115,150,200,225,250,600},{12.5,15,20,30,45,60,75,105,115,150,200,225,250,600}))*(LOOKUP(M1000,{12.5,15,20,30,45,60,75,105,115,150,200,225,250,600,1000},{55,60,62,65,68,70,72,75,80,82,85,87,90,95,95})-LOOKUP(M1000,{12.5,15,20,30,45,60,75,105,115,150,200,225,250,600,1000},{50,55,60,62,65,68,70,72,75,80,82,85,87,90,95})))))</f>
        <v>70</v>
      </c>
      <c r="P1000" s="2">
        <f t="shared" si="78"/>
        <v>-7</v>
      </c>
      <c r="Q1000" s="2">
        <f t="shared" si="79"/>
        <v>-3.5</v>
      </c>
    </row>
    <row r="1001" customHeight="1" spans="1:17">
      <c r="A1001" s="2">
        <v>2026</v>
      </c>
      <c r="B1001" s="2">
        <v>1000</v>
      </c>
      <c r="C1001" s="3">
        <f t="shared" si="80"/>
        <v>57.8</v>
      </c>
      <c r="D1001" s="2" t="s">
        <v>1422</v>
      </c>
      <c r="E1001" s="2">
        <v>58</v>
      </c>
      <c r="F1001" s="2">
        <v>53</v>
      </c>
      <c r="G1001" s="2">
        <v>51</v>
      </c>
      <c r="H1001" s="2" t="s">
        <v>37</v>
      </c>
      <c r="I1001" s="2" t="s">
        <v>28</v>
      </c>
      <c r="J1001" s="4" t="s">
        <v>29</v>
      </c>
      <c r="M1001" s="2">
        <f t="shared" si="76"/>
        <v>15</v>
      </c>
      <c r="N1001" s="2">
        <f t="shared" si="77"/>
        <v>56.3</v>
      </c>
      <c r="O1001" s="2">
        <f>IF(M1001="","",IF(M1001&gt;=1000,95,IF(M1001&lt;=12.5,50,LOOKUP(M1001,{12.5,15,20,30,45,60,75,105,115,150,200,225,250,600,1000},{50,55,60,62,65,68,70,72,75,80,82,85,87,90,95})+(M1001-LOOKUP(M1001,{12.5,15,20,30,45,60,75,105,115,150,200,225,250,600},{12.5,15,20,30,45,60,75,105,115,150,200,225,250,600}))/(LOOKUP(M1001,{12.5,15,20,30,45,60,75,105,115,150,200,225,250,600,1000},{15,20,30,45,60,75,105,115,150,200,225,250,600,1000,1000})-LOOKUP(M1001,{12.5,15,20,30,45,60,75,105,115,150,200,225,250,600},{12.5,15,20,30,45,60,75,105,115,150,200,225,250,600}))*(LOOKUP(M1001,{12.5,15,20,30,45,60,75,105,115,150,200,225,250,600,1000},{55,60,62,65,68,70,72,75,80,82,85,87,90,95,95})-LOOKUP(M1001,{12.5,15,20,30,45,60,75,105,115,150,200,225,250,600,1000},{50,55,60,62,65,68,70,72,75,80,82,85,87,90,95})))))</f>
        <v>55</v>
      </c>
      <c r="P1001" s="2">
        <f t="shared" si="78"/>
        <v>3</v>
      </c>
      <c r="Q1001" s="2">
        <f t="shared" si="79"/>
        <v>1.5</v>
      </c>
    </row>
    <row r="1002" customHeight="1" spans="1:17">
      <c r="B1002" s="2">
        <v>1001</v>
      </c>
      <c r="C1002" s="3">
        <f t="shared" si="80"/>
        <v>57.76</v>
      </c>
      <c r="D1002" s="2" t="s">
        <v>1423</v>
      </c>
      <c r="E1002" s="12">
        <v>65</v>
      </c>
      <c r="F1002" s="12">
        <v>65</v>
      </c>
      <c r="G1002" s="12">
        <v>66</v>
      </c>
      <c r="H1002" s="2" t="s">
        <v>1017</v>
      </c>
      <c r="I1002" s="2" t="s">
        <v>1067</v>
      </c>
      <c r="J1002" s="4" t="s">
        <v>51</v>
      </c>
      <c r="M1002" s="2">
        <f t="shared" si="76"/>
        <v>200</v>
      </c>
      <c r="N1002" s="2">
        <f t="shared" si="77"/>
        <v>65.1</v>
      </c>
      <c r="O1002" s="2">
        <f>IF(M1002="","",IF(M1002&gt;=1000,95,IF(M1002&lt;=12.5,50,LOOKUP(M1002,{12.5,15,20,30,45,60,75,105,115,150,200,225,250,600,1000},{50,55,60,62,65,68,70,72,75,80,82,85,87,90,95})+(M1002-LOOKUP(M1002,{12.5,15,20,30,45,60,75,105,115,150,200,225,250,600},{12.5,15,20,30,45,60,75,105,115,150,200,225,250,600}))/(LOOKUP(M1002,{12.5,15,20,30,45,60,75,105,115,150,200,225,250,600,1000},{15,20,30,45,60,75,105,115,150,200,225,250,600,1000,1000})-LOOKUP(M1002,{12.5,15,20,30,45,60,75,105,115,150,200,225,250,600},{12.5,15,20,30,45,60,75,105,115,150,200,225,250,600}))*(LOOKUP(M1002,{12.5,15,20,30,45,60,75,105,115,150,200,225,250,600,1000},{55,60,62,65,68,70,72,75,80,82,85,87,90,95,95})-LOOKUP(M1002,{12.5,15,20,30,45,60,75,105,115,150,200,225,250,600,1000},{50,55,60,62,65,68,70,72,75,80,82,85,87,90,95})))))</f>
        <v>82</v>
      </c>
      <c r="P1002" s="2">
        <f t="shared" si="78"/>
        <v>-17</v>
      </c>
      <c r="Q1002" s="2">
        <f t="shared" si="79"/>
        <v>-7.34</v>
      </c>
    </row>
    <row r="1003" customHeight="1" spans="1:17">
      <c r="A1003" s="2">
        <v>2026</v>
      </c>
      <c r="B1003" s="2">
        <v>1002</v>
      </c>
      <c r="C1003" s="3">
        <f t="shared" si="80"/>
        <v>57.7</v>
      </c>
      <c r="D1003" s="2" t="s">
        <v>1424</v>
      </c>
      <c r="E1003" s="12">
        <v>60</v>
      </c>
      <c r="F1003" s="2">
        <v>55</v>
      </c>
      <c r="G1003" s="2">
        <v>47</v>
      </c>
      <c r="H1003" s="2" t="s">
        <v>231</v>
      </c>
      <c r="I1003" s="2" t="s">
        <v>63</v>
      </c>
      <c r="J1003" s="4" t="s">
        <v>140</v>
      </c>
      <c r="M1003" s="2">
        <f t="shared" si="76"/>
        <v>20</v>
      </c>
      <c r="N1003" s="2">
        <f t="shared" si="77"/>
        <v>57.7</v>
      </c>
      <c r="O1003" s="2">
        <f>IF(M1003="","",IF(M1003&gt;=1000,95,IF(M1003&lt;=12.5,50,LOOKUP(M1003,{12.5,15,20,30,45,60,75,105,115,150,200,225,250,600,1000},{50,55,60,62,65,68,70,72,75,80,82,85,87,90,95})+(M1003-LOOKUP(M1003,{12.5,15,20,30,45,60,75,105,115,150,200,225,250,600},{12.5,15,20,30,45,60,75,105,115,150,200,225,250,600}))/(LOOKUP(M1003,{12.5,15,20,30,45,60,75,105,115,150,200,225,250,600,1000},{15,20,30,45,60,75,105,115,150,200,225,250,600,1000,1000})-LOOKUP(M1003,{12.5,15,20,30,45,60,75,105,115,150,200,225,250,600},{12.5,15,20,30,45,60,75,105,115,150,200,225,250,600}))*(LOOKUP(M1003,{12.5,15,20,30,45,60,75,105,115,150,200,225,250,600,1000},{55,60,62,65,68,70,72,75,80,82,85,87,90,95,95})-LOOKUP(M1003,{12.5,15,20,30,45,60,75,105,115,150,200,225,250,600,1000},{50,55,60,62,65,68,70,72,75,80,82,85,87,90,95})))))</f>
        <v>60</v>
      </c>
      <c r="P1003" s="2">
        <f t="shared" si="78"/>
        <v>0</v>
      </c>
      <c r="Q1003" s="2">
        <f t="shared" si="79"/>
        <v>0</v>
      </c>
    </row>
    <row r="1004" customHeight="1" spans="1:17">
      <c r="B1004" s="2">
        <v>1003</v>
      </c>
      <c r="C1004" s="3">
        <f t="shared" si="80"/>
        <v>57.7</v>
      </c>
      <c r="D1004" s="2" t="s">
        <v>1425</v>
      </c>
      <c r="E1004" s="12">
        <v>62</v>
      </c>
      <c r="F1004" s="10">
        <v>85</v>
      </c>
      <c r="G1004" s="10">
        <v>83</v>
      </c>
      <c r="H1004" s="2" t="s">
        <v>1303</v>
      </c>
      <c r="I1004" s="2" t="s">
        <v>159</v>
      </c>
      <c r="J1004" s="4" t="s">
        <v>73</v>
      </c>
      <c r="M1004" s="2">
        <f t="shared" si="76"/>
        <v>600</v>
      </c>
      <c r="N1004" s="2">
        <f t="shared" si="77"/>
        <v>68.7</v>
      </c>
      <c r="O1004" s="2">
        <f>IF(M1004="","",IF(M1004&gt;=1000,95,IF(M1004&lt;=12.5,50,LOOKUP(M1004,{12.5,15,20,30,45,60,75,105,115,150,200,225,250,600,1000},{50,55,60,62,65,68,70,72,75,80,82,85,87,90,95})+(M1004-LOOKUP(M1004,{12.5,15,20,30,45,60,75,105,115,150,200,225,250,600},{12.5,15,20,30,45,60,75,105,115,150,200,225,250,600}))/(LOOKUP(M1004,{12.5,15,20,30,45,60,75,105,115,150,200,225,250,600,1000},{15,20,30,45,60,75,105,115,150,200,225,250,600,1000,1000})-LOOKUP(M1004,{12.5,15,20,30,45,60,75,105,115,150,200,225,250,600},{12.5,15,20,30,45,60,75,105,115,150,200,225,250,600}))*(LOOKUP(M1004,{12.5,15,20,30,45,60,75,105,115,150,200,225,250,600,1000},{55,60,62,65,68,70,72,75,80,82,85,87,90,95,95})-LOOKUP(M1004,{12.5,15,20,30,45,60,75,105,115,150,200,225,250,600,1000},{50,55,60,62,65,68,70,72,75,80,82,85,87,90,95})))))</f>
        <v>90</v>
      </c>
      <c r="P1004" s="2">
        <f t="shared" si="78"/>
        <v>-28</v>
      </c>
      <c r="Q1004" s="2">
        <f t="shared" si="79"/>
        <v>-11</v>
      </c>
    </row>
    <row r="1005" customHeight="1" spans="1:17">
      <c r="A1005" s="2">
        <v>2026</v>
      </c>
      <c r="B1005" s="2">
        <v>1004</v>
      </c>
      <c r="C1005" s="3">
        <f t="shared" si="80"/>
        <v>57.7</v>
      </c>
      <c r="D1005" s="2" t="s">
        <v>1426</v>
      </c>
      <c r="E1005" s="12">
        <v>61</v>
      </c>
      <c r="F1005" s="2">
        <v>55</v>
      </c>
      <c r="G1005" s="2">
        <v>35</v>
      </c>
      <c r="H1005" s="2" t="s">
        <v>54</v>
      </c>
      <c r="I1005" s="2" t="s">
        <v>28</v>
      </c>
      <c r="J1005" s="4" t="s">
        <v>140</v>
      </c>
      <c r="M1005" s="2">
        <f t="shared" si="76"/>
        <v>20</v>
      </c>
      <c r="N1005" s="2">
        <f t="shared" si="77"/>
        <v>57.2</v>
      </c>
      <c r="O1005" s="2">
        <f>IF(M1005="","",IF(M1005&gt;=1000,95,IF(M1005&lt;=12.5,50,LOOKUP(M1005,{12.5,15,20,30,45,60,75,105,115,150,200,225,250,600,1000},{50,55,60,62,65,68,70,72,75,80,82,85,87,90,95})+(M1005-LOOKUP(M1005,{12.5,15,20,30,45,60,75,105,115,150,200,225,250,600},{12.5,15,20,30,45,60,75,105,115,150,200,225,250,600}))/(LOOKUP(M1005,{12.5,15,20,30,45,60,75,105,115,150,200,225,250,600,1000},{15,20,30,45,60,75,105,115,150,200,225,250,600,1000,1000})-LOOKUP(M1005,{12.5,15,20,30,45,60,75,105,115,150,200,225,250,600},{12.5,15,20,30,45,60,75,105,115,150,200,225,250,600}))*(LOOKUP(M1005,{12.5,15,20,30,45,60,75,105,115,150,200,225,250,600,1000},{55,60,62,65,68,70,72,75,80,82,85,87,90,95,95})-LOOKUP(M1005,{12.5,15,20,30,45,60,75,105,115,150,200,225,250,600,1000},{50,55,60,62,65,68,70,72,75,80,82,85,87,90,95})))))</f>
        <v>60</v>
      </c>
      <c r="P1005" s="2">
        <f t="shared" si="78"/>
        <v>1</v>
      </c>
      <c r="Q1005" s="2">
        <f t="shared" si="79"/>
        <v>0.5</v>
      </c>
    </row>
    <row r="1006" customHeight="1" spans="1:17">
      <c r="A1006" s="2">
        <v>2026</v>
      </c>
      <c r="B1006" s="2">
        <v>1005</v>
      </c>
      <c r="C1006" s="3">
        <f t="shared" si="80"/>
        <v>57.6</v>
      </c>
      <c r="D1006" s="2" t="s">
        <v>1427</v>
      </c>
      <c r="E1006" s="12">
        <v>64</v>
      </c>
      <c r="F1006" s="2">
        <v>56</v>
      </c>
      <c r="G1006" s="2">
        <v>56</v>
      </c>
      <c r="H1006" s="2" t="s">
        <v>54</v>
      </c>
      <c r="I1006" s="2" t="s">
        <v>55</v>
      </c>
      <c r="J1006" s="4" t="s">
        <v>105</v>
      </c>
      <c r="M1006" s="2">
        <f t="shared" si="76"/>
        <v>105</v>
      </c>
      <c r="N1006" s="2">
        <f t="shared" si="77"/>
        <v>61.6</v>
      </c>
      <c r="O1006" s="2">
        <f>IF(M1006="","",IF(M1006&gt;=1000,95,IF(M1006&lt;=12.5,50,LOOKUP(M1006,{12.5,15,20,30,45,60,75,105,115,150,200,225,250,600,1000},{50,55,60,62,65,68,70,72,75,80,82,85,87,90,95})+(M1006-LOOKUP(M1006,{12.5,15,20,30,45,60,75,105,115,150,200,225,250,600},{12.5,15,20,30,45,60,75,105,115,150,200,225,250,600}))/(LOOKUP(M1006,{12.5,15,20,30,45,60,75,105,115,150,200,225,250,600,1000},{15,20,30,45,60,75,105,115,150,200,225,250,600,1000,1000})-LOOKUP(M1006,{12.5,15,20,30,45,60,75,105,115,150,200,225,250,600},{12.5,15,20,30,45,60,75,105,115,150,200,225,250,600}))*(LOOKUP(M1006,{12.5,15,20,30,45,60,75,105,115,150,200,225,250,600,1000},{55,60,62,65,68,70,72,75,80,82,85,87,90,95,95})-LOOKUP(M1006,{12.5,15,20,30,45,60,75,105,115,150,200,225,250,600,1000},{50,55,60,62,65,68,70,72,75,80,82,85,87,90,95})))))</f>
        <v>72</v>
      </c>
      <c r="P1006" s="2">
        <f t="shared" si="78"/>
        <v>-8</v>
      </c>
      <c r="Q1006" s="2">
        <f t="shared" si="79"/>
        <v>-4</v>
      </c>
    </row>
    <row r="1007" customHeight="1" spans="1:17">
      <c r="B1007" s="2">
        <v>1006</v>
      </c>
      <c r="C1007" s="3">
        <f t="shared" si="80"/>
        <v>57.6</v>
      </c>
      <c r="D1007" s="2" t="s">
        <v>1428</v>
      </c>
      <c r="E1007" s="12">
        <v>60</v>
      </c>
      <c r="F1007" s="12">
        <v>67</v>
      </c>
      <c r="G1007" s="9">
        <v>72</v>
      </c>
      <c r="H1007" s="2" t="s">
        <v>91</v>
      </c>
      <c r="I1007" s="2" t="s">
        <v>350</v>
      </c>
      <c r="J1007" s="4" t="s">
        <v>24</v>
      </c>
      <c r="M1007" s="2">
        <f t="shared" si="76"/>
        <v>75</v>
      </c>
      <c r="N1007" s="2">
        <f t="shared" si="77"/>
        <v>62.6</v>
      </c>
      <c r="O1007" s="2">
        <f>IF(M1007="","",IF(M1007&gt;=1000,95,IF(M1007&lt;=12.5,50,LOOKUP(M1007,{12.5,15,20,30,45,60,75,105,115,150,200,225,250,600,1000},{50,55,60,62,65,68,70,72,75,80,82,85,87,90,95})+(M1007-LOOKUP(M1007,{12.5,15,20,30,45,60,75,105,115,150,200,225,250,600},{12.5,15,20,30,45,60,75,105,115,150,200,225,250,600}))/(LOOKUP(M1007,{12.5,15,20,30,45,60,75,105,115,150,200,225,250,600,1000},{15,20,30,45,60,75,105,115,150,200,225,250,600,1000,1000})-LOOKUP(M1007,{12.5,15,20,30,45,60,75,105,115,150,200,225,250,600},{12.5,15,20,30,45,60,75,105,115,150,200,225,250,600}))*(LOOKUP(M1007,{12.5,15,20,30,45,60,75,105,115,150,200,225,250,600,1000},{55,60,62,65,68,70,72,75,80,82,85,87,90,95,95})-LOOKUP(M1007,{12.5,15,20,30,45,60,75,105,115,150,200,225,250,600,1000},{50,55,60,62,65,68,70,72,75,80,82,85,87,90,95})))))</f>
        <v>70</v>
      </c>
      <c r="P1007" s="2">
        <f t="shared" si="78"/>
        <v>-10</v>
      </c>
      <c r="Q1007" s="2">
        <f t="shared" si="79"/>
        <v>-5</v>
      </c>
    </row>
    <row r="1008" customHeight="1" spans="1:17">
      <c r="B1008" s="2">
        <v>1007</v>
      </c>
      <c r="C1008" s="3">
        <f t="shared" si="80"/>
        <v>57.6</v>
      </c>
      <c r="D1008" s="2" t="s">
        <v>1429</v>
      </c>
      <c r="E1008" s="12">
        <v>62</v>
      </c>
      <c r="F1008" s="12">
        <v>65</v>
      </c>
      <c r="G1008" s="9">
        <v>72</v>
      </c>
      <c r="H1008" s="2" t="s">
        <v>41</v>
      </c>
      <c r="I1008" s="2" t="s">
        <v>23</v>
      </c>
      <c r="J1008" s="4" t="s">
        <v>148</v>
      </c>
      <c r="M1008" s="2">
        <f t="shared" si="76"/>
        <v>115</v>
      </c>
      <c r="N1008" s="2">
        <f t="shared" si="77"/>
        <v>63.6</v>
      </c>
      <c r="O1008" s="2">
        <f>IF(M1008="","",IF(M1008&gt;=1000,95,IF(M1008&lt;=12.5,50,LOOKUP(M1008,{12.5,15,20,30,45,60,75,105,115,150,200,225,250,600,1000},{50,55,60,62,65,68,70,72,75,80,82,85,87,90,95})+(M1008-LOOKUP(M1008,{12.5,15,20,30,45,60,75,105,115,150,200,225,250,600},{12.5,15,20,30,45,60,75,105,115,150,200,225,250,600}))/(LOOKUP(M1008,{12.5,15,20,30,45,60,75,105,115,150,200,225,250,600,1000},{15,20,30,45,60,75,105,115,150,200,225,250,600,1000,1000})-LOOKUP(M1008,{12.5,15,20,30,45,60,75,105,115,150,200,225,250,600},{12.5,15,20,30,45,60,75,105,115,150,200,225,250,600}))*(LOOKUP(M1008,{12.5,15,20,30,45,60,75,105,115,150,200,225,250,600,1000},{55,60,62,65,68,70,72,75,80,82,85,87,90,95,95})-LOOKUP(M1008,{12.5,15,20,30,45,60,75,105,115,150,200,225,250,600,1000},{50,55,60,62,65,68,70,72,75,80,82,85,87,90,95})))))</f>
        <v>75</v>
      </c>
      <c r="P1008" s="2">
        <f t="shared" si="78"/>
        <v>-13</v>
      </c>
      <c r="Q1008" s="2">
        <f t="shared" si="79"/>
        <v>-6</v>
      </c>
    </row>
    <row r="1009" customHeight="1" spans="1:17">
      <c r="B1009" s="2">
        <v>1008</v>
      </c>
      <c r="C1009" s="3">
        <f t="shared" si="80"/>
        <v>57.6</v>
      </c>
      <c r="D1009" s="2" t="s">
        <v>1430</v>
      </c>
      <c r="E1009" s="12">
        <v>64</v>
      </c>
      <c r="F1009" s="12">
        <v>60</v>
      </c>
      <c r="G1009" s="2">
        <v>48</v>
      </c>
      <c r="H1009" s="2" t="s">
        <v>1431</v>
      </c>
      <c r="I1009" s="2" t="s">
        <v>23</v>
      </c>
      <c r="J1009" s="4" t="s">
        <v>105</v>
      </c>
      <c r="M1009" s="2">
        <f t="shared" si="76"/>
        <v>105</v>
      </c>
      <c r="N1009" s="2">
        <f t="shared" si="77"/>
        <v>61.6</v>
      </c>
      <c r="O1009" s="2">
        <f>IF(M1009="","",IF(M1009&gt;=1000,95,IF(M1009&lt;=12.5,50,LOOKUP(M1009,{12.5,15,20,30,45,60,75,105,115,150,200,225,250,600,1000},{50,55,60,62,65,68,70,72,75,80,82,85,87,90,95})+(M1009-LOOKUP(M1009,{12.5,15,20,30,45,60,75,105,115,150,200,225,250,600},{12.5,15,20,30,45,60,75,105,115,150,200,225,250,600}))/(LOOKUP(M1009,{12.5,15,20,30,45,60,75,105,115,150,200,225,250,600,1000},{15,20,30,45,60,75,105,115,150,200,225,250,600,1000,1000})-LOOKUP(M1009,{12.5,15,20,30,45,60,75,105,115,150,200,225,250,600},{12.5,15,20,30,45,60,75,105,115,150,200,225,250,600}))*(LOOKUP(M1009,{12.5,15,20,30,45,60,75,105,115,150,200,225,250,600,1000},{55,60,62,65,68,70,72,75,80,82,85,87,90,95,95})-LOOKUP(M1009,{12.5,15,20,30,45,60,75,105,115,150,200,225,250,600,1000},{50,55,60,62,65,68,70,72,75,80,82,85,87,90,95})))))</f>
        <v>72</v>
      </c>
      <c r="P1009" s="2">
        <f t="shared" si="78"/>
        <v>-8</v>
      </c>
      <c r="Q1009" s="2">
        <f t="shared" si="79"/>
        <v>-4</v>
      </c>
    </row>
    <row r="1010" customHeight="1" spans="1:17">
      <c r="B1010" s="2">
        <v>1009</v>
      </c>
      <c r="C1010" s="3">
        <f t="shared" si="80"/>
        <v>57.57</v>
      </c>
      <c r="D1010" s="2" t="s">
        <v>1432</v>
      </c>
      <c r="E1010" s="12">
        <v>61</v>
      </c>
      <c r="F1010" s="12">
        <v>67</v>
      </c>
      <c r="G1010" s="12">
        <v>68</v>
      </c>
      <c r="H1010" s="2" t="s">
        <v>37</v>
      </c>
      <c r="I1010" s="2" t="s">
        <v>435</v>
      </c>
      <c r="J1010" s="4" t="s">
        <v>105</v>
      </c>
      <c r="M1010" s="2">
        <f t="shared" si="76"/>
        <v>105</v>
      </c>
      <c r="N1010" s="2">
        <f t="shared" si="77"/>
        <v>62.9</v>
      </c>
      <c r="O1010" s="2">
        <f>IF(M1010="","",IF(M1010&gt;=1000,95,IF(M1010&lt;=12.5,50,LOOKUP(M1010,{12.5,15,20,30,45,60,75,105,115,150,200,225,250,600,1000},{50,55,60,62,65,68,70,72,75,80,82,85,87,90,95})+(M1010-LOOKUP(M1010,{12.5,15,20,30,45,60,75,105,115,150,200,225,250,600},{12.5,15,20,30,45,60,75,105,115,150,200,225,250,600}))/(LOOKUP(M1010,{12.5,15,20,30,45,60,75,105,115,150,200,225,250,600,1000},{15,20,30,45,60,75,105,115,150,200,225,250,600,1000,1000})-LOOKUP(M1010,{12.5,15,20,30,45,60,75,105,115,150,200,225,250,600},{12.5,15,20,30,45,60,75,105,115,150,200,225,250,600}))*(LOOKUP(M1010,{12.5,15,20,30,45,60,75,105,115,150,200,225,250,600,1000},{55,60,62,65,68,70,72,75,80,82,85,87,90,95,95})-LOOKUP(M1010,{12.5,15,20,30,45,60,75,105,115,150,200,225,250,600,1000},{50,55,60,62,65,68,70,72,75,80,82,85,87,90,95})))))</f>
        <v>72</v>
      </c>
      <c r="P1010" s="2">
        <f t="shared" si="78"/>
        <v>-11</v>
      </c>
      <c r="Q1010" s="2">
        <f t="shared" si="79"/>
        <v>-5.33</v>
      </c>
    </row>
    <row r="1011" customHeight="1" spans="1:17">
      <c r="B1011" s="2">
        <v>1010</v>
      </c>
      <c r="C1011" s="3">
        <f t="shared" si="80"/>
        <v>57.56</v>
      </c>
      <c r="D1011" s="2" t="s">
        <v>1433</v>
      </c>
      <c r="E1011" s="12">
        <v>65</v>
      </c>
      <c r="F1011" s="12">
        <v>64</v>
      </c>
      <c r="G1011" s="12">
        <v>66</v>
      </c>
      <c r="H1011" s="2" t="s">
        <v>743</v>
      </c>
      <c r="I1011" s="2" t="s">
        <v>1434</v>
      </c>
      <c r="J1011" s="4" t="s">
        <v>51</v>
      </c>
      <c r="M1011" s="2">
        <f t="shared" si="76"/>
        <v>200</v>
      </c>
      <c r="N1011" s="2">
        <f t="shared" si="77"/>
        <v>64.9</v>
      </c>
      <c r="O1011" s="2">
        <f>IF(M1011="","",IF(M1011&gt;=1000,95,IF(M1011&lt;=12.5,50,LOOKUP(M1011,{12.5,15,20,30,45,60,75,105,115,150,200,225,250,600,1000},{50,55,60,62,65,68,70,72,75,80,82,85,87,90,95})+(M1011-LOOKUP(M1011,{12.5,15,20,30,45,60,75,105,115,150,200,225,250,600},{12.5,15,20,30,45,60,75,105,115,150,200,225,250,600}))/(LOOKUP(M1011,{12.5,15,20,30,45,60,75,105,115,150,200,225,250,600,1000},{15,20,30,45,60,75,105,115,150,200,225,250,600,1000,1000})-LOOKUP(M1011,{12.5,15,20,30,45,60,75,105,115,150,200,225,250,600},{12.5,15,20,30,45,60,75,105,115,150,200,225,250,600}))*(LOOKUP(M1011,{12.5,15,20,30,45,60,75,105,115,150,200,225,250,600,1000},{55,60,62,65,68,70,72,75,80,82,85,87,90,95,95})-LOOKUP(M1011,{12.5,15,20,30,45,60,75,105,115,150,200,225,250,600,1000},{50,55,60,62,65,68,70,72,75,80,82,85,87,90,95})))))</f>
        <v>82</v>
      </c>
      <c r="P1011" s="2">
        <f t="shared" si="78"/>
        <v>-17</v>
      </c>
      <c r="Q1011" s="2">
        <f t="shared" si="79"/>
        <v>-7.34</v>
      </c>
    </row>
    <row r="1012" customHeight="1" spans="1:17">
      <c r="A1012" s="2">
        <v>2026</v>
      </c>
      <c r="B1012" s="2">
        <v>1011</v>
      </c>
      <c r="C1012" s="3">
        <f t="shared" si="80"/>
        <v>57.4</v>
      </c>
      <c r="D1012" s="2" t="s">
        <v>1435</v>
      </c>
      <c r="E1012" s="12">
        <v>61</v>
      </c>
      <c r="F1012" s="2">
        <v>52</v>
      </c>
      <c r="G1012" s="2">
        <v>38</v>
      </c>
      <c r="H1012" s="2" t="s">
        <v>62</v>
      </c>
      <c r="I1012" s="2" t="s">
        <v>28</v>
      </c>
      <c r="J1012" s="4" t="s">
        <v>140</v>
      </c>
      <c r="M1012" s="2">
        <f t="shared" si="76"/>
        <v>20</v>
      </c>
      <c r="N1012" s="2">
        <f t="shared" si="77"/>
        <v>56.9</v>
      </c>
      <c r="O1012" s="2">
        <f>IF(M1012="","",IF(M1012&gt;=1000,95,IF(M1012&lt;=12.5,50,LOOKUP(M1012,{12.5,15,20,30,45,60,75,105,115,150,200,225,250,600,1000},{50,55,60,62,65,68,70,72,75,80,82,85,87,90,95})+(M1012-LOOKUP(M1012,{12.5,15,20,30,45,60,75,105,115,150,200,225,250,600},{12.5,15,20,30,45,60,75,105,115,150,200,225,250,600}))/(LOOKUP(M1012,{12.5,15,20,30,45,60,75,105,115,150,200,225,250,600,1000},{15,20,30,45,60,75,105,115,150,200,225,250,600,1000,1000})-LOOKUP(M1012,{12.5,15,20,30,45,60,75,105,115,150,200,225,250,600},{12.5,15,20,30,45,60,75,105,115,150,200,225,250,600}))*(LOOKUP(M1012,{12.5,15,20,30,45,60,75,105,115,150,200,225,250,600,1000},{55,60,62,65,68,70,72,75,80,82,85,87,90,95,95})-LOOKUP(M1012,{12.5,15,20,30,45,60,75,105,115,150,200,225,250,600,1000},{50,55,60,62,65,68,70,72,75,80,82,85,87,90,95})))))</f>
        <v>60</v>
      </c>
      <c r="P1012" s="2">
        <f t="shared" si="78"/>
        <v>1</v>
      </c>
      <c r="Q1012" s="2">
        <f t="shared" si="79"/>
        <v>0.5</v>
      </c>
    </row>
    <row r="1013" customHeight="1" spans="1:17">
      <c r="B1013" s="2">
        <v>1012</v>
      </c>
      <c r="C1013" s="3">
        <f t="shared" si="80"/>
        <v>57.4</v>
      </c>
      <c r="D1013" s="2" t="s">
        <v>1436</v>
      </c>
      <c r="E1013" s="2">
        <v>59</v>
      </c>
      <c r="F1013" s="9">
        <v>77</v>
      </c>
      <c r="G1013" s="9">
        <v>77</v>
      </c>
      <c r="H1013" s="2" t="s">
        <v>37</v>
      </c>
      <c r="I1013" s="2" t="s">
        <v>18</v>
      </c>
      <c r="J1013" s="4" t="s">
        <v>148</v>
      </c>
      <c r="M1013" s="2">
        <f t="shared" si="76"/>
        <v>115</v>
      </c>
      <c r="N1013" s="2">
        <f t="shared" si="77"/>
        <v>64.4</v>
      </c>
      <c r="O1013" s="2">
        <f>IF(M1013="","",IF(M1013&gt;=1000,95,IF(M1013&lt;=12.5,50,LOOKUP(M1013,{12.5,15,20,30,45,60,75,105,115,150,200,225,250,600,1000},{50,55,60,62,65,68,70,72,75,80,82,85,87,90,95})+(M1013-LOOKUP(M1013,{12.5,15,20,30,45,60,75,105,115,150,200,225,250,600},{12.5,15,20,30,45,60,75,105,115,150,200,225,250,600}))/(LOOKUP(M1013,{12.5,15,20,30,45,60,75,105,115,150,200,225,250,600,1000},{15,20,30,45,60,75,105,115,150,200,225,250,600,1000,1000})-LOOKUP(M1013,{12.5,15,20,30,45,60,75,105,115,150,200,225,250,600},{12.5,15,20,30,45,60,75,105,115,150,200,225,250,600}))*(LOOKUP(M1013,{12.5,15,20,30,45,60,75,105,115,150,200,225,250,600,1000},{55,60,62,65,68,70,72,75,80,82,85,87,90,95,95})-LOOKUP(M1013,{12.5,15,20,30,45,60,75,105,115,150,200,225,250,600,1000},{50,55,60,62,65,68,70,72,75,80,82,85,87,90,95})))))</f>
        <v>75</v>
      </c>
      <c r="P1013" s="2">
        <f t="shared" si="78"/>
        <v>-16</v>
      </c>
      <c r="Q1013" s="2">
        <f t="shared" si="79"/>
        <v>-7</v>
      </c>
    </row>
    <row r="1014" customHeight="1" spans="1:17">
      <c r="B1014" s="2">
        <v>1013</v>
      </c>
      <c r="C1014" s="3">
        <f t="shared" si="80"/>
        <v>57.4</v>
      </c>
      <c r="D1014" s="2" t="s">
        <v>1437</v>
      </c>
      <c r="E1014" s="12">
        <v>62</v>
      </c>
      <c r="F1014" s="10">
        <v>82</v>
      </c>
      <c r="G1014" s="9">
        <v>76</v>
      </c>
      <c r="H1014" s="2" t="s">
        <v>22</v>
      </c>
      <c r="I1014" s="2" t="s">
        <v>23</v>
      </c>
      <c r="J1014" s="4" t="s">
        <v>123</v>
      </c>
      <c r="M1014" s="2">
        <f t="shared" si="76"/>
        <v>250</v>
      </c>
      <c r="N1014" s="2">
        <f t="shared" si="77"/>
        <v>67.4</v>
      </c>
      <c r="O1014" s="2">
        <f>IF(M1014="","",IF(M1014&gt;=1000,95,IF(M1014&lt;=12.5,50,LOOKUP(M1014,{12.5,15,20,30,45,60,75,105,115,150,200,225,250,600,1000},{50,55,60,62,65,68,70,72,75,80,82,85,87,90,95})+(M1014-LOOKUP(M1014,{12.5,15,20,30,45,60,75,105,115,150,200,225,250,600},{12.5,15,20,30,45,60,75,105,115,150,200,225,250,600}))/(LOOKUP(M1014,{12.5,15,20,30,45,60,75,105,115,150,200,225,250,600,1000},{15,20,30,45,60,75,105,115,150,200,225,250,600,1000,1000})-LOOKUP(M1014,{12.5,15,20,30,45,60,75,105,115,150,200,225,250,600},{12.5,15,20,30,45,60,75,105,115,150,200,225,250,600}))*(LOOKUP(M1014,{12.5,15,20,30,45,60,75,105,115,150,200,225,250,600,1000},{55,60,62,65,68,70,72,75,80,82,85,87,90,95,95})-LOOKUP(M1014,{12.5,15,20,30,45,60,75,105,115,150,200,225,250,600,1000},{50,55,60,62,65,68,70,72,75,80,82,85,87,90,95})))))</f>
        <v>87</v>
      </c>
      <c r="P1014" s="2">
        <f t="shared" si="78"/>
        <v>-25</v>
      </c>
      <c r="Q1014" s="2">
        <f t="shared" si="79"/>
        <v>-10</v>
      </c>
    </row>
    <row r="1015" customHeight="1" spans="1:17">
      <c r="B1015" s="2">
        <v>1014</v>
      </c>
      <c r="C1015" s="3">
        <f t="shared" si="80"/>
        <v>57.4</v>
      </c>
      <c r="D1015" s="2" t="s">
        <v>1438</v>
      </c>
      <c r="E1015" s="12">
        <v>62</v>
      </c>
      <c r="F1015" s="2">
        <v>46</v>
      </c>
      <c r="G1015" s="2">
        <v>48</v>
      </c>
      <c r="H1015" s="2" t="s">
        <v>22</v>
      </c>
      <c r="I1015" s="2" t="s">
        <v>63</v>
      </c>
      <c r="J1015" s="4" t="s">
        <v>88</v>
      </c>
      <c r="M1015" s="2">
        <f t="shared" si="76"/>
        <v>30</v>
      </c>
      <c r="N1015" s="2">
        <f t="shared" si="77"/>
        <v>57.4</v>
      </c>
      <c r="O1015" s="2">
        <f>IF(M1015="","",IF(M1015&gt;=1000,95,IF(M1015&lt;=12.5,50,LOOKUP(M1015,{12.5,15,20,30,45,60,75,105,115,150,200,225,250,600,1000},{50,55,60,62,65,68,70,72,75,80,82,85,87,90,95})+(M1015-LOOKUP(M1015,{12.5,15,20,30,45,60,75,105,115,150,200,225,250,600},{12.5,15,20,30,45,60,75,105,115,150,200,225,250,600}))/(LOOKUP(M1015,{12.5,15,20,30,45,60,75,105,115,150,200,225,250,600,1000},{15,20,30,45,60,75,105,115,150,200,225,250,600,1000,1000})-LOOKUP(M1015,{12.5,15,20,30,45,60,75,105,115,150,200,225,250,600},{12.5,15,20,30,45,60,75,105,115,150,200,225,250,600}))*(LOOKUP(M1015,{12.5,15,20,30,45,60,75,105,115,150,200,225,250,600,1000},{55,60,62,65,68,70,72,75,80,82,85,87,90,95,95})-LOOKUP(M1015,{12.5,15,20,30,45,60,75,105,115,150,200,225,250,600,1000},{50,55,60,62,65,68,70,72,75,80,82,85,87,90,95})))))</f>
        <v>62</v>
      </c>
      <c r="P1015" s="2">
        <f t="shared" si="78"/>
        <v>0</v>
      </c>
      <c r="Q1015" s="2">
        <f t="shared" si="79"/>
        <v>0</v>
      </c>
    </row>
    <row r="1016" customHeight="1" spans="1:17">
      <c r="A1016" s="2">
        <v>2026</v>
      </c>
      <c r="B1016" s="2">
        <v>1015</v>
      </c>
      <c r="C1016" s="3">
        <f t="shared" si="80"/>
        <v>57.37</v>
      </c>
      <c r="D1016" s="2" t="s">
        <v>1439</v>
      </c>
      <c r="E1016" s="12">
        <v>61</v>
      </c>
      <c r="F1016" s="12">
        <v>64</v>
      </c>
      <c r="G1016" s="9">
        <v>72</v>
      </c>
      <c r="H1016" s="2" t="s">
        <v>54</v>
      </c>
      <c r="I1016" s="2" t="s">
        <v>1440</v>
      </c>
      <c r="J1016" s="4" t="s">
        <v>105</v>
      </c>
      <c r="M1016" s="2">
        <f t="shared" si="76"/>
        <v>105</v>
      </c>
      <c r="N1016" s="2">
        <f t="shared" si="77"/>
        <v>62.7</v>
      </c>
      <c r="O1016" s="2">
        <f>IF(M1016="","",IF(M1016&gt;=1000,95,IF(M1016&lt;=12.5,50,LOOKUP(M1016,{12.5,15,20,30,45,60,75,105,115,150,200,225,250,600,1000},{50,55,60,62,65,68,70,72,75,80,82,85,87,90,95})+(M1016-LOOKUP(M1016,{12.5,15,20,30,45,60,75,105,115,150,200,225,250,600},{12.5,15,20,30,45,60,75,105,115,150,200,225,250,600}))/(LOOKUP(M1016,{12.5,15,20,30,45,60,75,105,115,150,200,225,250,600,1000},{15,20,30,45,60,75,105,115,150,200,225,250,600,1000,1000})-LOOKUP(M1016,{12.5,15,20,30,45,60,75,105,115,150,200,225,250,600},{12.5,15,20,30,45,60,75,105,115,150,200,225,250,600}))*(LOOKUP(M1016,{12.5,15,20,30,45,60,75,105,115,150,200,225,250,600,1000},{55,60,62,65,68,70,72,75,80,82,85,87,90,95,95})-LOOKUP(M1016,{12.5,15,20,30,45,60,75,105,115,150,200,225,250,600,1000},{50,55,60,62,65,68,70,72,75,80,82,85,87,90,95})))))</f>
        <v>72</v>
      </c>
      <c r="P1016" s="2">
        <f t="shared" si="78"/>
        <v>-11</v>
      </c>
      <c r="Q1016" s="2">
        <f t="shared" si="79"/>
        <v>-5.33</v>
      </c>
    </row>
    <row r="1017" customHeight="1" spans="1:17">
      <c r="B1017" s="2">
        <v>1016</v>
      </c>
      <c r="C1017" s="3">
        <f t="shared" si="80"/>
        <v>57.36</v>
      </c>
      <c r="D1017" s="2" t="s">
        <v>1441</v>
      </c>
      <c r="E1017" s="12">
        <v>65</v>
      </c>
      <c r="F1017" s="12">
        <v>67</v>
      </c>
      <c r="G1017" s="12">
        <v>68</v>
      </c>
      <c r="H1017" s="2" t="s">
        <v>515</v>
      </c>
      <c r="I1017" s="2" t="s">
        <v>23</v>
      </c>
      <c r="J1017" s="4" t="s">
        <v>19</v>
      </c>
      <c r="M1017" s="2">
        <f t="shared" si="76"/>
        <v>225</v>
      </c>
      <c r="N1017" s="2">
        <f t="shared" si="77"/>
        <v>65.7</v>
      </c>
      <c r="O1017" s="2">
        <f>IF(M1017="","",IF(M1017&gt;=1000,95,IF(M1017&lt;=12.5,50,LOOKUP(M1017,{12.5,15,20,30,45,60,75,105,115,150,200,225,250,600,1000},{50,55,60,62,65,68,70,72,75,80,82,85,87,90,95})+(M1017-LOOKUP(M1017,{12.5,15,20,30,45,60,75,105,115,150,200,225,250,600},{12.5,15,20,30,45,60,75,105,115,150,200,225,250,600}))/(LOOKUP(M1017,{12.5,15,20,30,45,60,75,105,115,150,200,225,250,600,1000},{15,20,30,45,60,75,105,115,150,200,225,250,600,1000,1000})-LOOKUP(M1017,{12.5,15,20,30,45,60,75,105,115,150,200,225,250,600},{12.5,15,20,30,45,60,75,105,115,150,200,225,250,600}))*(LOOKUP(M1017,{12.5,15,20,30,45,60,75,105,115,150,200,225,250,600,1000},{55,60,62,65,68,70,72,75,80,82,85,87,90,95,95})-LOOKUP(M1017,{12.5,15,20,30,45,60,75,105,115,150,200,225,250,600,1000},{50,55,60,62,65,68,70,72,75,80,82,85,87,90,95})))))</f>
        <v>85</v>
      </c>
      <c r="P1017" s="2">
        <f t="shared" si="78"/>
        <v>-20</v>
      </c>
      <c r="Q1017" s="2">
        <f t="shared" si="79"/>
        <v>-8.34</v>
      </c>
    </row>
    <row r="1018" customHeight="1" spans="1:17">
      <c r="B1018" s="2">
        <v>1017</v>
      </c>
      <c r="C1018" s="3">
        <f t="shared" si="80"/>
        <v>57.3</v>
      </c>
      <c r="D1018" s="2" t="s">
        <v>1442</v>
      </c>
      <c r="E1018" s="12">
        <v>62</v>
      </c>
      <c r="F1018" s="12">
        <v>63</v>
      </c>
      <c r="G1018" s="12">
        <v>63</v>
      </c>
      <c r="H1018" s="2" t="s">
        <v>1113</v>
      </c>
      <c r="I1018" s="2" t="s">
        <v>23</v>
      </c>
      <c r="J1018" s="4" t="s">
        <v>105</v>
      </c>
      <c r="M1018" s="2">
        <f t="shared" si="76"/>
        <v>105</v>
      </c>
      <c r="N1018" s="2">
        <f t="shared" si="77"/>
        <v>62.3</v>
      </c>
      <c r="O1018" s="2">
        <f>IF(M1018="","",IF(M1018&gt;=1000,95,IF(M1018&lt;=12.5,50,LOOKUP(M1018,{12.5,15,20,30,45,60,75,105,115,150,200,225,250,600,1000},{50,55,60,62,65,68,70,72,75,80,82,85,87,90,95})+(M1018-LOOKUP(M1018,{12.5,15,20,30,45,60,75,105,115,150,200,225,250,600},{12.5,15,20,30,45,60,75,105,115,150,200,225,250,600}))/(LOOKUP(M1018,{12.5,15,20,30,45,60,75,105,115,150,200,225,250,600,1000},{15,20,30,45,60,75,105,115,150,200,225,250,600,1000,1000})-LOOKUP(M1018,{12.5,15,20,30,45,60,75,105,115,150,200,225,250,600},{12.5,15,20,30,45,60,75,105,115,150,200,225,250,600}))*(LOOKUP(M1018,{12.5,15,20,30,45,60,75,105,115,150,200,225,250,600,1000},{55,60,62,65,68,70,72,75,80,82,85,87,90,95,95})-LOOKUP(M1018,{12.5,15,20,30,45,60,75,105,115,150,200,225,250,600,1000},{50,55,60,62,65,68,70,72,75,80,82,85,87,90,95})))))</f>
        <v>72</v>
      </c>
      <c r="P1018" s="2">
        <f t="shared" si="78"/>
        <v>-10</v>
      </c>
      <c r="Q1018" s="2">
        <f t="shared" si="79"/>
        <v>-5</v>
      </c>
    </row>
    <row r="1019" customHeight="1" spans="1:17">
      <c r="B1019" s="2">
        <v>1018</v>
      </c>
      <c r="C1019" s="3">
        <f t="shared" si="80"/>
        <v>57.3</v>
      </c>
      <c r="D1019" s="2" t="s">
        <v>1443</v>
      </c>
      <c r="E1019" s="12">
        <v>61</v>
      </c>
      <c r="F1019" s="12">
        <v>64</v>
      </c>
      <c r="G1019" s="2">
        <v>53</v>
      </c>
      <c r="H1019" s="2" t="s">
        <v>300</v>
      </c>
      <c r="I1019" s="2" t="s">
        <v>33</v>
      </c>
      <c r="J1019" s="4" t="s">
        <v>34</v>
      </c>
      <c r="M1019" s="2">
        <f t="shared" si="76"/>
        <v>60</v>
      </c>
      <c r="N1019" s="2">
        <f t="shared" si="77"/>
        <v>60.8</v>
      </c>
      <c r="O1019" s="2">
        <f>IF(M1019="","",IF(M1019&gt;=1000,95,IF(M1019&lt;=12.5,50,LOOKUP(M1019,{12.5,15,20,30,45,60,75,105,115,150,200,225,250,600,1000},{50,55,60,62,65,68,70,72,75,80,82,85,87,90,95})+(M1019-LOOKUP(M1019,{12.5,15,20,30,45,60,75,105,115,150,200,225,250,600},{12.5,15,20,30,45,60,75,105,115,150,200,225,250,600}))/(LOOKUP(M1019,{12.5,15,20,30,45,60,75,105,115,150,200,225,250,600,1000},{15,20,30,45,60,75,105,115,150,200,225,250,600,1000,1000})-LOOKUP(M1019,{12.5,15,20,30,45,60,75,105,115,150,200,225,250,600},{12.5,15,20,30,45,60,75,105,115,150,200,225,250,600}))*(LOOKUP(M1019,{12.5,15,20,30,45,60,75,105,115,150,200,225,250,600,1000},{55,60,62,65,68,70,72,75,80,82,85,87,90,95,95})-LOOKUP(M1019,{12.5,15,20,30,45,60,75,105,115,150,200,225,250,600,1000},{50,55,60,62,65,68,70,72,75,80,82,85,87,90,95})))))</f>
        <v>68</v>
      </c>
      <c r="P1019" s="2">
        <f t="shared" si="78"/>
        <v>-7</v>
      </c>
      <c r="Q1019" s="2">
        <f t="shared" si="79"/>
        <v>-3.5</v>
      </c>
    </row>
    <row r="1020" customHeight="1" spans="1:17">
      <c r="A1020" s="2">
        <v>2026</v>
      </c>
      <c r="B1020" s="2">
        <v>1019</v>
      </c>
      <c r="C1020" s="3">
        <f t="shared" si="80"/>
        <v>57.3</v>
      </c>
      <c r="D1020" s="2" t="s">
        <v>1444</v>
      </c>
      <c r="E1020" s="12">
        <v>61</v>
      </c>
      <c r="F1020" s="2">
        <v>55</v>
      </c>
      <c r="G1020" s="2">
        <v>56</v>
      </c>
      <c r="H1020" s="2" t="s">
        <v>41</v>
      </c>
      <c r="I1020" s="2" t="s">
        <v>63</v>
      </c>
      <c r="J1020" s="4" t="s">
        <v>38</v>
      </c>
      <c r="M1020" s="2">
        <f t="shared" si="76"/>
        <v>45</v>
      </c>
      <c r="N1020" s="2">
        <f t="shared" si="77"/>
        <v>59.3</v>
      </c>
      <c r="O1020" s="2">
        <f>IF(M1020="","",IF(M1020&gt;=1000,95,IF(M1020&lt;=12.5,50,LOOKUP(M1020,{12.5,15,20,30,45,60,75,105,115,150,200,225,250,600,1000},{50,55,60,62,65,68,70,72,75,80,82,85,87,90,95})+(M1020-LOOKUP(M1020,{12.5,15,20,30,45,60,75,105,115,150,200,225,250,600},{12.5,15,20,30,45,60,75,105,115,150,200,225,250,600}))/(LOOKUP(M1020,{12.5,15,20,30,45,60,75,105,115,150,200,225,250,600,1000},{15,20,30,45,60,75,105,115,150,200,225,250,600,1000,1000})-LOOKUP(M1020,{12.5,15,20,30,45,60,75,105,115,150,200,225,250,600},{12.5,15,20,30,45,60,75,105,115,150,200,225,250,600}))*(LOOKUP(M1020,{12.5,15,20,30,45,60,75,105,115,150,200,225,250,600,1000},{55,60,62,65,68,70,72,75,80,82,85,87,90,95,95})-LOOKUP(M1020,{12.5,15,20,30,45,60,75,105,115,150,200,225,250,600,1000},{50,55,60,62,65,68,70,72,75,80,82,85,87,90,95})))))</f>
        <v>65</v>
      </c>
      <c r="P1020" s="2">
        <f t="shared" si="78"/>
        <v>-4</v>
      </c>
      <c r="Q1020" s="2">
        <f t="shared" si="79"/>
        <v>-2</v>
      </c>
    </row>
    <row r="1021" customHeight="1" spans="1:17">
      <c r="A1021" s="2">
        <v>2026</v>
      </c>
      <c r="B1021" s="2">
        <v>1020</v>
      </c>
      <c r="C1021" s="3">
        <f t="shared" si="80"/>
        <v>57.1</v>
      </c>
      <c r="D1021" s="2" t="s">
        <v>1445</v>
      </c>
      <c r="E1021" s="12">
        <v>63</v>
      </c>
      <c r="F1021" s="2">
        <v>56</v>
      </c>
      <c r="G1021" s="12">
        <v>63</v>
      </c>
      <c r="H1021" s="2" t="s">
        <v>41</v>
      </c>
      <c r="I1021" s="2" t="s">
        <v>33</v>
      </c>
      <c r="J1021" s="4" t="s">
        <v>105</v>
      </c>
      <c r="M1021" s="2">
        <f t="shared" si="76"/>
        <v>105</v>
      </c>
      <c r="N1021" s="2">
        <f t="shared" si="77"/>
        <v>61.6</v>
      </c>
      <c r="O1021" s="2">
        <f>IF(M1021="","",IF(M1021&gt;=1000,95,IF(M1021&lt;=12.5,50,LOOKUP(M1021,{12.5,15,20,30,45,60,75,105,115,150,200,225,250,600,1000},{50,55,60,62,65,68,70,72,75,80,82,85,87,90,95})+(M1021-LOOKUP(M1021,{12.5,15,20,30,45,60,75,105,115,150,200,225,250,600},{12.5,15,20,30,45,60,75,105,115,150,200,225,250,600}))/(LOOKUP(M1021,{12.5,15,20,30,45,60,75,105,115,150,200,225,250,600,1000},{15,20,30,45,60,75,105,115,150,200,225,250,600,1000,1000})-LOOKUP(M1021,{12.5,15,20,30,45,60,75,105,115,150,200,225,250,600},{12.5,15,20,30,45,60,75,105,115,150,200,225,250,600}))*(LOOKUP(M1021,{12.5,15,20,30,45,60,75,105,115,150,200,225,250,600,1000},{55,60,62,65,68,70,72,75,80,82,85,87,90,95,95})-LOOKUP(M1021,{12.5,15,20,30,45,60,75,105,115,150,200,225,250,600,1000},{50,55,60,62,65,68,70,72,75,80,82,85,87,90,95})))))</f>
        <v>72</v>
      </c>
      <c r="P1021" s="2">
        <f t="shared" si="78"/>
        <v>-9</v>
      </c>
      <c r="Q1021" s="2">
        <f t="shared" si="79"/>
        <v>-4.5</v>
      </c>
    </row>
    <row r="1022" customHeight="1" spans="1:17">
      <c r="B1022" s="2">
        <v>1021</v>
      </c>
      <c r="C1022" s="3">
        <f t="shared" si="80"/>
        <v>57.1</v>
      </c>
      <c r="D1022" s="2" t="s">
        <v>1446</v>
      </c>
      <c r="E1022" s="12">
        <v>68</v>
      </c>
      <c r="F1022" s="12">
        <v>60</v>
      </c>
      <c r="G1022" s="12">
        <v>65</v>
      </c>
      <c r="H1022" s="2" t="s">
        <v>347</v>
      </c>
      <c r="I1022" s="2" t="s">
        <v>577</v>
      </c>
      <c r="J1022" s="4" t="s">
        <v>73</v>
      </c>
      <c r="M1022" s="2">
        <f t="shared" si="76"/>
        <v>600</v>
      </c>
      <c r="N1022" s="2">
        <f t="shared" si="77"/>
        <v>66.1</v>
      </c>
      <c r="O1022" s="2">
        <f>IF(M1022="","",IF(M1022&gt;=1000,95,IF(M1022&lt;=12.5,50,LOOKUP(M1022,{12.5,15,20,30,45,60,75,105,115,150,200,225,250,600,1000},{50,55,60,62,65,68,70,72,75,80,82,85,87,90,95})+(M1022-LOOKUP(M1022,{12.5,15,20,30,45,60,75,105,115,150,200,225,250,600},{12.5,15,20,30,45,60,75,105,115,150,200,225,250,600}))/(LOOKUP(M1022,{12.5,15,20,30,45,60,75,105,115,150,200,225,250,600,1000},{15,20,30,45,60,75,105,115,150,200,225,250,600,1000,1000})-LOOKUP(M1022,{12.5,15,20,30,45,60,75,105,115,150,200,225,250,600},{12.5,15,20,30,45,60,75,105,115,150,200,225,250,600}))*(LOOKUP(M1022,{12.5,15,20,30,45,60,75,105,115,150,200,225,250,600,1000},{55,60,62,65,68,70,72,75,80,82,85,87,90,95,95})-LOOKUP(M1022,{12.5,15,20,30,45,60,75,105,115,150,200,225,250,600,1000},{50,55,60,62,65,68,70,72,75,80,82,85,87,90,95})))))</f>
        <v>90</v>
      </c>
      <c r="P1022" s="2">
        <f t="shared" si="78"/>
        <v>-22</v>
      </c>
      <c r="Q1022" s="2">
        <f t="shared" si="79"/>
        <v>-9</v>
      </c>
    </row>
    <row r="1023" customHeight="1" spans="1:17">
      <c r="A1023" s="2">
        <v>2026</v>
      </c>
      <c r="B1023" s="2">
        <v>1022</v>
      </c>
      <c r="C1023" s="3">
        <f t="shared" si="80"/>
        <v>57.1</v>
      </c>
      <c r="D1023" s="2" t="s">
        <v>1447</v>
      </c>
      <c r="E1023" s="12">
        <v>60</v>
      </c>
      <c r="F1023" s="2">
        <v>55</v>
      </c>
      <c r="G1023" s="2">
        <v>51</v>
      </c>
      <c r="H1023" s="2" t="s">
        <v>41</v>
      </c>
      <c r="I1023" s="2" t="s">
        <v>63</v>
      </c>
      <c r="J1023" s="4" t="s">
        <v>88</v>
      </c>
      <c r="M1023" s="2">
        <f t="shared" si="76"/>
        <v>30</v>
      </c>
      <c r="N1023" s="2">
        <f t="shared" si="77"/>
        <v>58.1</v>
      </c>
      <c r="O1023" s="2">
        <f>IF(M1023="","",IF(M1023&gt;=1000,95,IF(M1023&lt;=12.5,50,LOOKUP(M1023,{12.5,15,20,30,45,60,75,105,115,150,200,225,250,600,1000},{50,55,60,62,65,68,70,72,75,80,82,85,87,90,95})+(M1023-LOOKUP(M1023,{12.5,15,20,30,45,60,75,105,115,150,200,225,250,600},{12.5,15,20,30,45,60,75,105,115,150,200,225,250,600}))/(LOOKUP(M1023,{12.5,15,20,30,45,60,75,105,115,150,200,225,250,600,1000},{15,20,30,45,60,75,105,115,150,200,225,250,600,1000,1000})-LOOKUP(M1023,{12.5,15,20,30,45,60,75,105,115,150,200,225,250,600},{12.5,15,20,30,45,60,75,105,115,150,200,225,250,600}))*(LOOKUP(M1023,{12.5,15,20,30,45,60,75,105,115,150,200,225,250,600,1000},{55,60,62,65,68,70,72,75,80,82,85,87,90,95,95})-LOOKUP(M1023,{12.5,15,20,30,45,60,75,105,115,150,200,225,250,600,1000},{50,55,60,62,65,68,70,72,75,80,82,85,87,90,95})))))</f>
        <v>62</v>
      </c>
      <c r="P1023" s="2">
        <f t="shared" si="78"/>
        <v>-2</v>
      </c>
      <c r="Q1023" s="2">
        <f t="shared" si="79"/>
        <v>-1</v>
      </c>
    </row>
    <row r="1024" customHeight="1" spans="1:17">
      <c r="B1024" s="2">
        <v>1023</v>
      </c>
      <c r="C1024" s="3">
        <f t="shared" si="80"/>
        <v>57.1</v>
      </c>
      <c r="D1024" s="2" t="s">
        <v>1448</v>
      </c>
      <c r="E1024" s="12">
        <v>66</v>
      </c>
      <c r="F1024" s="12">
        <v>61</v>
      </c>
      <c r="G1024" s="2">
        <v>32</v>
      </c>
      <c r="H1024" s="2" t="s">
        <v>743</v>
      </c>
      <c r="I1024" s="2" t="s">
        <v>932</v>
      </c>
      <c r="J1024" s="4" t="s">
        <v>148</v>
      </c>
      <c r="M1024" s="2">
        <f t="shared" si="76"/>
        <v>115</v>
      </c>
      <c r="N1024" s="2">
        <f t="shared" si="77"/>
        <v>61.6</v>
      </c>
      <c r="O1024" s="2">
        <f>IF(M1024="","",IF(M1024&gt;=1000,95,IF(M1024&lt;=12.5,50,LOOKUP(M1024,{12.5,15,20,30,45,60,75,105,115,150,200,225,250,600,1000},{50,55,60,62,65,68,70,72,75,80,82,85,87,90,95})+(M1024-LOOKUP(M1024,{12.5,15,20,30,45,60,75,105,115,150,200,225,250,600},{12.5,15,20,30,45,60,75,105,115,150,200,225,250,600}))/(LOOKUP(M1024,{12.5,15,20,30,45,60,75,105,115,150,200,225,250,600,1000},{15,20,30,45,60,75,105,115,150,200,225,250,600,1000,1000})-LOOKUP(M1024,{12.5,15,20,30,45,60,75,105,115,150,200,225,250,600},{12.5,15,20,30,45,60,75,105,115,150,200,225,250,600}))*(LOOKUP(M1024,{12.5,15,20,30,45,60,75,105,115,150,200,225,250,600,1000},{55,60,62,65,68,70,72,75,80,82,85,87,90,95,95})-LOOKUP(M1024,{12.5,15,20,30,45,60,75,105,115,150,200,225,250,600,1000},{50,55,60,62,65,68,70,72,75,80,82,85,87,90,95})))))</f>
        <v>75</v>
      </c>
      <c r="P1024" s="2">
        <f t="shared" si="78"/>
        <v>-9</v>
      </c>
      <c r="Q1024" s="2">
        <f t="shared" si="79"/>
        <v>-4.5</v>
      </c>
    </row>
    <row r="1025" customHeight="1" spans="1:17">
      <c r="B1025" s="2">
        <v>1024</v>
      </c>
      <c r="C1025" s="3">
        <f t="shared" si="80"/>
        <v>57.03</v>
      </c>
      <c r="D1025" s="2" t="s">
        <v>1449</v>
      </c>
      <c r="E1025" s="12">
        <v>63</v>
      </c>
      <c r="F1025" s="9">
        <v>79</v>
      </c>
      <c r="G1025" s="9">
        <v>78</v>
      </c>
      <c r="H1025" s="2" t="s">
        <v>91</v>
      </c>
      <c r="I1025" s="2" t="s">
        <v>305</v>
      </c>
      <c r="J1025" s="4" t="s">
        <v>73</v>
      </c>
      <c r="M1025" s="2">
        <f t="shared" si="76"/>
        <v>600</v>
      </c>
      <c r="N1025" s="2">
        <f t="shared" si="77"/>
        <v>67.7</v>
      </c>
      <c r="O1025" s="2">
        <f>IF(M1025="","",IF(M1025&gt;=1000,95,IF(M1025&lt;=12.5,50,LOOKUP(M1025,{12.5,15,20,30,45,60,75,105,115,150,200,225,250,600,1000},{50,55,60,62,65,68,70,72,75,80,82,85,87,90,95})+(M1025-LOOKUP(M1025,{12.5,15,20,30,45,60,75,105,115,150,200,225,250,600},{12.5,15,20,30,45,60,75,105,115,150,200,225,250,600}))/(LOOKUP(M1025,{12.5,15,20,30,45,60,75,105,115,150,200,225,250,600,1000},{15,20,30,45,60,75,105,115,150,200,225,250,600,1000,1000})-LOOKUP(M1025,{12.5,15,20,30,45,60,75,105,115,150,200,225,250,600},{12.5,15,20,30,45,60,75,105,115,150,200,225,250,600}))*(LOOKUP(M1025,{12.5,15,20,30,45,60,75,105,115,150,200,225,250,600,1000},{55,60,62,65,68,70,72,75,80,82,85,87,90,95,95})-LOOKUP(M1025,{12.5,15,20,30,45,60,75,105,115,150,200,225,250,600,1000},{50,55,60,62,65,68,70,72,75,80,82,85,87,90,95})))))</f>
        <v>90</v>
      </c>
      <c r="P1025" s="2">
        <f t="shared" si="78"/>
        <v>-27</v>
      </c>
      <c r="Q1025" s="2">
        <f t="shared" si="79"/>
        <v>-10.67</v>
      </c>
    </row>
    <row r="1026" customHeight="1" spans="1:17">
      <c r="A1026" s="2">
        <v>2026</v>
      </c>
      <c r="B1026" s="2">
        <v>1025</v>
      </c>
      <c r="C1026" s="3">
        <f t="shared" si="80"/>
        <v>57</v>
      </c>
      <c r="D1026" s="2" t="s">
        <v>1450</v>
      </c>
      <c r="E1026" s="12">
        <v>60</v>
      </c>
      <c r="F1026" s="12">
        <v>66</v>
      </c>
      <c r="G1026" s="12">
        <v>68</v>
      </c>
      <c r="H1026" s="2" t="s">
        <v>54</v>
      </c>
      <c r="I1026" s="2" t="s">
        <v>229</v>
      </c>
      <c r="J1026" s="4" t="s">
        <v>24</v>
      </c>
      <c r="M1026" s="2">
        <f t="shared" ref="M1026:M1089" si="81">IF(J1026="1000+",1000,(LEFT(J1026,FIND("-",J1026)-1)+RIGHT(J1026,LEN(J1026)-FIND("-",J1026)))/2)</f>
        <v>75</v>
      </c>
      <c r="N1026" s="2">
        <f t="shared" ref="N1026:N1089" si="82">ROUND(E1026*0.7+F1026*0.2+G1026*0.1,2)</f>
        <v>62</v>
      </c>
      <c r="O1026" s="2">
        <f>IF(M1026="","",IF(M1026&gt;=1000,95,IF(M1026&lt;=12.5,50,LOOKUP(M1026,{12.5,15,20,30,45,60,75,105,115,150,200,225,250,600,1000},{50,55,60,62,65,68,70,72,75,80,82,85,87,90,95})+(M1026-LOOKUP(M1026,{12.5,15,20,30,45,60,75,105,115,150,200,225,250,600},{12.5,15,20,30,45,60,75,105,115,150,200,225,250,600}))/(LOOKUP(M1026,{12.5,15,20,30,45,60,75,105,115,150,200,225,250,600,1000},{15,20,30,45,60,75,105,115,150,200,225,250,600,1000,1000})-LOOKUP(M1026,{12.5,15,20,30,45,60,75,105,115,150,200,225,250,600},{12.5,15,20,30,45,60,75,105,115,150,200,225,250,600}))*(LOOKUP(M1026,{12.5,15,20,30,45,60,75,105,115,150,200,225,250,600,1000},{55,60,62,65,68,70,72,75,80,82,85,87,90,95,95})-LOOKUP(M1026,{12.5,15,20,30,45,60,75,105,115,150,200,225,250,600,1000},{50,55,60,62,65,68,70,72,75,80,82,85,87,90,95})))))</f>
        <v>70</v>
      </c>
      <c r="P1026" s="2">
        <f t="shared" si="78"/>
        <v>-10</v>
      </c>
      <c r="Q1026" s="2">
        <f t="shared" si="79"/>
        <v>-5</v>
      </c>
    </row>
    <row r="1027" customHeight="1" spans="1:17">
      <c r="A1027" s="2">
        <v>2026</v>
      </c>
      <c r="B1027" s="2">
        <v>1026</v>
      </c>
      <c r="C1027" s="3">
        <f t="shared" si="80"/>
        <v>57</v>
      </c>
      <c r="D1027" s="2" t="s">
        <v>1451</v>
      </c>
      <c r="E1027" s="12">
        <v>60</v>
      </c>
      <c r="F1027" s="2">
        <v>55</v>
      </c>
      <c r="G1027" s="2">
        <v>40</v>
      </c>
      <c r="H1027" s="2" t="s">
        <v>41</v>
      </c>
      <c r="I1027" s="2" t="s">
        <v>28</v>
      </c>
      <c r="J1027" s="4" t="s">
        <v>140</v>
      </c>
      <c r="M1027" s="2">
        <f t="shared" si="81"/>
        <v>20</v>
      </c>
      <c r="N1027" s="2">
        <f t="shared" si="82"/>
        <v>57</v>
      </c>
      <c r="O1027" s="2">
        <f>IF(M1027="","",IF(M1027&gt;=1000,95,IF(M1027&lt;=12.5,50,LOOKUP(M1027,{12.5,15,20,30,45,60,75,105,115,150,200,225,250,600,1000},{50,55,60,62,65,68,70,72,75,80,82,85,87,90,95})+(M1027-LOOKUP(M1027,{12.5,15,20,30,45,60,75,105,115,150,200,225,250,600},{12.5,15,20,30,45,60,75,105,115,150,200,225,250,600}))/(LOOKUP(M1027,{12.5,15,20,30,45,60,75,105,115,150,200,225,250,600,1000},{15,20,30,45,60,75,105,115,150,200,225,250,600,1000,1000})-LOOKUP(M1027,{12.5,15,20,30,45,60,75,105,115,150,200,225,250,600},{12.5,15,20,30,45,60,75,105,115,150,200,225,250,600}))*(LOOKUP(M1027,{12.5,15,20,30,45,60,75,105,115,150,200,225,250,600,1000},{55,60,62,65,68,70,72,75,80,82,85,87,90,95,95})-LOOKUP(M1027,{12.5,15,20,30,45,60,75,105,115,150,200,225,250,600,1000},{50,55,60,62,65,68,70,72,75,80,82,85,87,90,95})))))</f>
        <v>60</v>
      </c>
      <c r="P1027" s="2">
        <f t="shared" si="78"/>
        <v>0</v>
      </c>
      <c r="Q1027" s="2">
        <f t="shared" si="79"/>
        <v>0</v>
      </c>
    </row>
    <row r="1028" customHeight="1" spans="1:17">
      <c r="B1028" s="2">
        <v>1027</v>
      </c>
      <c r="C1028" s="3">
        <f t="shared" si="80"/>
        <v>57</v>
      </c>
      <c r="D1028" s="2" t="s">
        <v>1452</v>
      </c>
      <c r="E1028" s="12">
        <v>60</v>
      </c>
      <c r="F1028" s="2">
        <v>54</v>
      </c>
      <c r="G1028" s="2">
        <v>52</v>
      </c>
      <c r="H1028" s="2" t="s">
        <v>41</v>
      </c>
      <c r="I1028" s="2" t="s">
        <v>63</v>
      </c>
      <c r="J1028" s="4" t="s">
        <v>88</v>
      </c>
      <c r="M1028" s="2">
        <f t="shared" si="81"/>
        <v>30</v>
      </c>
      <c r="N1028" s="2">
        <f t="shared" si="82"/>
        <v>58</v>
      </c>
      <c r="O1028" s="2">
        <f>IF(M1028="","",IF(M1028&gt;=1000,95,IF(M1028&lt;=12.5,50,LOOKUP(M1028,{12.5,15,20,30,45,60,75,105,115,150,200,225,250,600,1000},{50,55,60,62,65,68,70,72,75,80,82,85,87,90,95})+(M1028-LOOKUP(M1028,{12.5,15,20,30,45,60,75,105,115,150,200,225,250,600},{12.5,15,20,30,45,60,75,105,115,150,200,225,250,600}))/(LOOKUP(M1028,{12.5,15,20,30,45,60,75,105,115,150,200,225,250,600,1000},{15,20,30,45,60,75,105,115,150,200,225,250,600,1000,1000})-LOOKUP(M1028,{12.5,15,20,30,45,60,75,105,115,150,200,225,250,600},{12.5,15,20,30,45,60,75,105,115,150,200,225,250,600}))*(LOOKUP(M1028,{12.5,15,20,30,45,60,75,105,115,150,200,225,250,600,1000},{55,60,62,65,68,70,72,75,80,82,85,87,90,95,95})-LOOKUP(M1028,{12.5,15,20,30,45,60,75,105,115,150,200,225,250,600,1000},{50,55,60,62,65,68,70,72,75,80,82,85,87,90,95})))))</f>
        <v>62</v>
      </c>
      <c r="P1028" s="2">
        <f t="shared" si="78"/>
        <v>-2</v>
      </c>
      <c r="Q1028" s="2">
        <f t="shared" si="79"/>
        <v>-1</v>
      </c>
    </row>
    <row r="1029" customHeight="1" spans="1:17">
      <c r="A1029" s="2">
        <v>2026</v>
      </c>
      <c r="B1029" s="2">
        <v>1028</v>
      </c>
      <c r="C1029" s="3">
        <f t="shared" si="80"/>
        <v>57</v>
      </c>
      <c r="D1029" s="2" t="s">
        <v>1453</v>
      </c>
      <c r="E1029" s="12">
        <v>60</v>
      </c>
      <c r="F1029" s="12">
        <v>65</v>
      </c>
      <c r="G1029" s="12">
        <v>60</v>
      </c>
      <c r="H1029" s="2" t="s">
        <v>54</v>
      </c>
      <c r="I1029" s="2" t="s">
        <v>63</v>
      </c>
      <c r="J1029" s="4" t="s">
        <v>34</v>
      </c>
      <c r="M1029" s="2">
        <f t="shared" si="81"/>
        <v>60</v>
      </c>
      <c r="N1029" s="2">
        <f t="shared" si="82"/>
        <v>61</v>
      </c>
      <c r="O1029" s="2">
        <f>IF(M1029="","",IF(M1029&gt;=1000,95,IF(M1029&lt;=12.5,50,LOOKUP(M1029,{12.5,15,20,30,45,60,75,105,115,150,200,225,250,600,1000},{50,55,60,62,65,68,70,72,75,80,82,85,87,90,95})+(M1029-LOOKUP(M1029,{12.5,15,20,30,45,60,75,105,115,150,200,225,250,600},{12.5,15,20,30,45,60,75,105,115,150,200,225,250,600}))/(LOOKUP(M1029,{12.5,15,20,30,45,60,75,105,115,150,200,225,250,600,1000},{15,20,30,45,60,75,105,115,150,200,225,250,600,1000,1000})-LOOKUP(M1029,{12.5,15,20,30,45,60,75,105,115,150,200,225,250,600},{12.5,15,20,30,45,60,75,105,115,150,200,225,250,600}))*(LOOKUP(M1029,{12.5,15,20,30,45,60,75,105,115,150,200,225,250,600,1000},{55,60,62,65,68,70,72,75,80,82,85,87,90,95,95})-LOOKUP(M1029,{12.5,15,20,30,45,60,75,105,115,150,200,225,250,600,1000},{50,55,60,62,65,68,70,72,75,80,82,85,87,90,95})))))</f>
        <v>68</v>
      </c>
      <c r="P1029" s="2">
        <f t="shared" si="78"/>
        <v>-8</v>
      </c>
      <c r="Q1029" s="2">
        <f t="shared" si="79"/>
        <v>-4</v>
      </c>
    </row>
    <row r="1030" customHeight="1" spans="1:17">
      <c r="B1030" s="2">
        <v>1029</v>
      </c>
      <c r="C1030" s="3">
        <f t="shared" si="80"/>
        <v>56.96</v>
      </c>
      <c r="D1030" s="2" t="s">
        <v>1454</v>
      </c>
      <c r="E1030" s="12">
        <v>61</v>
      </c>
      <c r="F1030" s="12">
        <v>67</v>
      </c>
      <c r="G1030" s="9">
        <v>72</v>
      </c>
      <c r="H1030" s="2" t="s">
        <v>37</v>
      </c>
      <c r="I1030" s="2" t="s">
        <v>435</v>
      </c>
      <c r="J1030" s="4" t="s">
        <v>148</v>
      </c>
      <c r="M1030" s="2">
        <f t="shared" si="81"/>
        <v>115</v>
      </c>
      <c r="N1030" s="2">
        <f t="shared" si="82"/>
        <v>63.3</v>
      </c>
      <c r="O1030" s="2">
        <f>IF(M1030="","",IF(M1030&gt;=1000,95,IF(M1030&lt;=12.5,50,LOOKUP(M1030,{12.5,15,20,30,45,60,75,105,115,150,200,225,250,600,1000},{50,55,60,62,65,68,70,72,75,80,82,85,87,90,95})+(M1030-LOOKUP(M1030,{12.5,15,20,30,45,60,75,105,115,150,200,225,250,600},{12.5,15,20,30,45,60,75,105,115,150,200,225,250,600}))/(LOOKUP(M1030,{12.5,15,20,30,45,60,75,105,115,150,200,225,250,600,1000},{15,20,30,45,60,75,105,115,150,200,225,250,600,1000,1000})-LOOKUP(M1030,{12.5,15,20,30,45,60,75,105,115,150,200,225,250,600},{12.5,15,20,30,45,60,75,105,115,150,200,225,250,600}))*(LOOKUP(M1030,{12.5,15,20,30,45,60,75,105,115,150,200,225,250,600,1000},{55,60,62,65,68,70,72,75,80,82,85,87,90,95,95})-LOOKUP(M1030,{12.5,15,20,30,45,60,75,105,115,150,200,225,250,600,1000},{50,55,60,62,65,68,70,72,75,80,82,85,87,90,95})))))</f>
        <v>75</v>
      </c>
      <c r="P1030" s="2">
        <f t="shared" ref="P1030:P1093" si="83">E1030-O1030</f>
        <v>-14</v>
      </c>
      <c r="Q1030" s="2">
        <f t="shared" ref="Q1030:Q1093" si="84">ROUND(SIGN(P1030)*IF(ABS(P1030)&lt;=10,ABS(P1030)*0.5,IF(ABS(P1030)&lt;=15,5+(ABS(P1030)-10)*(1.67/5),6.67+(ABS(P1030)-15)*0.333)),2)</f>
        <v>-6.34</v>
      </c>
    </row>
    <row r="1031" customHeight="1" spans="1:17">
      <c r="B1031" s="2">
        <v>1030</v>
      </c>
      <c r="C1031" s="3">
        <f t="shared" si="80"/>
        <v>56.9</v>
      </c>
      <c r="D1031" s="2" t="s">
        <v>1455</v>
      </c>
      <c r="E1031" s="2">
        <v>58</v>
      </c>
      <c r="F1031" s="2">
        <v>50</v>
      </c>
      <c r="G1031" s="2">
        <v>48</v>
      </c>
      <c r="H1031" s="2" t="s">
        <v>37</v>
      </c>
      <c r="I1031" s="2" t="s">
        <v>503</v>
      </c>
      <c r="J1031" s="4" t="s">
        <v>29</v>
      </c>
      <c r="M1031" s="2">
        <f t="shared" si="81"/>
        <v>15</v>
      </c>
      <c r="N1031" s="2">
        <f t="shared" si="82"/>
        <v>55.4</v>
      </c>
      <c r="O1031" s="2">
        <f>IF(M1031="","",IF(M1031&gt;=1000,95,IF(M1031&lt;=12.5,50,LOOKUP(M1031,{12.5,15,20,30,45,60,75,105,115,150,200,225,250,600,1000},{50,55,60,62,65,68,70,72,75,80,82,85,87,90,95})+(M1031-LOOKUP(M1031,{12.5,15,20,30,45,60,75,105,115,150,200,225,250,600},{12.5,15,20,30,45,60,75,105,115,150,200,225,250,600}))/(LOOKUP(M1031,{12.5,15,20,30,45,60,75,105,115,150,200,225,250,600,1000},{15,20,30,45,60,75,105,115,150,200,225,250,600,1000,1000})-LOOKUP(M1031,{12.5,15,20,30,45,60,75,105,115,150,200,225,250,600},{12.5,15,20,30,45,60,75,105,115,150,200,225,250,600}))*(LOOKUP(M1031,{12.5,15,20,30,45,60,75,105,115,150,200,225,250,600,1000},{55,60,62,65,68,70,72,75,80,82,85,87,90,95,95})-LOOKUP(M1031,{12.5,15,20,30,45,60,75,105,115,150,200,225,250,600,1000},{50,55,60,62,65,68,70,72,75,80,82,85,87,90,95})))))</f>
        <v>55</v>
      </c>
      <c r="P1031" s="2">
        <f t="shared" si="83"/>
        <v>3</v>
      </c>
      <c r="Q1031" s="2">
        <f t="shared" si="84"/>
        <v>1.5</v>
      </c>
    </row>
    <row r="1032" customHeight="1" spans="1:17">
      <c r="B1032" s="2">
        <v>1031</v>
      </c>
      <c r="C1032" s="3">
        <f t="shared" si="80"/>
        <v>56.9</v>
      </c>
      <c r="D1032" s="2" t="s">
        <v>1456</v>
      </c>
      <c r="E1032" s="2">
        <v>57</v>
      </c>
      <c r="F1032" s="2">
        <v>50</v>
      </c>
      <c r="G1032" s="2">
        <v>35</v>
      </c>
      <c r="H1032" s="2" t="s">
        <v>91</v>
      </c>
      <c r="I1032" s="2" t="s">
        <v>503</v>
      </c>
      <c r="J1032" s="4" t="s">
        <v>77</v>
      </c>
      <c r="M1032" s="2">
        <f t="shared" si="81"/>
        <v>12.5</v>
      </c>
      <c r="N1032" s="2">
        <f t="shared" si="82"/>
        <v>53.4</v>
      </c>
      <c r="O1032" s="2">
        <f>IF(M1032="","",IF(M1032&gt;=1000,95,IF(M1032&lt;=12.5,50,LOOKUP(M1032,{12.5,15,20,30,45,60,75,105,115,150,200,225,250,600,1000},{50,55,60,62,65,68,70,72,75,80,82,85,87,90,95})+(M1032-LOOKUP(M1032,{12.5,15,20,30,45,60,75,105,115,150,200,225,250,600},{12.5,15,20,30,45,60,75,105,115,150,200,225,250,600}))/(LOOKUP(M1032,{12.5,15,20,30,45,60,75,105,115,150,200,225,250,600,1000},{15,20,30,45,60,75,105,115,150,200,225,250,600,1000,1000})-LOOKUP(M1032,{12.5,15,20,30,45,60,75,105,115,150,200,225,250,600},{12.5,15,20,30,45,60,75,105,115,150,200,225,250,600}))*(LOOKUP(M1032,{12.5,15,20,30,45,60,75,105,115,150,200,225,250,600,1000},{55,60,62,65,68,70,72,75,80,82,85,87,90,95,95})-LOOKUP(M1032,{12.5,15,20,30,45,60,75,105,115,150,200,225,250,600,1000},{50,55,60,62,65,68,70,72,75,80,82,85,87,90,95})))))</f>
        <v>50</v>
      </c>
      <c r="P1032" s="2">
        <f t="shared" si="83"/>
        <v>7</v>
      </c>
      <c r="Q1032" s="2">
        <f t="shared" si="84"/>
        <v>3.5</v>
      </c>
    </row>
    <row r="1033" customHeight="1" spans="1:17">
      <c r="B1033" s="2">
        <v>1032</v>
      </c>
      <c r="C1033" s="3">
        <f t="shared" si="80"/>
        <v>56.8</v>
      </c>
      <c r="D1033" s="2" t="s">
        <v>1457</v>
      </c>
      <c r="E1033" s="12">
        <v>61</v>
      </c>
      <c r="F1033" s="2">
        <v>58</v>
      </c>
      <c r="G1033" s="9">
        <v>70</v>
      </c>
      <c r="H1033" s="2" t="s">
        <v>37</v>
      </c>
      <c r="I1033" s="2" t="s">
        <v>33</v>
      </c>
      <c r="J1033" s="4" t="s">
        <v>24</v>
      </c>
      <c r="M1033" s="2">
        <f t="shared" si="81"/>
        <v>75</v>
      </c>
      <c r="N1033" s="2">
        <f t="shared" si="82"/>
        <v>61.3</v>
      </c>
      <c r="O1033" s="2">
        <f>IF(M1033="","",IF(M1033&gt;=1000,95,IF(M1033&lt;=12.5,50,LOOKUP(M1033,{12.5,15,20,30,45,60,75,105,115,150,200,225,250,600,1000},{50,55,60,62,65,68,70,72,75,80,82,85,87,90,95})+(M1033-LOOKUP(M1033,{12.5,15,20,30,45,60,75,105,115,150,200,225,250,600},{12.5,15,20,30,45,60,75,105,115,150,200,225,250,600}))/(LOOKUP(M1033,{12.5,15,20,30,45,60,75,105,115,150,200,225,250,600,1000},{15,20,30,45,60,75,105,115,150,200,225,250,600,1000,1000})-LOOKUP(M1033,{12.5,15,20,30,45,60,75,105,115,150,200,225,250,600},{12.5,15,20,30,45,60,75,105,115,150,200,225,250,600}))*(LOOKUP(M1033,{12.5,15,20,30,45,60,75,105,115,150,200,225,250,600,1000},{55,60,62,65,68,70,72,75,80,82,85,87,90,95,95})-LOOKUP(M1033,{12.5,15,20,30,45,60,75,105,115,150,200,225,250,600,1000},{50,55,60,62,65,68,70,72,75,80,82,85,87,90,95})))))</f>
        <v>70</v>
      </c>
      <c r="P1033" s="2">
        <f t="shared" si="83"/>
        <v>-9</v>
      </c>
      <c r="Q1033" s="2">
        <f t="shared" si="84"/>
        <v>-4.5</v>
      </c>
    </row>
    <row r="1034" customHeight="1" spans="1:17">
      <c r="A1034" s="2">
        <v>2026</v>
      </c>
      <c r="B1034" s="2">
        <v>1033</v>
      </c>
      <c r="C1034" s="3">
        <f t="shared" si="80"/>
        <v>56.6</v>
      </c>
      <c r="D1034" s="2" t="s">
        <v>1458</v>
      </c>
      <c r="E1034" s="2">
        <v>58</v>
      </c>
      <c r="F1034" s="12">
        <v>64</v>
      </c>
      <c r="G1034" s="12">
        <v>67</v>
      </c>
      <c r="H1034" s="2" t="s">
        <v>412</v>
      </c>
      <c r="I1034" s="2" t="s">
        <v>104</v>
      </c>
      <c r="J1034" s="4" t="s">
        <v>38</v>
      </c>
      <c r="M1034" s="2">
        <f t="shared" si="81"/>
        <v>45</v>
      </c>
      <c r="N1034" s="2">
        <f t="shared" si="82"/>
        <v>60.1</v>
      </c>
      <c r="O1034" s="2">
        <f>IF(M1034="","",IF(M1034&gt;=1000,95,IF(M1034&lt;=12.5,50,LOOKUP(M1034,{12.5,15,20,30,45,60,75,105,115,150,200,225,250,600,1000},{50,55,60,62,65,68,70,72,75,80,82,85,87,90,95})+(M1034-LOOKUP(M1034,{12.5,15,20,30,45,60,75,105,115,150,200,225,250,600},{12.5,15,20,30,45,60,75,105,115,150,200,225,250,600}))/(LOOKUP(M1034,{12.5,15,20,30,45,60,75,105,115,150,200,225,250,600,1000},{15,20,30,45,60,75,105,115,150,200,225,250,600,1000,1000})-LOOKUP(M1034,{12.5,15,20,30,45,60,75,105,115,150,200,225,250,600},{12.5,15,20,30,45,60,75,105,115,150,200,225,250,600}))*(LOOKUP(M1034,{12.5,15,20,30,45,60,75,105,115,150,200,225,250,600,1000},{55,60,62,65,68,70,72,75,80,82,85,87,90,95,95})-LOOKUP(M1034,{12.5,15,20,30,45,60,75,105,115,150,200,225,250,600,1000},{50,55,60,62,65,68,70,72,75,80,82,85,87,90,95})))))</f>
        <v>65</v>
      </c>
      <c r="P1034" s="2">
        <f t="shared" si="83"/>
        <v>-7</v>
      </c>
      <c r="Q1034" s="2">
        <f t="shared" si="84"/>
        <v>-3.5</v>
      </c>
    </row>
    <row r="1035" customHeight="1" spans="1:17">
      <c r="B1035" s="2">
        <v>1034</v>
      </c>
      <c r="C1035" s="3">
        <f t="shared" si="80"/>
        <v>56.6</v>
      </c>
      <c r="D1035" s="2" t="s">
        <v>1459</v>
      </c>
      <c r="E1035" s="12">
        <v>63</v>
      </c>
      <c r="F1035" s="2">
        <v>55</v>
      </c>
      <c r="G1035" s="2">
        <v>50</v>
      </c>
      <c r="H1035" s="2" t="s">
        <v>367</v>
      </c>
      <c r="I1035" s="2" t="s">
        <v>33</v>
      </c>
      <c r="J1035" s="4" t="s">
        <v>24</v>
      </c>
      <c r="M1035" s="2">
        <f t="shared" si="81"/>
        <v>75</v>
      </c>
      <c r="N1035" s="2">
        <f t="shared" si="82"/>
        <v>60.1</v>
      </c>
      <c r="O1035" s="2">
        <f>IF(M1035="","",IF(M1035&gt;=1000,95,IF(M1035&lt;=12.5,50,LOOKUP(M1035,{12.5,15,20,30,45,60,75,105,115,150,200,225,250,600,1000},{50,55,60,62,65,68,70,72,75,80,82,85,87,90,95})+(M1035-LOOKUP(M1035,{12.5,15,20,30,45,60,75,105,115,150,200,225,250,600},{12.5,15,20,30,45,60,75,105,115,150,200,225,250,600}))/(LOOKUP(M1035,{12.5,15,20,30,45,60,75,105,115,150,200,225,250,600,1000},{15,20,30,45,60,75,105,115,150,200,225,250,600,1000,1000})-LOOKUP(M1035,{12.5,15,20,30,45,60,75,105,115,150,200,225,250,600},{12.5,15,20,30,45,60,75,105,115,150,200,225,250,600}))*(LOOKUP(M1035,{12.5,15,20,30,45,60,75,105,115,150,200,225,250,600,1000},{55,60,62,65,68,70,72,75,80,82,85,87,90,95,95})-LOOKUP(M1035,{12.5,15,20,30,45,60,75,105,115,150,200,225,250,600,1000},{50,55,60,62,65,68,70,72,75,80,82,85,87,90,95})))))</f>
        <v>70</v>
      </c>
      <c r="P1035" s="2">
        <f t="shared" si="83"/>
        <v>-7</v>
      </c>
      <c r="Q1035" s="2">
        <f t="shared" si="84"/>
        <v>-3.5</v>
      </c>
    </row>
    <row r="1036" customHeight="1" spans="1:17">
      <c r="B1036" s="2">
        <v>1035</v>
      </c>
      <c r="C1036" s="3">
        <f t="shared" si="80"/>
        <v>56.5</v>
      </c>
      <c r="D1036" s="2" t="s">
        <v>1460</v>
      </c>
      <c r="E1036" s="12">
        <v>62</v>
      </c>
      <c r="F1036" s="12">
        <v>60</v>
      </c>
      <c r="G1036" s="12">
        <v>61</v>
      </c>
      <c r="H1036" s="2" t="s">
        <v>829</v>
      </c>
      <c r="I1036" s="2" t="s">
        <v>72</v>
      </c>
      <c r="J1036" s="4" t="s">
        <v>105</v>
      </c>
      <c r="K1036" s="2" t="s">
        <v>1461</v>
      </c>
      <c r="M1036" s="2">
        <f t="shared" si="81"/>
        <v>105</v>
      </c>
      <c r="N1036" s="2">
        <f t="shared" si="82"/>
        <v>61.5</v>
      </c>
      <c r="O1036" s="2">
        <f>IF(M1036="","",IF(M1036&gt;=1000,95,IF(M1036&lt;=12.5,50,LOOKUP(M1036,{12.5,15,20,30,45,60,75,105,115,150,200,225,250,600,1000},{50,55,60,62,65,68,70,72,75,80,82,85,87,90,95})+(M1036-LOOKUP(M1036,{12.5,15,20,30,45,60,75,105,115,150,200,225,250,600},{12.5,15,20,30,45,60,75,105,115,150,200,225,250,600}))/(LOOKUP(M1036,{12.5,15,20,30,45,60,75,105,115,150,200,225,250,600,1000},{15,20,30,45,60,75,105,115,150,200,225,250,600,1000,1000})-LOOKUP(M1036,{12.5,15,20,30,45,60,75,105,115,150,200,225,250,600},{12.5,15,20,30,45,60,75,105,115,150,200,225,250,600}))*(LOOKUP(M1036,{12.5,15,20,30,45,60,75,105,115,150,200,225,250,600,1000},{55,60,62,65,68,70,72,75,80,82,85,87,90,95,95})-LOOKUP(M1036,{12.5,15,20,30,45,60,75,105,115,150,200,225,250,600,1000},{50,55,60,62,65,68,70,72,75,80,82,85,87,90,95})))))</f>
        <v>72</v>
      </c>
      <c r="P1036" s="2">
        <f t="shared" si="83"/>
        <v>-10</v>
      </c>
      <c r="Q1036" s="2">
        <f t="shared" si="84"/>
        <v>-5</v>
      </c>
    </row>
    <row r="1037" customHeight="1" spans="1:17">
      <c r="B1037" s="2">
        <v>1036</v>
      </c>
      <c r="C1037" s="3">
        <f t="shared" si="80"/>
        <v>56.5</v>
      </c>
      <c r="D1037" s="2" t="s">
        <v>1462</v>
      </c>
      <c r="E1037" s="2">
        <v>58</v>
      </c>
      <c r="F1037" s="2">
        <v>57</v>
      </c>
      <c r="G1037" s="2">
        <v>55</v>
      </c>
      <c r="H1037" s="2" t="s">
        <v>37</v>
      </c>
      <c r="I1037" s="2" t="s">
        <v>503</v>
      </c>
      <c r="J1037" s="4" t="s">
        <v>140</v>
      </c>
      <c r="M1037" s="2">
        <f t="shared" si="81"/>
        <v>20</v>
      </c>
      <c r="N1037" s="2">
        <f t="shared" si="82"/>
        <v>57.5</v>
      </c>
      <c r="O1037" s="2">
        <f>IF(M1037="","",IF(M1037&gt;=1000,95,IF(M1037&lt;=12.5,50,LOOKUP(M1037,{12.5,15,20,30,45,60,75,105,115,150,200,225,250,600,1000},{50,55,60,62,65,68,70,72,75,80,82,85,87,90,95})+(M1037-LOOKUP(M1037,{12.5,15,20,30,45,60,75,105,115,150,200,225,250,600},{12.5,15,20,30,45,60,75,105,115,150,200,225,250,600}))/(LOOKUP(M1037,{12.5,15,20,30,45,60,75,105,115,150,200,225,250,600,1000},{15,20,30,45,60,75,105,115,150,200,225,250,600,1000,1000})-LOOKUP(M1037,{12.5,15,20,30,45,60,75,105,115,150,200,225,250,600},{12.5,15,20,30,45,60,75,105,115,150,200,225,250,600}))*(LOOKUP(M1037,{12.5,15,20,30,45,60,75,105,115,150,200,225,250,600,1000},{55,60,62,65,68,70,72,75,80,82,85,87,90,95,95})-LOOKUP(M1037,{12.5,15,20,30,45,60,75,105,115,150,200,225,250,600,1000},{50,55,60,62,65,68,70,72,75,80,82,85,87,90,95})))))</f>
        <v>60</v>
      </c>
      <c r="P1037" s="2">
        <f t="shared" si="83"/>
        <v>-2</v>
      </c>
      <c r="Q1037" s="2">
        <f t="shared" si="84"/>
        <v>-1</v>
      </c>
    </row>
    <row r="1038" customHeight="1" spans="1:17">
      <c r="A1038" s="2">
        <v>2026</v>
      </c>
      <c r="B1038" s="2">
        <v>1037</v>
      </c>
      <c r="C1038" s="3">
        <f t="shared" si="80"/>
        <v>56.4</v>
      </c>
      <c r="D1038" s="2" t="s">
        <v>1463</v>
      </c>
      <c r="E1038" s="12">
        <v>61</v>
      </c>
      <c r="F1038" s="12">
        <v>62</v>
      </c>
      <c r="G1038" s="2">
        <v>58</v>
      </c>
      <c r="H1038" s="2" t="s">
        <v>54</v>
      </c>
      <c r="I1038" s="2" t="s">
        <v>104</v>
      </c>
      <c r="J1038" s="4" t="s">
        <v>24</v>
      </c>
      <c r="M1038" s="2">
        <f t="shared" si="81"/>
        <v>75</v>
      </c>
      <c r="N1038" s="2">
        <f t="shared" si="82"/>
        <v>60.9</v>
      </c>
      <c r="O1038" s="2">
        <f>IF(M1038="","",IF(M1038&gt;=1000,95,IF(M1038&lt;=12.5,50,LOOKUP(M1038,{12.5,15,20,30,45,60,75,105,115,150,200,225,250,600,1000},{50,55,60,62,65,68,70,72,75,80,82,85,87,90,95})+(M1038-LOOKUP(M1038,{12.5,15,20,30,45,60,75,105,115,150,200,225,250,600},{12.5,15,20,30,45,60,75,105,115,150,200,225,250,600}))/(LOOKUP(M1038,{12.5,15,20,30,45,60,75,105,115,150,200,225,250,600,1000},{15,20,30,45,60,75,105,115,150,200,225,250,600,1000,1000})-LOOKUP(M1038,{12.5,15,20,30,45,60,75,105,115,150,200,225,250,600},{12.5,15,20,30,45,60,75,105,115,150,200,225,250,600}))*(LOOKUP(M1038,{12.5,15,20,30,45,60,75,105,115,150,200,225,250,600,1000},{55,60,62,65,68,70,72,75,80,82,85,87,90,95,95})-LOOKUP(M1038,{12.5,15,20,30,45,60,75,105,115,150,200,225,250,600,1000},{50,55,60,62,65,68,70,72,75,80,82,85,87,90,95})))))</f>
        <v>70</v>
      </c>
      <c r="P1038" s="2">
        <f t="shared" si="83"/>
        <v>-9</v>
      </c>
      <c r="Q1038" s="2">
        <f t="shared" si="84"/>
        <v>-4.5</v>
      </c>
    </row>
    <row r="1039" customHeight="1" spans="1:17">
      <c r="A1039" s="2">
        <v>2026</v>
      </c>
      <c r="B1039" s="2">
        <v>1038</v>
      </c>
      <c r="C1039" s="3">
        <f t="shared" si="80"/>
        <v>56.4</v>
      </c>
      <c r="D1039" s="2" t="s">
        <v>1464</v>
      </c>
      <c r="E1039" s="2">
        <v>58</v>
      </c>
      <c r="F1039" s="2">
        <v>58</v>
      </c>
      <c r="G1039" s="2">
        <v>52</v>
      </c>
      <c r="H1039" s="2" t="s">
        <v>54</v>
      </c>
      <c r="I1039" s="2" t="s">
        <v>28</v>
      </c>
      <c r="J1039" s="4" t="s">
        <v>140</v>
      </c>
      <c r="M1039" s="2">
        <f t="shared" si="81"/>
        <v>20</v>
      </c>
      <c r="N1039" s="2">
        <f t="shared" si="82"/>
        <v>57.4</v>
      </c>
      <c r="O1039" s="2">
        <f>IF(M1039="","",IF(M1039&gt;=1000,95,IF(M1039&lt;=12.5,50,LOOKUP(M1039,{12.5,15,20,30,45,60,75,105,115,150,200,225,250,600,1000},{50,55,60,62,65,68,70,72,75,80,82,85,87,90,95})+(M1039-LOOKUP(M1039,{12.5,15,20,30,45,60,75,105,115,150,200,225,250,600},{12.5,15,20,30,45,60,75,105,115,150,200,225,250,600}))/(LOOKUP(M1039,{12.5,15,20,30,45,60,75,105,115,150,200,225,250,600,1000},{15,20,30,45,60,75,105,115,150,200,225,250,600,1000,1000})-LOOKUP(M1039,{12.5,15,20,30,45,60,75,105,115,150,200,225,250,600},{12.5,15,20,30,45,60,75,105,115,150,200,225,250,600}))*(LOOKUP(M1039,{12.5,15,20,30,45,60,75,105,115,150,200,225,250,600,1000},{55,60,62,65,68,70,72,75,80,82,85,87,90,95,95})-LOOKUP(M1039,{12.5,15,20,30,45,60,75,105,115,150,200,225,250,600,1000},{50,55,60,62,65,68,70,72,75,80,82,85,87,90,95})))))</f>
        <v>60</v>
      </c>
      <c r="P1039" s="2">
        <f t="shared" si="83"/>
        <v>-2</v>
      </c>
      <c r="Q1039" s="2">
        <f t="shared" si="84"/>
        <v>-1</v>
      </c>
    </row>
    <row r="1040" customHeight="1" spans="1:17">
      <c r="B1040" s="2">
        <v>1039</v>
      </c>
      <c r="C1040" s="3">
        <f t="shared" si="80"/>
        <v>56.4</v>
      </c>
      <c r="D1040" s="2" t="s">
        <v>1465</v>
      </c>
      <c r="E1040" s="12">
        <v>68</v>
      </c>
      <c r="F1040" s="12">
        <v>63</v>
      </c>
      <c r="G1040" s="2">
        <v>52</v>
      </c>
      <c r="H1040" s="2" t="s">
        <v>515</v>
      </c>
      <c r="I1040" s="2" t="s">
        <v>305</v>
      </c>
      <c r="J1040" s="4" t="s">
        <v>73</v>
      </c>
      <c r="M1040" s="2">
        <f t="shared" si="81"/>
        <v>600</v>
      </c>
      <c r="N1040" s="2">
        <f t="shared" si="82"/>
        <v>65.4</v>
      </c>
      <c r="O1040" s="2">
        <f>IF(M1040="","",IF(M1040&gt;=1000,95,IF(M1040&lt;=12.5,50,LOOKUP(M1040,{12.5,15,20,30,45,60,75,105,115,150,200,225,250,600,1000},{50,55,60,62,65,68,70,72,75,80,82,85,87,90,95})+(M1040-LOOKUP(M1040,{12.5,15,20,30,45,60,75,105,115,150,200,225,250,600},{12.5,15,20,30,45,60,75,105,115,150,200,225,250,600}))/(LOOKUP(M1040,{12.5,15,20,30,45,60,75,105,115,150,200,225,250,600,1000},{15,20,30,45,60,75,105,115,150,200,225,250,600,1000,1000})-LOOKUP(M1040,{12.5,15,20,30,45,60,75,105,115,150,200,225,250,600},{12.5,15,20,30,45,60,75,105,115,150,200,225,250,600}))*(LOOKUP(M1040,{12.5,15,20,30,45,60,75,105,115,150,200,225,250,600,1000},{55,60,62,65,68,70,72,75,80,82,85,87,90,95,95})-LOOKUP(M1040,{12.5,15,20,30,45,60,75,105,115,150,200,225,250,600,1000},{50,55,60,62,65,68,70,72,75,80,82,85,87,90,95})))))</f>
        <v>90</v>
      </c>
      <c r="P1040" s="2">
        <f t="shared" si="83"/>
        <v>-22</v>
      </c>
      <c r="Q1040" s="2">
        <f t="shared" si="84"/>
        <v>-9</v>
      </c>
    </row>
    <row r="1041" customHeight="1" spans="1:17">
      <c r="B1041" s="2">
        <v>1040</v>
      </c>
      <c r="C1041" s="3">
        <f t="shared" si="80"/>
        <v>56.4</v>
      </c>
      <c r="D1041" s="2" t="s">
        <v>1466</v>
      </c>
      <c r="E1041" s="12">
        <v>60</v>
      </c>
      <c r="F1041" s="2">
        <v>53</v>
      </c>
      <c r="G1041" s="2">
        <v>48</v>
      </c>
      <c r="H1041" s="2" t="s">
        <v>91</v>
      </c>
      <c r="I1041" s="2" t="s">
        <v>503</v>
      </c>
      <c r="J1041" s="4" t="s">
        <v>88</v>
      </c>
      <c r="M1041" s="2">
        <f t="shared" si="81"/>
        <v>30</v>
      </c>
      <c r="N1041" s="2">
        <f t="shared" si="82"/>
        <v>57.4</v>
      </c>
      <c r="O1041" s="2">
        <f>IF(M1041="","",IF(M1041&gt;=1000,95,IF(M1041&lt;=12.5,50,LOOKUP(M1041,{12.5,15,20,30,45,60,75,105,115,150,200,225,250,600,1000},{50,55,60,62,65,68,70,72,75,80,82,85,87,90,95})+(M1041-LOOKUP(M1041,{12.5,15,20,30,45,60,75,105,115,150,200,225,250,600},{12.5,15,20,30,45,60,75,105,115,150,200,225,250,600}))/(LOOKUP(M1041,{12.5,15,20,30,45,60,75,105,115,150,200,225,250,600,1000},{15,20,30,45,60,75,105,115,150,200,225,250,600,1000,1000})-LOOKUP(M1041,{12.5,15,20,30,45,60,75,105,115,150,200,225,250,600},{12.5,15,20,30,45,60,75,105,115,150,200,225,250,600}))*(LOOKUP(M1041,{12.5,15,20,30,45,60,75,105,115,150,200,225,250,600,1000},{55,60,62,65,68,70,72,75,80,82,85,87,90,95,95})-LOOKUP(M1041,{12.5,15,20,30,45,60,75,105,115,150,200,225,250,600,1000},{50,55,60,62,65,68,70,72,75,80,82,85,87,90,95})))))</f>
        <v>62</v>
      </c>
      <c r="P1041" s="2">
        <f t="shared" si="83"/>
        <v>-2</v>
      </c>
      <c r="Q1041" s="2">
        <f t="shared" si="84"/>
        <v>-1</v>
      </c>
    </row>
    <row r="1042" customHeight="1" spans="1:17">
      <c r="B1042" s="2">
        <v>1041</v>
      </c>
      <c r="C1042" s="3">
        <f t="shared" si="80"/>
        <v>56.4</v>
      </c>
      <c r="D1042" s="2" t="s">
        <v>1467</v>
      </c>
      <c r="E1042" s="12">
        <v>64</v>
      </c>
      <c r="F1042" s="2">
        <v>50</v>
      </c>
      <c r="G1042" s="2">
        <v>56</v>
      </c>
      <c r="H1042" s="2" t="s">
        <v>175</v>
      </c>
      <c r="I1042" s="2" t="s">
        <v>63</v>
      </c>
      <c r="J1042" s="4" t="s">
        <v>105</v>
      </c>
      <c r="M1042" s="2">
        <f t="shared" si="81"/>
        <v>105</v>
      </c>
      <c r="N1042" s="2">
        <f t="shared" si="82"/>
        <v>60.4</v>
      </c>
      <c r="O1042" s="2">
        <f>IF(M1042="","",IF(M1042&gt;=1000,95,IF(M1042&lt;=12.5,50,LOOKUP(M1042,{12.5,15,20,30,45,60,75,105,115,150,200,225,250,600,1000},{50,55,60,62,65,68,70,72,75,80,82,85,87,90,95})+(M1042-LOOKUP(M1042,{12.5,15,20,30,45,60,75,105,115,150,200,225,250,600},{12.5,15,20,30,45,60,75,105,115,150,200,225,250,600}))/(LOOKUP(M1042,{12.5,15,20,30,45,60,75,105,115,150,200,225,250,600,1000},{15,20,30,45,60,75,105,115,150,200,225,250,600,1000,1000})-LOOKUP(M1042,{12.5,15,20,30,45,60,75,105,115,150,200,225,250,600},{12.5,15,20,30,45,60,75,105,115,150,200,225,250,600}))*(LOOKUP(M1042,{12.5,15,20,30,45,60,75,105,115,150,200,225,250,600,1000},{55,60,62,65,68,70,72,75,80,82,85,87,90,95,95})-LOOKUP(M1042,{12.5,15,20,30,45,60,75,105,115,150,200,225,250,600,1000},{50,55,60,62,65,68,70,72,75,80,82,85,87,90,95})))))</f>
        <v>72</v>
      </c>
      <c r="P1042" s="2">
        <f t="shared" si="83"/>
        <v>-8</v>
      </c>
      <c r="Q1042" s="2">
        <f t="shared" si="84"/>
        <v>-4</v>
      </c>
    </row>
    <row r="1043" customHeight="1" spans="1:17">
      <c r="B1043" s="2">
        <v>1042</v>
      </c>
      <c r="C1043" s="3">
        <f t="shared" si="80"/>
        <v>56.3</v>
      </c>
      <c r="D1043" s="2" t="s">
        <v>1468</v>
      </c>
      <c r="E1043" s="12">
        <v>62</v>
      </c>
      <c r="F1043" s="2">
        <v>53</v>
      </c>
      <c r="G1043" s="2">
        <v>53</v>
      </c>
      <c r="H1043" s="2" t="s">
        <v>342</v>
      </c>
      <c r="I1043" s="2" t="s">
        <v>33</v>
      </c>
      <c r="J1043" s="4" t="s">
        <v>34</v>
      </c>
      <c r="M1043" s="2">
        <f t="shared" si="81"/>
        <v>60</v>
      </c>
      <c r="N1043" s="2">
        <f t="shared" si="82"/>
        <v>59.3</v>
      </c>
      <c r="O1043" s="2">
        <f>IF(M1043="","",IF(M1043&gt;=1000,95,IF(M1043&lt;=12.5,50,LOOKUP(M1043,{12.5,15,20,30,45,60,75,105,115,150,200,225,250,600,1000},{50,55,60,62,65,68,70,72,75,80,82,85,87,90,95})+(M1043-LOOKUP(M1043,{12.5,15,20,30,45,60,75,105,115,150,200,225,250,600},{12.5,15,20,30,45,60,75,105,115,150,200,225,250,600}))/(LOOKUP(M1043,{12.5,15,20,30,45,60,75,105,115,150,200,225,250,600,1000},{15,20,30,45,60,75,105,115,150,200,225,250,600,1000,1000})-LOOKUP(M1043,{12.5,15,20,30,45,60,75,105,115,150,200,225,250,600},{12.5,15,20,30,45,60,75,105,115,150,200,225,250,600}))*(LOOKUP(M1043,{12.5,15,20,30,45,60,75,105,115,150,200,225,250,600,1000},{55,60,62,65,68,70,72,75,80,82,85,87,90,95,95})-LOOKUP(M1043,{12.5,15,20,30,45,60,75,105,115,150,200,225,250,600,1000},{50,55,60,62,65,68,70,72,75,80,82,85,87,90,95})))))</f>
        <v>68</v>
      </c>
      <c r="P1043" s="2">
        <f t="shared" si="83"/>
        <v>-6</v>
      </c>
      <c r="Q1043" s="2">
        <f t="shared" si="84"/>
        <v>-3</v>
      </c>
    </row>
    <row r="1044" customHeight="1" spans="1:17">
      <c r="B1044" s="2">
        <v>1043</v>
      </c>
      <c r="C1044" s="3">
        <f t="shared" ref="C1044:C1107" si="85">ROUND(MAX(MIN(N1044+Q1044,100),0),2)</f>
        <v>56.23</v>
      </c>
      <c r="D1044" s="2" t="s">
        <v>1469</v>
      </c>
      <c r="E1044" s="12">
        <v>64</v>
      </c>
      <c r="F1044" s="12">
        <v>60</v>
      </c>
      <c r="G1044" s="10">
        <v>81</v>
      </c>
      <c r="H1044" s="2" t="s">
        <v>175</v>
      </c>
      <c r="I1044" s="2" t="s">
        <v>159</v>
      </c>
      <c r="J1044" s="4" t="s">
        <v>19</v>
      </c>
      <c r="M1044" s="2">
        <f t="shared" si="81"/>
        <v>225</v>
      </c>
      <c r="N1044" s="2">
        <f t="shared" si="82"/>
        <v>64.9</v>
      </c>
      <c r="O1044" s="2">
        <f>IF(M1044="","",IF(M1044&gt;=1000,95,IF(M1044&lt;=12.5,50,LOOKUP(M1044,{12.5,15,20,30,45,60,75,105,115,150,200,225,250,600,1000},{50,55,60,62,65,68,70,72,75,80,82,85,87,90,95})+(M1044-LOOKUP(M1044,{12.5,15,20,30,45,60,75,105,115,150,200,225,250,600},{12.5,15,20,30,45,60,75,105,115,150,200,225,250,600}))/(LOOKUP(M1044,{12.5,15,20,30,45,60,75,105,115,150,200,225,250,600,1000},{15,20,30,45,60,75,105,115,150,200,225,250,600,1000,1000})-LOOKUP(M1044,{12.5,15,20,30,45,60,75,105,115,150,200,225,250,600},{12.5,15,20,30,45,60,75,105,115,150,200,225,250,600}))*(LOOKUP(M1044,{12.5,15,20,30,45,60,75,105,115,150,200,225,250,600,1000},{55,60,62,65,68,70,72,75,80,82,85,87,90,95,95})-LOOKUP(M1044,{12.5,15,20,30,45,60,75,105,115,150,200,225,250,600,1000},{50,55,60,62,65,68,70,72,75,80,82,85,87,90,95})))))</f>
        <v>85</v>
      </c>
      <c r="P1044" s="2">
        <f t="shared" si="83"/>
        <v>-21</v>
      </c>
      <c r="Q1044" s="2">
        <f t="shared" si="84"/>
        <v>-8.67</v>
      </c>
    </row>
    <row r="1045" customHeight="1" spans="1:17">
      <c r="B1045" s="2">
        <v>1044</v>
      </c>
      <c r="C1045" s="3">
        <f t="shared" si="85"/>
        <v>56.16</v>
      </c>
      <c r="D1045" s="2" t="s">
        <v>1470</v>
      </c>
      <c r="E1045" s="12">
        <v>62</v>
      </c>
      <c r="F1045" s="12">
        <v>68</v>
      </c>
      <c r="G1045" s="9">
        <v>75</v>
      </c>
      <c r="H1045" s="2" t="s">
        <v>32</v>
      </c>
      <c r="I1045" s="2" t="s">
        <v>159</v>
      </c>
      <c r="J1045" s="4" t="s">
        <v>51</v>
      </c>
      <c r="M1045" s="2">
        <f t="shared" si="81"/>
        <v>200</v>
      </c>
      <c r="N1045" s="2">
        <f t="shared" si="82"/>
        <v>64.5</v>
      </c>
      <c r="O1045" s="2">
        <f>IF(M1045="","",IF(M1045&gt;=1000,95,IF(M1045&lt;=12.5,50,LOOKUP(M1045,{12.5,15,20,30,45,60,75,105,115,150,200,225,250,600,1000},{50,55,60,62,65,68,70,72,75,80,82,85,87,90,95})+(M1045-LOOKUP(M1045,{12.5,15,20,30,45,60,75,105,115,150,200,225,250,600},{12.5,15,20,30,45,60,75,105,115,150,200,225,250,600}))/(LOOKUP(M1045,{12.5,15,20,30,45,60,75,105,115,150,200,225,250,600,1000},{15,20,30,45,60,75,105,115,150,200,225,250,600,1000,1000})-LOOKUP(M1045,{12.5,15,20,30,45,60,75,105,115,150,200,225,250,600},{12.5,15,20,30,45,60,75,105,115,150,200,225,250,600}))*(LOOKUP(M1045,{12.5,15,20,30,45,60,75,105,115,150,200,225,250,600,1000},{55,60,62,65,68,70,72,75,80,82,85,87,90,95,95})-LOOKUP(M1045,{12.5,15,20,30,45,60,75,105,115,150,200,225,250,600,1000},{50,55,60,62,65,68,70,72,75,80,82,85,87,90,95})))))</f>
        <v>82</v>
      </c>
      <c r="P1045" s="2">
        <f t="shared" si="83"/>
        <v>-20</v>
      </c>
      <c r="Q1045" s="2">
        <f t="shared" si="84"/>
        <v>-8.34</v>
      </c>
    </row>
    <row r="1046" customHeight="1" spans="1:17">
      <c r="B1046" s="2">
        <v>1045</v>
      </c>
      <c r="C1046" s="3">
        <f t="shared" si="85"/>
        <v>56.16</v>
      </c>
      <c r="D1046" s="2" t="s">
        <v>1471</v>
      </c>
      <c r="E1046" s="12">
        <v>63</v>
      </c>
      <c r="F1046" s="12">
        <v>65</v>
      </c>
      <c r="G1046" s="12">
        <v>64</v>
      </c>
      <c r="H1046" s="2" t="s">
        <v>1344</v>
      </c>
      <c r="I1046" s="2" t="s">
        <v>1067</v>
      </c>
      <c r="J1046" s="4" t="s">
        <v>59</v>
      </c>
      <c r="M1046" s="2">
        <f t="shared" si="81"/>
        <v>150</v>
      </c>
      <c r="N1046" s="2">
        <f t="shared" si="82"/>
        <v>63.5</v>
      </c>
      <c r="O1046" s="2">
        <f>IF(M1046="","",IF(M1046&gt;=1000,95,IF(M1046&lt;=12.5,50,LOOKUP(M1046,{12.5,15,20,30,45,60,75,105,115,150,200,225,250,600,1000},{50,55,60,62,65,68,70,72,75,80,82,85,87,90,95})+(M1046-LOOKUP(M1046,{12.5,15,20,30,45,60,75,105,115,150,200,225,250,600},{12.5,15,20,30,45,60,75,105,115,150,200,225,250,600}))/(LOOKUP(M1046,{12.5,15,20,30,45,60,75,105,115,150,200,225,250,600,1000},{15,20,30,45,60,75,105,115,150,200,225,250,600,1000,1000})-LOOKUP(M1046,{12.5,15,20,30,45,60,75,105,115,150,200,225,250,600},{12.5,15,20,30,45,60,75,105,115,150,200,225,250,600}))*(LOOKUP(M1046,{12.5,15,20,30,45,60,75,105,115,150,200,225,250,600,1000},{55,60,62,65,68,70,72,75,80,82,85,87,90,95,95})-LOOKUP(M1046,{12.5,15,20,30,45,60,75,105,115,150,200,225,250,600,1000},{50,55,60,62,65,68,70,72,75,80,82,85,87,90,95})))))</f>
        <v>80</v>
      </c>
      <c r="P1046" s="2">
        <f t="shared" si="83"/>
        <v>-17</v>
      </c>
      <c r="Q1046" s="2">
        <f t="shared" si="84"/>
        <v>-7.34</v>
      </c>
    </row>
    <row r="1047" customHeight="1" spans="1:17">
      <c r="B1047" s="2">
        <v>1046</v>
      </c>
      <c r="C1047" s="3">
        <f t="shared" si="85"/>
        <v>56.13</v>
      </c>
      <c r="D1047" s="2" t="s">
        <v>1472</v>
      </c>
      <c r="E1047" s="12">
        <v>62</v>
      </c>
      <c r="F1047" s="12">
        <v>68</v>
      </c>
      <c r="G1047" s="12">
        <v>68</v>
      </c>
      <c r="H1047" s="2" t="s">
        <v>515</v>
      </c>
      <c r="I1047" s="2" t="s">
        <v>305</v>
      </c>
      <c r="J1047" s="4" t="s">
        <v>59</v>
      </c>
      <c r="M1047" s="2">
        <f t="shared" si="81"/>
        <v>150</v>
      </c>
      <c r="N1047" s="2">
        <f t="shared" si="82"/>
        <v>63.8</v>
      </c>
      <c r="O1047" s="2">
        <f>IF(M1047="","",IF(M1047&gt;=1000,95,IF(M1047&lt;=12.5,50,LOOKUP(M1047,{12.5,15,20,30,45,60,75,105,115,150,200,225,250,600,1000},{50,55,60,62,65,68,70,72,75,80,82,85,87,90,95})+(M1047-LOOKUP(M1047,{12.5,15,20,30,45,60,75,105,115,150,200,225,250,600},{12.5,15,20,30,45,60,75,105,115,150,200,225,250,600}))/(LOOKUP(M1047,{12.5,15,20,30,45,60,75,105,115,150,200,225,250,600,1000},{15,20,30,45,60,75,105,115,150,200,225,250,600,1000,1000})-LOOKUP(M1047,{12.5,15,20,30,45,60,75,105,115,150,200,225,250,600},{12.5,15,20,30,45,60,75,105,115,150,200,225,250,600}))*(LOOKUP(M1047,{12.5,15,20,30,45,60,75,105,115,150,200,225,250,600,1000},{55,60,62,65,68,70,72,75,80,82,85,87,90,95,95})-LOOKUP(M1047,{12.5,15,20,30,45,60,75,105,115,150,200,225,250,600,1000},{50,55,60,62,65,68,70,72,75,80,82,85,87,90,95})))))</f>
        <v>80</v>
      </c>
      <c r="P1047" s="2">
        <f t="shared" si="83"/>
        <v>-18</v>
      </c>
      <c r="Q1047" s="2">
        <f t="shared" si="84"/>
        <v>-7.67</v>
      </c>
    </row>
    <row r="1048" customHeight="1" spans="1:17">
      <c r="B1048" s="2">
        <v>1047</v>
      </c>
      <c r="C1048" s="3">
        <f t="shared" si="85"/>
        <v>56.1</v>
      </c>
      <c r="D1048" s="2" t="s">
        <v>1473</v>
      </c>
      <c r="E1048" s="12">
        <v>62</v>
      </c>
      <c r="F1048" s="12">
        <v>63</v>
      </c>
      <c r="G1048" s="12">
        <v>61</v>
      </c>
      <c r="H1048" s="2" t="s">
        <v>41</v>
      </c>
      <c r="I1048" s="2" t="s">
        <v>580</v>
      </c>
      <c r="J1048" s="4" t="s">
        <v>148</v>
      </c>
      <c r="M1048" s="2">
        <f t="shared" si="81"/>
        <v>115</v>
      </c>
      <c r="N1048" s="2">
        <f t="shared" si="82"/>
        <v>62.1</v>
      </c>
      <c r="O1048" s="2">
        <f>IF(M1048="","",IF(M1048&gt;=1000,95,IF(M1048&lt;=12.5,50,LOOKUP(M1048,{12.5,15,20,30,45,60,75,105,115,150,200,225,250,600,1000},{50,55,60,62,65,68,70,72,75,80,82,85,87,90,95})+(M1048-LOOKUP(M1048,{12.5,15,20,30,45,60,75,105,115,150,200,225,250,600},{12.5,15,20,30,45,60,75,105,115,150,200,225,250,600}))/(LOOKUP(M1048,{12.5,15,20,30,45,60,75,105,115,150,200,225,250,600,1000},{15,20,30,45,60,75,105,115,150,200,225,250,600,1000,1000})-LOOKUP(M1048,{12.5,15,20,30,45,60,75,105,115,150,200,225,250,600},{12.5,15,20,30,45,60,75,105,115,150,200,225,250,600}))*(LOOKUP(M1048,{12.5,15,20,30,45,60,75,105,115,150,200,225,250,600,1000},{55,60,62,65,68,70,72,75,80,82,85,87,90,95,95})-LOOKUP(M1048,{12.5,15,20,30,45,60,75,105,115,150,200,225,250,600,1000},{50,55,60,62,65,68,70,72,75,80,82,85,87,90,95})))))</f>
        <v>75</v>
      </c>
      <c r="P1048" s="2">
        <f t="shared" si="83"/>
        <v>-13</v>
      </c>
      <c r="Q1048" s="2">
        <f t="shared" si="84"/>
        <v>-6</v>
      </c>
    </row>
    <row r="1049" customHeight="1" spans="1:17">
      <c r="A1049" s="2">
        <v>2026</v>
      </c>
      <c r="B1049" s="2">
        <v>1048</v>
      </c>
      <c r="C1049" s="3">
        <f t="shared" si="85"/>
        <v>56.1</v>
      </c>
      <c r="D1049" s="2" t="s">
        <v>1474</v>
      </c>
      <c r="E1049" s="2">
        <v>59</v>
      </c>
      <c r="F1049" s="2">
        <v>59</v>
      </c>
      <c r="G1049" s="2">
        <v>35</v>
      </c>
      <c r="H1049" s="2" t="s">
        <v>54</v>
      </c>
      <c r="I1049" s="2" t="s">
        <v>28</v>
      </c>
      <c r="J1049" s="4" t="s">
        <v>140</v>
      </c>
      <c r="M1049" s="2">
        <f t="shared" si="81"/>
        <v>20</v>
      </c>
      <c r="N1049" s="2">
        <f t="shared" si="82"/>
        <v>56.6</v>
      </c>
      <c r="O1049" s="2">
        <f>IF(M1049="","",IF(M1049&gt;=1000,95,IF(M1049&lt;=12.5,50,LOOKUP(M1049,{12.5,15,20,30,45,60,75,105,115,150,200,225,250,600,1000},{50,55,60,62,65,68,70,72,75,80,82,85,87,90,95})+(M1049-LOOKUP(M1049,{12.5,15,20,30,45,60,75,105,115,150,200,225,250,600},{12.5,15,20,30,45,60,75,105,115,150,200,225,250,600}))/(LOOKUP(M1049,{12.5,15,20,30,45,60,75,105,115,150,200,225,250,600,1000},{15,20,30,45,60,75,105,115,150,200,225,250,600,1000,1000})-LOOKUP(M1049,{12.5,15,20,30,45,60,75,105,115,150,200,225,250,600},{12.5,15,20,30,45,60,75,105,115,150,200,225,250,600}))*(LOOKUP(M1049,{12.5,15,20,30,45,60,75,105,115,150,200,225,250,600,1000},{55,60,62,65,68,70,72,75,80,82,85,87,90,95,95})-LOOKUP(M1049,{12.5,15,20,30,45,60,75,105,115,150,200,225,250,600,1000},{50,55,60,62,65,68,70,72,75,80,82,85,87,90,95})))))</f>
        <v>60</v>
      </c>
      <c r="P1049" s="2">
        <f t="shared" si="83"/>
        <v>-1</v>
      </c>
      <c r="Q1049" s="2">
        <f t="shared" si="84"/>
        <v>-0.5</v>
      </c>
    </row>
    <row r="1050" customHeight="1" spans="1:17">
      <c r="B1050" s="2">
        <v>1049</v>
      </c>
      <c r="C1050" s="3">
        <f t="shared" si="85"/>
        <v>56.1</v>
      </c>
      <c r="D1050" s="2" t="s">
        <v>1475</v>
      </c>
      <c r="E1050" s="12">
        <v>62</v>
      </c>
      <c r="F1050" s="2">
        <v>50</v>
      </c>
      <c r="G1050" s="2">
        <v>42</v>
      </c>
      <c r="H1050" s="2" t="s">
        <v>339</v>
      </c>
      <c r="I1050" s="2" t="s">
        <v>63</v>
      </c>
      <c r="J1050" s="4" t="s">
        <v>38</v>
      </c>
      <c r="M1050" s="2">
        <f t="shared" si="81"/>
        <v>45</v>
      </c>
      <c r="N1050" s="2">
        <f t="shared" si="82"/>
        <v>57.6</v>
      </c>
      <c r="O1050" s="2">
        <f>IF(M1050="","",IF(M1050&gt;=1000,95,IF(M1050&lt;=12.5,50,LOOKUP(M1050,{12.5,15,20,30,45,60,75,105,115,150,200,225,250,600,1000},{50,55,60,62,65,68,70,72,75,80,82,85,87,90,95})+(M1050-LOOKUP(M1050,{12.5,15,20,30,45,60,75,105,115,150,200,225,250,600},{12.5,15,20,30,45,60,75,105,115,150,200,225,250,600}))/(LOOKUP(M1050,{12.5,15,20,30,45,60,75,105,115,150,200,225,250,600,1000},{15,20,30,45,60,75,105,115,150,200,225,250,600,1000,1000})-LOOKUP(M1050,{12.5,15,20,30,45,60,75,105,115,150,200,225,250,600},{12.5,15,20,30,45,60,75,105,115,150,200,225,250,600}))*(LOOKUP(M1050,{12.5,15,20,30,45,60,75,105,115,150,200,225,250,600,1000},{55,60,62,65,68,70,72,75,80,82,85,87,90,95,95})-LOOKUP(M1050,{12.5,15,20,30,45,60,75,105,115,150,200,225,250,600,1000},{50,55,60,62,65,68,70,72,75,80,82,85,87,90,95})))))</f>
        <v>65</v>
      </c>
      <c r="P1050" s="2">
        <f t="shared" si="83"/>
        <v>-3</v>
      </c>
      <c r="Q1050" s="2">
        <f t="shared" si="84"/>
        <v>-1.5</v>
      </c>
    </row>
    <row r="1051" customHeight="1" spans="1:17">
      <c r="B1051" s="2">
        <v>1050</v>
      </c>
      <c r="C1051" s="3">
        <f t="shared" si="85"/>
        <v>56.06</v>
      </c>
      <c r="D1051" s="2" t="s">
        <v>1476</v>
      </c>
      <c r="E1051" s="12">
        <v>63</v>
      </c>
      <c r="F1051" s="12">
        <v>65</v>
      </c>
      <c r="G1051" s="12">
        <v>63</v>
      </c>
      <c r="H1051" s="2" t="s">
        <v>175</v>
      </c>
      <c r="I1051" s="2" t="s">
        <v>1195</v>
      </c>
      <c r="J1051" s="4" t="s">
        <v>59</v>
      </c>
      <c r="K1051" s="2" t="s">
        <v>1477</v>
      </c>
      <c r="M1051" s="2">
        <f t="shared" si="81"/>
        <v>150</v>
      </c>
      <c r="N1051" s="2">
        <f t="shared" si="82"/>
        <v>63.4</v>
      </c>
      <c r="O1051" s="2">
        <f>IF(M1051="","",IF(M1051&gt;=1000,95,IF(M1051&lt;=12.5,50,LOOKUP(M1051,{12.5,15,20,30,45,60,75,105,115,150,200,225,250,600,1000},{50,55,60,62,65,68,70,72,75,80,82,85,87,90,95})+(M1051-LOOKUP(M1051,{12.5,15,20,30,45,60,75,105,115,150,200,225,250,600},{12.5,15,20,30,45,60,75,105,115,150,200,225,250,600}))/(LOOKUP(M1051,{12.5,15,20,30,45,60,75,105,115,150,200,225,250,600,1000},{15,20,30,45,60,75,105,115,150,200,225,250,600,1000,1000})-LOOKUP(M1051,{12.5,15,20,30,45,60,75,105,115,150,200,225,250,600},{12.5,15,20,30,45,60,75,105,115,150,200,225,250,600}))*(LOOKUP(M1051,{12.5,15,20,30,45,60,75,105,115,150,200,225,250,600,1000},{55,60,62,65,68,70,72,75,80,82,85,87,90,95,95})-LOOKUP(M1051,{12.5,15,20,30,45,60,75,105,115,150,200,225,250,600,1000},{50,55,60,62,65,68,70,72,75,80,82,85,87,90,95})))))</f>
        <v>80</v>
      </c>
      <c r="P1051" s="2">
        <f t="shared" si="83"/>
        <v>-17</v>
      </c>
      <c r="Q1051" s="2">
        <f t="shared" si="84"/>
        <v>-7.34</v>
      </c>
    </row>
    <row r="1052" customHeight="1" spans="1:17">
      <c r="B1052" s="2">
        <v>1051</v>
      </c>
      <c r="C1052" s="3">
        <f t="shared" si="85"/>
        <v>55.97</v>
      </c>
      <c r="D1052" s="2" t="s">
        <v>1478</v>
      </c>
      <c r="E1052" s="12">
        <v>64</v>
      </c>
      <c r="F1052" s="9">
        <v>70</v>
      </c>
      <c r="G1052" s="12">
        <v>65</v>
      </c>
      <c r="H1052" s="2" t="s">
        <v>175</v>
      </c>
      <c r="I1052" s="2" t="s">
        <v>1195</v>
      </c>
      <c r="J1052" s="4" t="s">
        <v>123</v>
      </c>
      <c r="M1052" s="2">
        <f t="shared" si="81"/>
        <v>250</v>
      </c>
      <c r="N1052" s="2">
        <f t="shared" si="82"/>
        <v>65.3</v>
      </c>
      <c r="O1052" s="2">
        <f>IF(M1052="","",IF(M1052&gt;=1000,95,IF(M1052&lt;=12.5,50,LOOKUP(M1052,{12.5,15,20,30,45,60,75,105,115,150,200,225,250,600,1000},{50,55,60,62,65,68,70,72,75,80,82,85,87,90,95})+(M1052-LOOKUP(M1052,{12.5,15,20,30,45,60,75,105,115,150,200,225,250,600},{12.5,15,20,30,45,60,75,105,115,150,200,225,250,600}))/(LOOKUP(M1052,{12.5,15,20,30,45,60,75,105,115,150,200,225,250,600,1000},{15,20,30,45,60,75,105,115,150,200,225,250,600,1000,1000})-LOOKUP(M1052,{12.5,15,20,30,45,60,75,105,115,150,200,225,250,600},{12.5,15,20,30,45,60,75,105,115,150,200,225,250,600}))*(LOOKUP(M1052,{12.5,15,20,30,45,60,75,105,115,150,200,225,250,600,1000},{55,60,62,65,68,70,72,75,80,82,85,87,90,95,95})-LOOKUP(M1052,{12.5,15,20,30,45,60,75,105,115,150,200,225,250,600,1000},{50,55,60,62,65,68,70,72,75,80,82,85,87,90,95})))))</f>
        <v>87</v>
      </c>
      <c r="P1052" s="2">
        <f t="shared" si="83"/>
        <v>-23</v>
      </c>
      <c r="Q1052" s="2">
        <f t="shared" si="84"/>
        <v>-9.33</v>
      </c>
    </row>
    <row r="1053" customHeight="1" spans="1:17">
      <c r="A1053" s="2">
        <v>2026</v>
      </c>
      <c r="B1053" s="2">
        <v>1052</v>
      </c>
      <c r="C1053" s="3">
        <f t="shared" si="85"/>
        <v>55.93</v>
      </c>
      <c r="D1053" s="2" t="s">
        <v>1479</v>
      </c>
      <c r="E1053" s="12">
        <v>64</v>
      </c>
      <c r="F1053" s="12">
        <v>63</v>
      </c>
      <c r="G1053" s="12">
        <v>62</v>
      </c>
      <c r="H1053" s="2" t="s">
        <v>54</v>
      </c>
      <c r="I1053" s="2" t="s">
        <v>58</v>
      </c>
      <c r="J1053" s="4" t="s">
        <v>51</v>
      </c>
      <c r="M1053" s="2">
        <f t="shared" si="81"/>
        <v>200</v>
      </c>
      <c r="N1053" s="2">
        <f t="shared" si="82"/>
        <v>63.6</v>
      </c>
      <c r="O1053" s="2">
        <f>IF(M1053="","",IF(M1053&gt;=1000,95,IF(M1053&lt;=12.5,50,LOOKUP(M1053,{12.5,15,20,30,45,60,75,105,115,150,200,225,250,600,1000},{50,55,60,62,65,68,70,72,75,80,82,85,87,90,95})+(M1053-LOOKUP(M1053,{12.5,15,20,30,45,60,75,105,115,150,200,225,250,600},{12.5,15,20,30,45,60,75,105,115,150,200,225,250,600}))/(LOOKUP(M1053,{12.5,15,20,30,45,60,75,105,115,150,200,225,250,600,1000},{15,20,30,45,60,75,105,115,150,200,225,250,600,1000,1000})-LOOKUP(M1053,{12.5,15,20,30,45,60,75,105,115,150,200,225,250,600},{12.5,15,20,30,45,60,75,105,115,150,200,225,250,600}))*(LOOKUP(M1053,{12.5,15,20,30,45,60,75,105,115,150,200,225,250,600,1000},{55,60,62,65,68,70,72,75,80,82,85,87,90,95,95})-LOOKUP(M1053,{12.5,15,20,30,45,60,75,105,115,150,200,225,250,600,1000},{50,55,60,62,65,68,70,72,75,80,82,85,87,90,95})))))</f>
        <v>82</v>
      </c>
      <c r="P1053" s="2">
        <f t="shared" si="83"/>
        <v>-18</v>
      </c>
      <c r="Q1053" s="2">
        <f t="shared" si="84"/>
        <v>-7.67</v>
      </c>
    </row>
    <row r="1054" customHeight="1" spans="1:17">
      <c r="A1054" s="2">
        <v>2026</v>
      </c>
      <c r="B1054" s="2">
        <v>1053</v>
      </c>
      <c r="C1054" s="3">
        <f t="shared" si="85"/>
        <v>55.9</v>
      </c>
      <c r="D1054" s="2" t="s">
        <v>1480</v>
      </c>
      <c r="E1054" s="12">
        <v>62</v>
      </c>
      <c r="F1054" s="2">
        <v>55</v>
      </c>
      <c r="G1054" s="2">
        <v>45</v>
      </c>
      <c r="H1054" s="2" t="s">
        <v>339</v>
      </c>
      <c r="I1054" s="2" t="s">
        <v>33</v>
      </c>
      <c r="J1054" s="4" t="s">
        <v>34</v>
      </c>
      <c r="M1054" s="2">
        <f t="shared" si="81"/>
        <v>60</v>
      </c>
      <c r="N1054" s="2">
        <f t="shared" si="82"/>
        <v>58.9</v>
      </c>
      <c r="O1054" s="2">
        <f>IF(M1054="","",IF(M1054&gt;=1000,95,IF(M1054&lt;=12.5,50,LOOKUP(M1054,{12.5,15,20,30,45,60,75,105,115,150,200,225,250,600,1000},{50,55,60,62,65,68,70,72,75,80,82,85,87,90,95})+(M1054-LOOKUP(M1054,{12.5,15,20,30,45,60,75,105,115,150,200,225,250,600},{12.5,15,20,30,45,60,75,105,115,150,200,225,250,600}))/(LOOKUP(M1054,{12.5,15,20,30,45,60,75,105,115,150,200,225,250,600,1000},{15,20,30,45,60,75,105,115,150,200,225,250,600,1000,1000})-LOOKUP(M1054,{12.5,15,20,30,45,60,75,105,115,150,200,225,250,600},{12.5,15,20,30,45,60,75,105,115,150,200,225,250,600}))*(LOOKUP(M1054,{12.5,15,20,30,45,60,75,105,115,150,200,225,250,600,1000},{55,60,62,65,68,70,72,75,80,82,85,87,90,95,95})-LOOKUP(M1054,{12.5,15,20,30,45,60,75,105,115,150,200,225,250,600,1000},{50,55,60,62,65,68,70,72,75,80,82,85,87,90,95})))))</f>
        <v>68</v>
      </c>
      <c r="P1054" s="2">
        <f t="shared" si="83"/>
        <v>-6</v>
      </c>
      <c r="Q1054" s="2">
        <f t="shared" si="84"/>
        <v>-3</v>
      </c>
    </row>
    <row r="1055" customHeight="1" spans="1:17">
      <c r="A1055" s="2">
        <v>2026</v>
      </c>
      <c r="B1055" s="2">
        <v>1054</v>
      </c>
      <c r="C1055" s="3">
        <f t="shared" si="85"/>
        <v>55.83</v>
      </c>
      <c r="D1055" s="2" t="s">
        <v>1481</v>
      </c>
      <c r="E1055" s="2">
        <v>57</v>
      </c>
      <c r="F1055" s="9">
        <v>77</v>
      </c>
      <c r="G1055" s="9">
        <v>72</v>
      </c>
      <c r="H1055" s="2" t="s">
        <v>108</v>
      </c>
      <c r="I1055" s="2" t="s">
        <v>239</v>
      </c>
      <c r="J1055" s="4" t="s">
        <v>105</v>
      </c>
      <c r="M1055" s="2">
        <f t="shared" si="81"/>
        <v>105</v>
      </c>
      <c r="N1055" s="2">
        <f t="shared" si="82"/>
        <v>62.5</v>
      </c>
      <c r="O1055" s="2">
        <f>IF(M1055="","",IF(M1055&gt;=1000,95,IF(M1055&lt;=12.5,50,LOOKUP(M1055,{12.5,15,20,30,45,60,75,105,115,150,200,225,250,600,1000},{50,55,60,62,65,68,70,72,75,80,82,85,87,90,95})+(M1055-LOOKUP(M1055,{12.5,15,20,30,45,60,75,105,115,150,200,225,250,600},{12.5,15,20,30,45,60,75,105,115,150,200,225,250,600}))/(LOOKUP(M1055,{12.5,15,20,30,45,60,75,105,115,150,200,225,250,600,1000},{15,20,30,45,60,75,105,115,150,200,225,250,600,1000,1000})-LOOKUP(M1055,{12.5,15,20,30,45,60,75,105,115,150,200,225,250,600},{12.5,15,20,30,45,60,75,105,115,150,200,225,250,600}))*(LOOKUP(M1055,{12.5,15,20,30,45,60,75,105,115,150,200,225,250,600,1000},{55,60,62,65,68,70,72,75,80,82,85,87,90,95,95})-LOOKUP(M1055,{12.5,15,20,30,45,60,75,105,115,150,200,225,250,600,1000},{50,55,60,62,65,68,70,72,75,80,82,85,87,90,95})))))</f>
        <v>72</v>
      </c>
      <c r="P1055" s="2">
        <f t="shared" si="83"/>
        <v>-15</v>
      </c>
      <c r="Q1055" s="2">
        <f t="shared" si="84"/>
        <v>-6.67</v>
      </c>
    </row>
    <row r="1056" customHeight="1" spans="1:17">
      <c r="A1056" s="2">
        <v>2026</v>
      </c>
      <c r="B1056" s="2">
        <v>1055</v>
      </c>
      <c r="C1056" s="3">
        <f t="shared" si="85"/>
        <v>55.8</v>
      </c>
      <c r="D1056" s="2" t="s">
        <v>1482</v>
      </c>
      <c r="E1056" s="2">
        <v>55</v>
      </c>
      <c r="F1056" s="12">
        <v>61</v>
      </c>
      <c r="G1056" s="2">
        <v>26</v>
      </c>
      <c r="H1056" s="2" t="s">
        <v>54</v>
      </c>
      <c r="I1056" s="2" t="s">
        <v>28</v>
      </c>
      <c r="J1056" s="4" t="s">
        <v>77</v>
      </c>
      <c r="M1056" s="2">
        <f t="shared" si="81"/>
        <v>12.5</v>
      </c>
      <c r="N1056" s="2">
        <f t="shared" si="82"/>
        <v>53.3</v>
      </c>
      <c r="O1056" s="2">
        <f>IF(M1056="","",IF(M1056&gt;=1000,95,IF(M1056&lt;=12.5,50,LOOKUP(M1056,{12.5,15,20,30,45,60,75,105,115,150,200,225,250,600,1000},{50,55,60,62,65,68,70,72,75,80,82,85,87,90,95})+(M1056-LOOKUP(M1056,{12.5,15,20,30,45,60,75,105,115,150,200,225,250,600},{12.5,15,20,30,45,60,75,105,115,150,200,225,250,600}))/(LOOKUP(M1056,{12.5,15,20,30,45,60,75,105,115,150,200,225,250,600,1000},{15,20,30,45,60,75,105,115,150,200,225,250,600,1000,1000})-LOOKUP(M1056,{12.5,15,20,30,45,60,75,105,115,150,200,225,250,600},{12.5,15,20,30,45,60,75,105,115,150,200,225,250,600}))*(LOOKUP(M1056,{12.5,15,20,30,45,60,75,105,115,150,200,225,250,600,1000},{55,60,62,65,68,70,72,75,80,82,85,87,90,95,95})-LOOKUP(M1056,{12.5,15,20,30,45,60,75,105,115,150,200,225,250,600,1000},{50,55,60,62,65,68,70,72,75,80,82,85,87,90,95})))))</f>
        <v>50</v>
      </c>
      <c r="P1056" s="2">
        <f t="shared" si="83"/>
        <v>5</v>
      </c>
      <c r="Q1056" s="2">
        <f t="shared" si="84"/>
        <v>2.5</v>
      </c>
    </row>
    <row r="1057" customHeight="1" spans="1:17">
      <c r="B1057" s="2">
        <v>1056</v>
      </c>
      <c r="C1057" s="3">
        <f t="shared" si="85"/>
        <v>55.8</v>
      </c>
      <c r="D1057" s="2" t="s">
        <v>1483</v>
      </c>
      <c r="E1057" s="2">
        <v>58</v>
      </c>
      <c r="F1057" s="12">
        <v>60</v>
      </c>
      <c r="G1057" s="2">
        <v>52</v>
      </c>
      <c r="H1057" s="2" t="s">
        <v>41</v>
      </c>
      <c r="I1057" s="2" t="s">
        <v>63</v>
      </c>
      <c r="J1057" s="4" t="s">
        <v>88</v>
      </c>
      <c r="M1057" s="2">
        <f t="shared" si="81"/>
        <v>30</v>
      </c>
      <c r="N1057" s="2">
        <f t="shared" si="82"/>
        <v>57.8</v>
      </c>
      <c r="O1057" s="2">
        <f>IF(M1057="","",IF(M1057&gt;=1000,95,IF(M1057&lt;=12.5,50,LOOKUP(M1057,{12.5,15,20,30,45,60,75,105,115,150,200,225,250,600,1000},{50,55,60,62,65,68,70,72,75,80,82,85,87,90,95})+(M1057-LOOKUP(M1057,{12.5,15,20,30,45,60,75,105,115,150,200,225,250,600},{12.5,15,20,30,45,60,75,105,115,150,200,225,250,600}))/(LOOKUP(M1057,{12.5,15,20,30,45,60,75,105,115,150,200,225,250,600,1000},{15,20,30,45,60,75,105,115,150,200,225,250,600,1000,1000})-LOOKUP(M1057,{12.5,15,20,30,45,60,75,105,115,150,200,225,250,600},{12.5,15,20,30,45,60,75,105,115,150,200,225,250,600}))*(LOOKUP(M1057,{12.5,15,20,30,45,60,75,105,115,150,200,225,250,600,1000},{55,60,62,65,68,70,72,75,80,82,85,87,90,95,95})-LOOKUP(M1057,{12.5,15,20,30,45,60,75,105,115,150,200,225,250,600,1000},{50,55,60,62,65,68,70,72,75,80,82,85,87,90,95})))))</f>
        <v>62</v>
      </c>
      <c r="P1057" s="2">
        <f t="shared" si="83"/>
        <v>-4</v>
      </c>
      <c r="Q1057" s="2">
        <f t="shared" si="84"/>
        <v>-2</v>
      </c>
    </row>
    <row r="1058" customHeight="1" spans="1:17">
      <c r="A1058" s="2">
        <v>2026</v>
      </c>
      <c r="B1058" s="2">
        <v>1057</v>
      </c>
      <c r="C1058" s="3">
        <f t="shared" si="85"/>
        <v>55.7</v>
      </c>
      <c r="D1058" s="2" t="s">
        <v>1484</v>
      </c>
      <c r="E1058" s="2">
        <v>53</v>
      </c>
      <c r="F1058" s="2">
        <v>57</v>
      </c>
      <c r="G1058" s="2">
        <v>57</v>
      </c>
      <c r="H1058" s="2" t="s">
        <v>102</v>
      </c>
      <c r="I1058" s="2" t="s">
        <v>28</v>
      </c>
      <c r="J1058" s="4" t="s">
        <v>77</v>
      </c>
      <c r="M1058" s="2">
        <f t="shared" si="81"/>
        <v>12.5</v>
      </c>
      <c r="N1058" s="2">
        <f t="shared" si="82"/>
        <v>54.2</v>
      </c>
      <c r="O1058" s="2">
        <f>IF(M1058="","",IF(M1058&gt;=1000,95,IF(M1058&lt;=12.5,50,LOOKUP(M1058,{12.5,15,20,30,45,60,75,105,115,150,200,225,250,600,1000},{50,55,60,62,65,68,70,72,75,80,82,85,87,90,95})+(M1058-LOOKUP(M1058,{12.5,15,20,30,45,60,75,105,115,150,200,225,250,600},{12.5,15,20,30,45,60,75,105,115,150,200,225,250,600}))/(LOOKUP(M1058,{12.5,15,20,30,45,60,75,105,115,150,200,225,250,600,1000},{15,20,30,45,60,75,105,115,150,200,225,250,600,1000,1000})-LOOKUP(M1058,{12.5,15,20,30,45,60,75,105,115,150,200,225,250,600},{12.5,15,20,30,45,60,75,105,115,150,200,225,250,600}))*(LOOKUP(M1058,{12.5,15,20,30,45,60,75,105,115,150,200,225,250,600,1000},{55,60,62,65,68,70,72,75,80,82,85,87,90,95,95})-LOOKUP(M1058,{12.5,15,20,30,45,60,75,105,115,150,200,225,250,600,1000},{50,55,60,62,65,68,70,72,75,80,82,85,87,90,95})))))</f>
        <v>50</v>
      </c>
      <c r="P1058" s="2">
        <f t="shared" si="83"/>
        <v>3</v>
      </c>
      <c r="Q1058" s="2">
        <f t="shared" si="84"/>
        <v>1.5</v>
      </c>
    </row>
    <row r="1059" customHeight="1" spans="1:17">
      <c r="A1059" s="2">
        <v>2026</v>
      </c>
      <c r="B1059" s="2">
        <v>1058</v>
      </c>
      <c r="C1059" s="3">
        <f t="shared" si="85"/>
        <v>55.7</v>
      </c>
      <c r="D1059" s="2" t="s">
        <v>1485</v>
      </c>
      <c r="E1059" s="12">
        <v>61</v>
      </c>
      <c r="F1059" s="12">
        <v>61</v>
      </c>
      <c r="G1059" s="2">
        <v>53</v>
      </c>
      <c r="H1059" s="2" t="s">
        <v>54</v>
      </c>
      <c r="I1059" s="2" t="s">
        <v>104</v>
      </c>
      <c r="J1059" s="4" t="s">
        <v>24</v>
      </c>
      <c r="M1059" s="2">
        <f t="shared" si="81"/>
        <v>75</v>
      </c>
      <c r="N1059" s="2">
        <f t="shared" si="82"/>
        <v>60.2</v>
      </c>
      <c r="O1059" s="2">
        <f>IF(M1059="","",IF(M1059&gt;=1000,95,IF(M1059&lt;=12.5,50,LOOKUP(M1059,{12.5,15,20,30,45,60,75,105,115,150,200,225,250,600,1000},{50,55,60,62,65,68,70,72,75,80,82,85,87,90,95})+(M1059-LOOKUP(M1059,{12.5,15,20,30,45,60,75,105,115,150,200,225,250,600},{12.5,15,20,30,45,60,75,105,115,150,200,225,250,600}))/(LOOKUP(M1059,{12.5,15,20,30,45,60,75,105,115,150,200,225,250,600,1000},{15,20,30,45,60,75,105,115,150,200,225,250,600,1000,1000})-LOOKUP(M1059,{12.5,15,20,30,45,60,75,105,115,150,200,225,250,600},{12.5,15,20,30,45,60,75,105,115,150,200,225,250,600}))*(LOOKUP(M1059,{12.5,15,20,30,45,60,75,105,115,150,200,225,250,600,1000},{55,60,62,65,68,70,72,75,80,82,85,87,90,95,95})-LOOKUP(M1059,{12.5,15,20,30,45,60,75,105,115,150,200,225,250,600,1000},{50,55,60,62,65,68,70,72,75,80,82,85,87,90,95})))))</f>
        <v>70</v>
      </c>
      <c r="P1059" s="2">
        <f t="shared" si="83"/>
        <v>-9</v>
      </c>
      <c r="Q1059" s="2">
        <f t="shared" si="84"/>
        <v>-4.5</v>
      </c>
    </row>
    <row r="1060" customHeight="1" spans="1:17">
      <c r="B1060" s="2">
        <v>1059</v>
      </c>
      <c r="C1060" s="3">
        <f t="shared" si="85"/>
        <v>55.67</v>
      </c>
      <c r="D1060" s="2" t="s">
        <v>1486</v>
      </c>
      <c r="E1060" s="12">
        <v>60</v>
      </c>
      <c r="F1060" s="8">
        <v>93</v>
      </c>
      <c r="G1060" s="10">
        <v>84</v>
      </c>
      <c r="H1060" s="2" t="s">
        <v>173</v>
      </c>
      <c r="I1060" s="2" t="s">
        <v>159</v>
      </c>
      <c r="J1060" s="4" t="s">
        <v>43</v>
      </c>
      <c r="M1060" s="2">
        <f t="shared" si="81"/>
        <v>1000</v>
      </c>
      <c r="N1060" s="2">
        <f t="shared" si="82"/>
        <v>69</v>
      </c>
      <c r="O1060" s="2">
        <f>IF(M1060="","",IF(M1060&gt;=1000,95,IF(M1060&lt;=12.5,50,LOOKUP(M1060,{12.5,15,20,30,45,60,75,105,115,150,200,225,250,600,1000},{50,55,60,62,65,68,70,72,75,80,82,85,87,90,95})+(M1060-LOOKUP(M1060,{12.5,15,20,30,45,60,75,105,115,150,200,225,250,600},{12.5,15,20,30,45,60,75,105,115,150,200,225,250,600}))/(LOOKUP(M1060,{12.5,15,20,30,45,60,75,105,115,150,200,225,250,600,1000},{15,20,30,45,60,75,105,115,150,200,225,250,600,1000,1000})-LOOKUP(M1060,{12.5,15,20,30,45,60,75,105,115,150,200,225,250,600},{12.5,15,20,30,45,60,75,105,115,150,200,225,250,600}))*(LOOKUP(M1060,{12.5,15,20,30,45,60,75,105,115,150,200,225,250,600,1000},{55,60,62,65,68,70,72,75,80,82,85,87,90,95,95})-LOOKUP(M1060,{12.5,15,20,30,45,60,75,105,115,150,200,225,250,600,1000},{50,55,60,62,65,68,70,72,75,80,82,85,87,90,95})))))</f>
        <v>95</v>
      </c>
      <c r="P1060" s="2">
        <f t="shared" si="83"/>
        <v>-35</v>
      </c>
      <c r="Q1060" s="2">
        <f t="shared" si="84"/>
        <v>-13.33</v>
      </c>
    </row>
    <row r="1061" customHeight="1" spans="1:17">
      <c r="B1061" s="2">
        <v>1060</v>
      </c>
      <c r="C1061" s="3">
        <f t="shared" si="85"/>
        <v>55.67</v>
      </c>
      <c r="D1061" s="2" t="s">
        <v>1487</v>
      </c>
      <c r="E1061" s="2">
        <v>57</v>
      </c>
      <c r="F1061" s="10">
        <v>87</v>
      </c>
      <c r="G1061" s="9">
        <v>77</v>
      </c>
      <c r="H1061" s="2" t="s">
        <v>264</v>
      </c>
      <c r="I1061" s="2" t="s">
        <v>638</v>
      </c>
      <c r="J1061" s="4" t="s">
        <v>59</v>
      </c>
      <c r="M1061" s="2">
        <f t="shared" si="81"/>
        <v>150</v>
      </c>
      <c r="N1061" s="2">
        <f t="shared" si="82"/>
        <v>65</v>
      </c>
      <c r="O1061" s="2">
        <f>IF(M1061="","",IF(M1061&gt;=1000,95,IF(M1061&lt;=12.5,50,LOOKUP(M1061,{12.5,15,20,30,45,60,75,105,115,150,200,225,250,600,1000},{50,55,60,62,65,68,70,72,75,80,82,85,87,90,95})+(M1061-LOOKUP(M1061,{12.5,15,20,30,45,60,75,105,115,150,200,225,250,600},{12.5,15,20,30,45,60,75,105,115,150,200,225,250,600}))/(LOOKUP(M1061,{12.5,15,20,30,45,60,75,105,115,150,200,225,250,600,1000},{15,20,30,45,60,75,105,115,150,200,225,250,600,1000,1000})-LOOKUP(M1061,{12.5,15,20,30,45,60,75,105,115,150,200,225,250,600},{12.5,15,20,30,45,60,75,105,115,150,200,225,250,600}))*(LOOKUP(M1061,{12.5,15,20,30,45,60,75,105,115,150,200,225,250,600,1000},{55,60,62,65,68,70,72,75,80,82,85,87,90,95,95})-LOOKUP(M1061,{12.5,15,20,30,45,60,75,105,115,150,200,225,250,600,1000},{50,55,60,62,65,68,70,72,75,80,82,85,87,90,95})))))</f>
        <v>80</v>
      </c>
      <c r="P1061" s="2">
        <f t="shared" si="83"/>
        <v>-23</v>
      </c>
      <c r="Q1061" s="2">
        <f t="shared" si="84"/>
        <v>-9.33</v>
      </c>
    </row>
    <row r="1062" customHeight="1" spans="1:17">
      <c r="A1062" s="2">
        <v>2026</v>
      </c>
      <c r="B1062" s="2">
        <v>1061</v>
      </c>
      <c r="C1062" s="3">
        <f t="shared" si="85"/>
        <v>55.6</v>
      </c>
      <c r="D1062" s="2" t="s">
        <v>1488</v>
      </c>
      <c r="E1062" s="2">
        <v>57</v>
      </c>
      <c r="F1062" s="12">
        <v>60</v>
      </c>
      <c r="G1062" s="2">
        <v>52</v>
      </c>
      <c r="H1062" s="2" t="s">
        <v>54</v>
      </c>
      <c r="I1062" s="2" t="s">
        <v>28</v>
      </c>
      <c r="J1062" s="4" t="s">
        <v>140</v>
      </c>
      <c r="M1062" s="2">
        <f t="shared" si="81"/>
        <v>20</v>
      </c>
      <c r="N1062" s="2">
        <f t="shared" si="82"/>
        <v>57.1</v>
      </c>
      <c r="O1062" s="2">
        <f>IF(M1062="","",IF(M1062&gt;=1000,95,IF(M1062&lt;=12.5,50,LOOKUP(M1062,{12.5,15,20,30,45,60,75,105,115,150,200,225,250,600,1000},{50,55,60,62,65,68,70,72,75,80,82,85,87,90,95})+(M1062-LOOKUP(M1062,{12.5,15,20,30,45,60,75,105,115,150,200,225,250,600},{12.5,15,20,30,45,60,75,105,115,150,200,225,250,600}))/(LOOKUP(M1062,{12.5,15,20,30,45,60,75,105,115,150,200,225,250,600,1000},{15,20,30,45,60,75,105,115,150,200,225,250,600,1000,1000})-LOOKUP(M1062,{12.5,15,20,30,45,60,75,105,115,150,200,225,250,600},{12.5,15,20,30,45,60,75,105,115,150,200,225,250,600}))*(LOOKUP(M1062,{12.5,15,20,30,45,60,75,105,115,150,200,225,250,600,1000},{55,60,62,65,68,70,72,75,80,82,85,87,90,95,95})-LOOKUP(M1062,{12.5,15,20,30,45,60,75,105,115,150,200,225,250,600,1000},{50,55,60,62,65,68,70,72,75,80,82,85,87,90,95})))))</f>
        <v>60</v>
      </c>
      <c r="P1062" s="2">
        <f t="shared" si="83"/>
        <v>-3</v>
      </c>
      <c r="Q1062" s="2">
        <f t="shared" si="84"/>
        <v>-1.5</v>
      </c>
    </row>
    <row r="1063" customHeight="1" spans="1:17">
      <c r="B1063" s="2">
        <v>1062</v>
      </c>
      <c r="C1063" s="3">
        <f t="shared" si="85"/>
        <v>55.6</v>
      </c>
      <c r="D1063" s="2" t="s">
        <v>1489</v>
      </c>
      <c r="E1063" s="2">
        <v>56</v>
      </c>
      <c r="F1063" s="2">
        <v>50</v>
      </c>
      <c r="G1063" s="2">
        <v>34</v>
      </c>
      <c r="H1063" s="2" t="s">
        <v>91</v>
      </c>
      <c r="I1063" s="2" t="s">
        <v>503</v>
      </c>
      <c r="J1063" s="4" t="s">
        <v>77</v>
      </c>
      <c r="M1063" s="2">
        <f t="shared" si="81"/>
        <v>12.5</v>
      </c>
      <c r="N1063" s="2">
        <f t="shared" si="82"/>
        <v>52.6</v>
      </c>
      <c r="O1063" s="2">
        <f>IF(M1063="","",IF(M1063&gt;=1000,95,IF(M1063&lt;=12.5,50,LOOKUP(M1063,{12.5,15,20,30,45,60,75,105,115,150,200,225,250,600,1000},{50,55,60,62,65,68,70,72,75,80,82,85,87,90,95})+(M1063-LOOKUP(M1063,{12.5,15,20,30,45,60,75,105,115,150,200,225,250,600},{12.5,15,20,30,45,60,75,105,115,150,200,225,250,600}))/(LOOKUP(M1063,{12.5,15,20,30,45,60,75,105,115,150,200,225,250,600,1000},{15,20,30,45,60,75,105,115,150,200,225,250,600,1000,1000})-LOOKUP(M1063,{12.5,15,20,30,45,60,75,105,115,150,200,225,250,600},{12.5,15,20,30,45,60,75,105,115,150,200,225,250,600}))*(LOOKUP(M1063,{12.5,15,20,30,45,60,75,105,115,150,200,225,250,600,1000},{55,60,62,65,68,70,72,75,80,82,85,87,90,95,95})-LOOKUP(M1063,{12.5,15,20,30,45,60,75,105,115,150,200,225,250,600,1000},{50,55,60,62,65,68,70,72,75,80,82,85,87,90,95})))))</f>
        <v>50</v>
      </c>
      <c r="P1063" s="2">
        <f t="shared" si="83"/>
        <v>6</v>
      </c>
      <c r="Q1063" s="2">
        <f t="shared" si="84"/>
        <v>3</v>
      </c>
    </row>
    <row r="1064" customHeight="1" spans="1:17">
      <c r="A1064" s="2">
        <v>2026</v>
      </c>
      <c r="B1064" s="2">
        <v>1063</v>
      </c>
      <c r="C1064" s="3">
        <f t="shared" si="85"/>
        <v>55.56</v>
      </c>
      <c r="D1064" s="2" t="s">
        <v>1490</v>
      </c>
      <c r="E1064" s="12">
        <v>61</v>
      </c>
      <c r="F1064" s="12">
        <v>66</v>
      </c>
      <c r="G1064" s="12">
        <v>60</v>
      </c>
      <c r="H1064" s="2" t="s">
        <v>54</v>
      </c>
      <c r="I1064" s="2" t="s">
        <v>23</v>
      </c>
      <c r="J1064" s="4" t="s">
        <v>148</v>
      </c>
      <c r="M1064" s="2">
        <f t="shared" si="81"/>
        <v>115</v>
      </c>
      <c r="N1064" s="2">
        <f t="shared" si="82"/>
        <v>61.9</v>
      </c>
      <c r="O1064" s="2">
        <f>IF(M1064="","",IF(M1064&gt;=1000,95,IF(M1064&lt;=12.5,50,LOOKUP(M1064,{12.5,15,20,30,45,60,75,105,115,150,200,225,250,600,1000},{50,55,60,62,65,68,70,72,75,80,82,85,87,90,95})+(M1064-LOOKUP(M1064,{12.5,15,20,30,45,60,75,105,115,150,200,225,250,600},{12.5,15,20,30,45,60,75,105,115,150,200,225,250,600}))/(LOOKUP(M1064,{12.5,15,20,30,45,60,75,105,115,150,200,225,250,600,1000},{15,20,30,45,60,75,105,115,150,200,225,250,600,1000,1000})-LOOKUP(M1064,{12.5,15,20,30,45,60,75,105,115,150,200,225,250,600},{12.5,15,20,30,45,60,75,105,115,150,200,225,250,600}))*(LOOKUP(M1064,{12.5,15,20,30,45,60,75,105,115,150,200,225,250,600,1000},{55,60,62,65,68,70,72,75,80,82,85,87,90,95,95})-LOOKUP(M1064,{12.5,15,20,30,45,60,75,105,115,150,200,225,250,600,1000},{50,55,60,62,65,68,70,72,75,80,82,85,87,90,95})))))</f>
        <v>75</v>
      </c>
      <c r="P1064" s="2">
        <f t="shared" si="83"/>
        <v>-14</v>
      </c>
      <c r="Q1064" s="2">
        <f t="shared" si="84"/>
        <v>-6.34</v>
      </c>
    </row>
    <row r="1065" customHeight="1" spans="1:17">
      <c r="B1065" s="2">
        <v>1064</v>
      </c>
      <c r="C1065" s="3">
        <f t="shared" si="85"/>
        <v>55.56</v>
      </c>
      <c r="D1065" s="2" t="s">
        <v>1491</v>
      </c>
      <c r="E1065" s="12">
        <v>63</v>
      </c>
      <c r="F1065" s="12">
        <v>66</v>
      </c>
      <c r="G1065" s="2">
        <v>56</v>
      </c>
      <c r="H1065" s="2" t="s">
        <v>41</v>
      </c>
      <c r="I1065" s="2" t="s">
        <v>305</v>
      </c>
      <c r="J1065" s="4" t="s">
        <v>59</v>
      </c>
      <c r="M1065" s="2">
        <f t="shared" si="81"/>
        <v>150</v>
      </c>
      <c r="N1065" s="2">
        <f t="shared" si="82"/>
        <v>62.9</v>
      </c>
      <c r="O1065" s="2">
        <f>IF(M1065="","",IF(M1065&gt;=1000,95,IF(M1065&lt;=12.5,50,LOOKUP(M1065,{12.5,15,20,30,45,60,75,105,115,150,200,225,250,600,1000},{50,55,60,62,65,68,70,72,75,80,82,85,87,90,95})+(M1065-LOOKUP(M1065,{12.5,15,20,30,45,60,75,105,115,150,200,225,250,600},{12.5,15,20,30,45,60,75,105,115,150,200,225,250,600}))/(LOOKUP(M1065,{12.5,15,20,30,45,60,75,105,115,150,200,225,250,600,1000},{15,20,30,45,60,75,105,115,150,200,225,250,600,1000,1000})-LOOKUP(M1065,{12.5,15,20,30,45,60,75,105,115,150,200,225,250,600},{12.5,15,20,30,45,60,75,105,115,150,200,225,250,600}))*(LOOKUP(M1065,{12.5,15,20,30,45,60,75,105,115,150,200,225,250,600,1000},{55,60,62,65,68,70,72,75,80,82,85,87,90,95,95})-LOOKUP(M1065,{12.5,15,20,30,45,60,75,105,115,150,200,225,250,600,1000},{50,55,60,62,65,68,70,72,75,80,82,85,87,90,95})))))</f>
        <v>80</v>
      </c>
      <c r="P1065" s="2">
        <f t="shared" si="83"/>
        <v>-17</v>
      </c>
      <c r="Q1065" s="2">
        <f t="shared" si="84"/>
        <v>-7.34</v>
      </c>
    </row>
    <row r="1066" customHeight="1" spans="1:17">
      <c r="A1066" s="2">
        <v>2026</v>
      </c>
      <c r="B1066" s="2">
        <v>1065</v>
      </c>
      <c r="C1066" s="3">
        <f t="shared" si="85"/>
        <v>55.5</v>
      </c>
      <c r="D1066" s="2" t="s">
        <v>1492</v>
      </c>
      <c r="E1066" s="12">
        <v>60</v>
      </c>
      <c r="F1066" s="12">
        <v>62</v>
      </c>
      <c r="G1066" s="2">
        <v>51</v>
      </c>
      <c r="H1066" s="2" t="s">
        <v>231</v>
      </c>
      <c r="I1066" s="2" t="s">
        <v>104</v>
      </c>
      <c r="J1066" s="4" t="s">
        <v>34</v>
      </c>
      <c r="M1066" s="2">
        <f t="shared" si="81"/>
        <v>60</v>
      </c>
      <c r="N1066" s="2">
        <f t="shared" si="82"/>
        <v>59.5</v>
      </c>
      <c r="O1066" s="2">
        <f>IF(M1066="","",IF(M1066&gt;=1000,95,IF(M1066&lt;=12.5,50,LOOKUP(M1066,{12.5,15,20,30,45,60,75,105,115,150,200,225,250,600,1000},{50,55,60,62,65,68,70,72,75,80,82,85,87,90,95})+(M1066-LOOKUP(M1066,{12.5,15,20,30,45,60,75,105,115,150,200,225,250,600},{12.5,15,20,30,45,60,75,105,115,150,200,225,250,600}))/(LOOKUP(M1066,{12.5,15,20,30,45,60,75,105,115,150,200,225,250,600,1000},{15,20,30,45,60,75,105,115,150,200,225,250,600,1000,1000})-LOOKUP(M1066,{12.5,15,20,30,45,60,75,105,115,150,200,225,250,600},{12.5,15,20,30,45,60,75,105,115,150,200,225,250,600}))*(LOOKUP(M1066,{12.5,15,20,30,45,60,75,105,115,150,200,225,250,600,1000},{55,60,62,65,68,70,72,75,80,82,85,87,90,95,95})-LOOKUP(M1066,{12.5,15,20,30,45,60,75,105,115,150,200,225,250,600,1000},{50,55,60,62,65,68,70,72,75,80,82,85,87,90,95})))))</f>
        <v>68</v>
      </c>
      <c r="P1066" s="2">
        <f t="shared" si="83"/>
        <v>-8</v>
      </c>
      <c r="Q1066" s="2">
        <f t="shared" si="84"/>
        <v>-4</v>
      </c>
    </row>
    <row r="1067" customHeight="1" spans="1:17">
      <c r="B1067" s="2">
        <v>1066</v>
      </c>
      <c r="C1067" s="3">
        <f t="shared" si="85"/>
        <v>55.46</v>
      </c>
      <c r="D1067" s="2" t="s">
        <v>1493</v>
      </c>
      <c r="E1067" s="12">
        <v>63</v>
      </c>
      <c r="F1067" s="12">
        <v>61</v>
      </c>
      <c r="G1067" s="12">
        <v>65</v>
      </c>
      <c r="H1067" s="2" t="s">
        <v>66</v>
      </c>
      <c r="I1067" s="2" t="s">
        <v>33</v>
      </c>
      <c r="J1067" s="4" t="s">
        <v>59</v>
      </c>
      <c r="M1067" s="2">
        <f t="shared" si="81"/>
        <v>150</v>
      </c>
      <c r="N1067" s="2">
        <f t="shared" si="82"/>
        <v>62.8</v>
      </c>
      <c r="O1067" s="2">
        <f>IF(M1067="","",IF(M1067&gt;=1000,95,IF(M1067&lt;=12.5,50,LOOKUP(M1067,{12.5,15,20,30,45,60,75,105,115,150,200,225,250,600,1000},{50,55,60,62,65,68,70,72,75,80,82,85,87,90,95})+(M1067-LOOKUP(M1067,{12.5,15,20,30,45,60,75,105,115,150,200,225,250,600},{12.5,15,20,30,45,60,75,105,115,150,200,225,250,600}))/(LOOKUP(M1067,{12.5,15,20,30,45,60,75,105,115,150,200,225,250,600,1000},{15,20,30,45,60,75,105,115,150,200,225,250,600,1000,1000})-LOOKUP(M1067,{12.5,15,20,30,45,60,75,105,115,150,200,225,250,600},{12.5,15,20,30,45,60,75,105,115,150,200,225,250,600}))*(LOOKUP(M1067,{12.5,15,20,30,45,60,75,105,115,150,200,225,250,600,1000},{55,60,62,65,68,70,72,75,80,82,85,87,90,95,95})-LOOKUP(M1067,{12.5,15,20,30,45,60,75,105,115,150,200,225,250,600,1000},{50,55,60,62,65,68,70,72,75,80,82,85,87,90,95})))))</f>
        <v>80</v>
      </c>
      <c r="P1067" s="2">
        <f t="shared" si="83"/>
        <v>-17</v>
      </c>
      <c r="Q1067" s="2">
        <f t="shared" si="84"/>
        <v>-7.34</v>
      </c>
    </row>
    <row r="1068" customHeight="1" spans="1:17">
      <c r="B1068" s="2">
        <v>1067</v>
      </c>
      <c r="C1068" s="3">
        <f t="shared" si="85"/>
        <v>55.43</v>
      </c>
      <c r="D1068" s="2" t="s">
        <v>1494</v>
      </c>
      <c r="E1068" s="12">
        <v>62</v>
      </c>
      <c r="F1068" s="12">
        <v>65</v>
      </c>
      <c r="G1068" s="12">
        <v>67</v>
      </c>
      <c r="H1068" s="2" t="s">
        <v>137</v>
      </c>
      <c r="I1068" s="2" t="s">
        <v>104</v>
      </c>
      <c r="J1068" s="4" t="s">
        <v>59</v>
      </c>
      <c r="M1068" s="2">
        <f t="shared" si="81"/>
        <v>150</v>
      </c>
      <c r="N1068" s="2">
        <f t="shared" si="82"/>
        <v>63.1</v>
      </c>
      <c r="O1068" s="2">
        <f>IF(M1068="","",IF(M1068&gt;=1000,95,IF(M1068&lt;=12.5,50,LOOKUP(M1068,{12.5,15,20,30,45,60,75,105,115,150,200,225,250,600,1000},{50,55,60,62,65,68,70,72,75,80,82,85,87,90,95})+(M1068-LOOKUP(M1068,{12.5,15,20,30,45,60,75,105,115,150,200,225,250,600},{12.5,15,20,30,45,60,75,105,115,150,200,225,250,600}))/(LOOKUP(M1068,{12.5,15,20,30,45,60,75,105,115,150,200,225,250,600,1000},{15,20,30,45,60,75,105,115,150,200,225,250,600,1000,1000})-LOOKUP(M1068,{12.5,15,20,30,45,60,75,105,115,150,200,225,250,600},{12.5,15,20,30,45,60,75,105,115,150,200,225,250,600}))*(LOOKUP(M1068,{12.5,15,20,30,45,60,75,105,115,150,200,225,250,600,1000},{55,60,62,65,68,70,72,75,80,82,85,87,90,95,95})-LOOKUP(M1068,{12.5,15,20,30,45,60,75,105,115,150,200,225,250,600,1000},{50,55,60,62,65,68,70,72,75,80,82,85,87,90,95})))))</f>
        <v>80</v>
      </c>
      <c r="P1068" s="2">
        <f t="shared" si="83"/>
        <v>-18</v>
      </c>
      <c r="Q1068" s="2">
        <f t="shared" si="84"/>
        <v>-7.67</v>
      </c>
    </row>
    <row r="1069" customHeight="1" spans="1:17">
      <c r="B1069" s="2">
        <v>1068</v>
      </c>
      <c r="C1069" s="3">
        <f t="shared" si="85"/>
        <v>55.4</v>
      </c>
      <c r="D1069" s="2" t="s">
        <v>1495</v>
      </c>
      <c r="E1069" s="12">
        <v>62</v>
      </c>
      <c r="F1069" s="2">
        <v>55</v>
      </c>
      <c r="G1069" s="9">
        <v>70</v>
      </c>
      <c r="H1069" s="2" t="s">
        <v>469</v>
      </c>
      <c r="I1069" s="2" t="s">
        <v>159</v>
      </c>
      <c r="J1069" s="4" t="s">
        <v>148</v>
      </c>
      <c r="M1069" s="2">
        <f t="shared" si="81"/>
        <v>115</v>
      </c>
      <c r="N1069" s="2">
        <f t="shared" si="82"/>
        <v>61.4</v>
      </c>
      <c r="O1069" s="2">
        <f>IF(M1069="","",IF(M1069&gt;=1000,95,IF(M1069&lt;=12.5,50,LOOKUP(M1069,{12.5,15,20,30,45,60,75,105,115,150,200,225,250,600,1000},{50,55,60,62,65,68,70,72,75,80,82,85,87,90,95})+(M1069-LOOKUP(M1069,{12.5,15,20,30,45,60,75,105,115,150,200,225,250,600},{12.5,15,20,30,45,60,75,105,115,150,200,225,250,600}))/(LOOKUP(M1069,{12.5,15,20,30,45,60,75,105,115,150,200,225,250,600,1000},{15,20,30,45,60,75,105,115,150,200,225,250,600,1000,1000})-LOOKUP(M1069,{12.5,15,20,30,45,60,75,105,115,150,200,225,250,600},{12.5,15,20,30,45,60,75,105,115,150,200,225,250,600}))*(LOOKUP(M1069,{12.5,15,20,30,45,60,75,105,115,150,200,225,250,600,1000},{55,60,62,65,68,70,72,75,80,82,85,87,90,95,95})-LOOKUP(M1069,{12.5,15,20,30,45,60,75,105,115,150,200,225,250,600,1000},{50,55,60,62,65,68,70,72,75,80,82,85,87,90,95})))))</f>
        <v>75</v>
      </c>
      <c r="P1069" s="2">
        <f t="shared" si="83"/>
        <v>-13</v>
      </c>
      <c r="Q1069" s="2">
        <f t="shared" si="84"/>
        <v>-6</v>
      </c>
    </row>
    <row r="1070" customHeight="1" spans="1:17">
      <c r="B1070" s="2">
        <v>1069</v>
      </c>
      <c r="C1070" s="3">
        <f t="shared" si="85"/>
        <v>55.4</v>
      </c>
      <c r="D1070" s="2" t="s">
        <v>1496</v>
      </c>
      <c r="E1070" s="12">
        <v>60</v>
      </c>
      <c r="F1070" s="2">
        <v>45</v>
      </c>
      <c r="G1070" s="2">
        <v>54</v>
      </c>
      <c r="H1070" s="2" t="s">
        <v>122</v>
      </c>
      <c r="I1070" s="2" t="s">
        <v>28</v>
      </c>
      <c r="J1070" s="4" t="s">
        <v>88</v>
      </c>
      <c r="M1070" s="2">
        <f t="shared" si="81"/>
        <v>30</v>
      </c>
      <c r="N1070" s="2">
        <f t="shared" si="82"/>
        <v>56.4</v>
      </c>
      <c r="O1070" s="2">
        <f>IF(M1070="","",IF(M1070&gt;=1000,95,IF(M1070&lt;=12.5,50,LOOKUP(M1070,{12.5,15,20,30,45,60,75,105,115,150,200,225,250,600,1000},{50,55,60,62,65,68,70,72,75,80,82,85,87,90,95})+(M1070-LOOKUP(M1070,{12.5,15,20,30,45,60,75,105,115,150,200,225,250,600},{12.5,15,20,30,45,60,75,105,115,150,200,225,250,600}))/(LOOKUP(M1070,{12.5,15,20,30,45,60,75,105,115,150,200,225,250,600,1000},{15,20,30,45,60,75,105,115,150,200,225,250,600,1000,1000})-LOOKUP(M1070,{12.5,15,20,30,45,60,75,105,115,150,200,225,250,600},{12.5,15,20,30,45,60,75,105,115,150,200,225,250,600}))*(LOOKUP(M1070,{12.5,15,20,30,45,60,75,105,115,150,200,225,250,600,1000},{55,60,62,65,68,70,72,75,80,82,85,87,90,95,95})-LOOKUP(M1070,{12.5,15,20,30,45,60,75,105,115,150,200,225,250,600,1000},{50,55,60,62,65,68,70,72,75,80,82,85,87,90,95})))))</f>
        <v>62</v>
      </c>
      <c r="P1070" s="2">
        <f t="shared" si="83"/>
        <v>-2</v>
      </c>
      <c r="Q1070" s="2">
        <f t="shared" si="84"/>
        <v>-1</v>
      </c>
    </row>
    <row r="1071" customHeight="1" spans="1:17">
      <c r="B1071" s="2">
        <v>1070</v>
      </c>
      <c r="C1071" s="3">
        <f t="shared" si="85"/>
        <v>55.3</v>
      </c>
      <c r="D1071" s="2" t="s">
        <v>1497</v>
      </c>
      <c r="E1071" s="12">
        <v>65</v>
      </c>
      <c r="F1071" s="12">
        <v>63</v>
      </c>
      <c r="G1071" s="9">
        <v>72</v>
      </c>
      <c r="H1071" s="2" t="s">
        <v>611</v>
      </c>
      <c r="I1071" s="2" t="s">
        <v>612</v>
      </c>
      <c r="J1071" s="4" t="s">
        <v>73</v>
      </c>
      <c r="M1071" s="2">
        <f t="shared" si="81"/>
        <v>600</v>
      </c>
      <c r="N1071" s="2">
        <f t="shared" si="82"/>
        <v>65.3</v>
      </c>
      <c r="O1071" s="2">
        <f>IF(M1071="","",IF(M1071&gt;=1000,95,IF(M1071&lt;=12.5,50,LOOKUP(M1071,{12.5,15,20,30,45,60,75,105,115,150,200,225,250,600,1000},{50,55,60,62,65,68,70,72,75,80,82,85,87,90,95})+(M1071-LOOKUP(M1071,{12.5,15,20,30,45,60,75,105,115,150,200,225,250,600},{12.5,15,20,30,45,60,75,105,115,150,200,225,250,600}))/(LOOKUP(M1071,{12.5,15,20,30,45,60,75,105,115,150,200,225,250,600,1000},{15,20,30,45,60,75,105,115,150,200,225,250,600,1000,1000})-LOOKUP(M1071,{12.5,15,20,30,45,60,75,105,115,150,200,225,250,600},{12.5,15,20,30,45,60,75,105,115,150,200,225,250,600}))*(LOOKUP(M1071,{12.5,15,20,30,45,60,75,105,115,150,200,225,250,600,1000},{55,60,62,65,68,70,72,75,80,82,85,87,90,95,95})-LOOKUP(M1071,{12.5,15,20,30,45,60,75,105,115,150,200,225,250,600,1000},{50,55,60,62,65,68,70,72,75,80,82,85,87,90,95})))))</f>
        <v>90</v>
      </c>
      <c r="P1071" s="2">
        <f t="shared" si="83"/>
        <v>-25</v>
      </c>
      <c r="Q1071" s="2">
        <f t="shared" si="84"/>
        <v>-10</v>
      </c>
    </row>
    <row r="1072" customHeight="1" spans="1:17">
      <c r="A1072" s="2">
        <v>2026</v>
      </c>
      <c r="B1072" s="2">
        <v>1071</v>
      </c>
      <c r="C1072" s="3">
        <f t="shared" si="85"/>
        <v>55.3</v>
      </c>
      <c r="D1072" s="2" t="s">
        <v>1498</v>
      </c>
      <c r="E1072" s="12">
        <v>65</v>
      </c>
      <c r="F1072" s="12">
        <v>60</v>
      </c>
      <c r="G1072" s="9">
        <v>78</v>
      </c>
      <c r="H1072" s="2" t="s">
        <v>99</v>
      </c>
      <c r="I1072" s="2" t="s">
        <v>18</v>
      </c>
      <c r="J1072" s="4" t="s">
        <v>73</v>
      </c>
      <c r="M1072" s="2">
        <f t="shared" si="81"/>
        <v>600</v>
      </c>
      <c r="N1072" s="2">
        <f t="shared" si="82"/>
        <v>65.3</v>
      </c>
      <c r="O1072" s="2">
        <f>IF(M1072="","",IF(M1072&gt;=1000,95,IF(M1072&lt;=12.5,50,LOOKUP(M1072,{12.5,15,20,30,45,60,75,105,115,150,200,225,250,600,1000},{50,55,60,62,65,68,70,72,75,80,82,85,87,90,95})+(M1072-LOOKUP(M1072,{12.5,15,20,30,45,60,75,105,115,150,200,225,250,600},{12.5,15,20,30,45,60,75,105,115,150,200,225,250,600}))/(LOOKUP(M1072,{12.5,15,20,30,45,60,75,105,115,150,200,225,250,600,1000},{15,20,30,45,60,75,105,115,150,200,225,250,600,1000,1000})-LOOKUP(M1072,{12.5,15,20,30,45,60,75,105,115,150,200,225,250,600},{12.5,15,20,30,45,60,75,105,115,150,200,225,250,600}))*(LOOKUP(M1072,{12.5,15,20,30,45,60,75,105,115,150,200,225,250,600,1000},{55,60,62,65,68,70,72,75,80,82,85,87,90,95,95})-LOOKUP(M1072,{12.5,15,20,30,45,60,75,105,115,150,200,225,250,600,1000},{50,55,60,62,65,68,70,72,75,80,82,85,87,90,95})))))</f>
        <v>90</v>
      </c>
      <c r="P1072" s="2">
        <f t="shared" si="83"/>
        <v>-25</v>
      </c>
      <c r="Q1072" s="2">
        <f t="shared" si="84"/>
        <v>-10</v>
      </c>
    </row>
    <row r="1073" customHeight="1" spans="1:17">
      <c r="B1073" s="2">
        <v>1072</v>
      </c>
      <c r="C1073" s="3">
        <f t="shared" si="85"/>
        <v>55.3</v>
      </c>
      <c r="D1073" s="2" t="s">
        <v>1499</v>
      </c>
      <c r="E1073" s="12">
        <v>60</v>
      </c>
      <c r="F1073" s="2">
        <v>50</v>
      </c>
      <c r="G1073" s="2">
        <v>58</v>
      </c>
      <c r="H1073" s="2" t="s">
        <v>37</v>
      </c>
      <c r="I1073" s="2" t="s">
        <v>63</v>
      </c>
      <c r="J1073" s="4" t="s">
        <v>38</v>
      </c>
      <c r="M1073" s="2">
        <f t="shared" si="81"/>
        <v>45</v>
      </c>
      <c r="N1073" s="2">
        <f t="shared" si="82"/>
        <v>57.8</v>
      </c>
      <c r="O1073" s="2">
        <f>IF(M1073="","",IF(M1073&gt;=1000,95,IF(M1073&lt;=12.5,50,LOOKUP(M1073,{12.5,15,20,30,45,60,75,105,115,150,200,225,250,600,1000},{50,55,60,62,65,68,70,72,75,80,82,85,87,90,95})+(M1073-LOOKUP(M1073,{12.5,15,20,30,45,60,75,105,115,150,200,225,250,600},{12.5,15,20,30,45,60,75,105,115,150,200,225,250,600}))/(LOOKUP(M1073,{12.5,15,20,30,45,60,75,105,115,150,200,225,250,600,1000},{15,20,30,45,60,75,105,115,150,200,225,250,600,1000,1000})-LOOKUP(M1073,{12.5,15,20,30,45,60,75,105,115,150,200,225,250,600},{12.5,15,20,30,45,60,75,105,115,150,200,225,250,600}))*(LOOKUP(M1073,{12.5,15,20,30,45,60,75,105,115,150,200,225,250,600,1000},{55,60,62,65,68,70,72,75,80,82,85,87,90,95,95})-LOOKUP(M1073,{12.5,15,20,30,45,60,75,105,115,150,200,225,250,600,1000},{50,55,60,62,65,68,70,72,75,80,82,85,87,90,95})))))</f>
        <v>65</v>
      </c>
      <c r="P1073" s="2">
        <f t="shared" si="83"/>
        <v>-5</v>
      </c>
      <c r="Q1073" s="2">
        <f t="shared" si="84"/>
        <v>-2.5</v>
      </c>
    </row>
    <row r="1074" customHeight="1" spans="1:17">
      <c r="B1074" s="2">
        <v>1073</v>
      </c>
      <c r="C1074" s="3">
        <f t="shared" si="85"/>
        <v>55.3</v>
      </c>
      <c r="D1074" s="2" t="s">
        <v>1500</v>
      </c>
      <c r="E1074" s="2">
        <v>57</v>
      </c>
      <c r="F1074" s="2">
        <v>52</v>
      </c>
      <c r="G1074" s="2">
        <v>40</v>
      </c>
      <c r="H1074" s="2" t="s">
        <v>91</v>
      </c>
      <c r="I1074" s="2" t="s">
        <v>28</v>
      </c>
      <c r="J1074" s="4" t="s">
        <v>29</v>
      </c>
      <c r="M1074" s="2">
        <f t="shared" si="81"/>
        <v>15</v>
      </c>
      <c r="N1074" s="2">
        <f t="shared" si="82"/>
        <v>54.3</v>
      </c>
      <c r="O1074" s="2">
        <f>IF(M1074="","",IF(M1074&gt;=1000,95,IF(M1074&lt;=12.5,50,LOOKUP(M1074,{12.5,15,20,30,45,60,75,105,115,150,200,225,250,600,1000},{50,55,60,62,65,68,70,72,75,80,82,85,87,90,95})+(M1074-LOOKUP(M1074,{12.5,15,20,30,45,60,75,105,115,150,200,225,250,600},{12.5,15,20,30,45,60,75,105,115,150,200,225,250,600}))/(LOOKUP(M1074,{12.5,15,20,30,45,60,75,105,115,150,200,225,250,600,1000},{15,20,30,45,60,75,105,115,150,200,225,250,600,1000,1000})-LOOKUP(M1074,{12.5,15,20,30,45,60,75,105,115,150,200,225,250,600},{12.5,15,20,30,45,60,75,105,115,150,200,225,250,600}))*(LOOKUP(M1074,{12.5,15,20,30,45,60,75,105,115,150,200,225,250,600,1000},{55,60,62,65,68,70,72,75,80,82,85,87,90,95,95})-LOOKUP(M1074,{12.5,15,20,30,45,60,75,105,115,150,200,225,250,600,1000},{50,55,60,62,65,68,70,72,75,80,82,85,87,90,95})))))</f>
        <v>55</v>
      </c>
      <c r="P1074" s="2">
        <f t="shared" si="83"/>
        <v>2</v>
      </c>
      <c r="Q1074" s="2">
        <f t="shared" si="84"/>
        <v>1</v>
      </c>
    </row>
    <row r="1075" customHeight="1" spans="1:17">
      <c r="B1075" s="2">
        <v>1074</v>
      </c>
      <c r="C1075" s="3">
        <f t="shared" si="85"/>
        <v>55.27</v>
      </c>
      <c r="D1075" s="2" t="s">
        <v>1501</v>
      </c>
      <c r="E1075" s="12">
        <v>64</v>
      </c>
      <c r="F1075" s="9">
        <v>77</v>
      </c>
      <c r="G1075" s="2">
        <v>54</v>
      </c>
      <c r="H1075" s="2" t="s">
        <v>37</v>
      </c>
      <c r="I1075" s="2" t="s">
        <v>183</v>
      </c>
      <c r="J1075" s="4" t="s">
        <v>73</v>
      </c>
      <c r="M1075" s="2">
        <f t="shared" si="81"/>
        <v>600</v>
      </c>
      <c r="N1075" s="2">
        <f t="shared" si="82"/>
        <v>65.6</v>
      </c>
      <c r="O1075" s="2">
        <f>IF(M1075="","",IF(M1075&gt;=1000,95,IF(M1075&lt;=12.5,50,LOOKUP(M1075,{12.5,15,20,30,45,60,75,105,115,150,200,225,250,600,1000},{50,55,60,62,65,68,70,72,75,80,82,85,87,90,95})+(M1075-LOOKUP(M1075,{12.5,15,20,30,45,60,75,105,115,150,200,225,250,600},{12.5,15,20,30,45,60,75,105,115,150,200,225,250,600}))/(LOOKUP(M1075,{12.5,15,20,30,45,60,75,105,115,150,200,225,250,600,1000},{15,20,30,45,60,75,105,115,150,200,225,250,600,1000,1000})-LOOKUP(M1075,{12.5,15,20,30,45,60,75,105,115,150,200,225,250,600},{12.5,15,20,30,45,60,75,105,115,150,200,225,250,600}))*(LOOKUP(M1075,{12.5,15,20,30,45,60,75,105,115,150,200,225,250,600,1000},{55,60,62,65,68,70,72,75,80,82,85,87,90,95,95})-LOOKUP(M1075,{12.5,15,20,30,45,60,75,105,115,150,200,225,250,600,1000},{50,55,60,62,65,68,70,72,75,80,82,85,87,90,95})))))</f>
        <v>90</v>
      </c>
      <c r="P1075" s="2">
        <f t="shared" si="83"/>
        <v>-26</v>
      </c>
      <c r="Q1075" s="2">
        <f t="shared" si="84"/>
        <v>-10.33</v>
      </c>
    </row>
    <row r="1076" customHeight="1" spans="1:17">
      <c r="A1076" s="2">
        <v>2026</v>
      </c>
      <c r="B1076" s="2">
        <v>1075</v>
      </c>
      <c r="C1076" s="3">
        <f t="shared" si="85"/>
        <v>55.2</v>
      </c>
      <c r="D1076" s="2" t="s">
        <v>1502</v>
      </c>
      <c r="E1076" s="12">
        <v>61</v>
      </c>
      <c r="F1076" s="2">
        <v>51</v>
      </c>
      <c r="G1076" s="2">
        <v>58</v>
      </c>
      <c r="H1076" s="2" t="s">
        <v>339</v>
      </c>
      <c r="I1076" s="2" t="s">
        <v>28</v>
      </c>
      <c r="J1076" s="4" t="s">
        <v>34</v>
      </c>
      <c r="M1076" s="2">
        <f t="shared" si="81"/>
        <v>60</v>
      </c>
      <c r="N1076" s="2">
        <f t="shared" si="82"/>
        <v>58.7</v>
      </c>
      <c r="O1076" s="2">
        <f>IF(M1076="","",IF(M1076&gt;=1000,95,IF(M1076&lt;=12.5,50,LOOKUP(M1076,{12.5,15,20,30,45,60,75,105,115,150,200,225,250,600,1000},{50,55,60,62,65,68,70,72,75,80,82,85,87,90,95})+(M1076-LOOKUP(M1076,{12.5,15,20,30,45,60,75,105,115,150,200,225,250,600},{12.5,15,20,30,45,60,75,105,115,150,200,225,250,600}))/(LOOKUP(M1076,{12.5,15,20,30,45,60,75,105,115,150,200,225,250,600,1000},{15,20,30,45,60,75,105,115,150,200,225,250,600,1000,1000})-LOOKUP(M1076,{12.5,15,20,30,45,60,75,105,115,150,200,225,250,600},{12.5,15,20,30,45,60,75,105,115,150,200,225,250,600}))*(LOOKUP(M1076,{12.5,15,20,30,45,60,75,105,115,150,200,225,250,600,1000},{55,60,62,65,68,70,72,75,80,82,85,87,90,95,95})-LOOKUP(M1076,{12.5,15,20,30,45,60,75,105,115,150,200,225,250,600,1000},{50,55,60,62,65,68,70,72,75,80,82,85,87,90,95})))))</f>
        <v>68</v>
      </c>
      <c r="P1076" s="2">
        <f t="shared" si="83"/>
        <v>-7</v>
      </c>
      <c r="Q1076" s="2">
        <f t="shared" si="84"/>
        <v>-3.5</v>
      </c>
    </row>
    <row r="1077" customHeight="1" spans="1:17">
      <c r="B1077" s="2">
        <v>1076</v>
      </c>
      <c r="C1077" s="3">
        <f t="shared" si="85"/>
        <v>55.03</v>
      </c>
      <c r="D1077" s="2" t="s">
        <v>1503</v>
      </c>
      <c r="E1077" s="12">
        <v>63</v>
      </c>
      <c r="F1077" s="2">
        <v>57</v>
      </c>
      <c r="G1077" s="2">
        <v>52</v>
      </c>
      <c r="H1077" s="2" t="s">
        <v>189</v>
      </c>
      <c r="I1077" s="2" t="s">
        <v>42</v>
      </c>
      <c r="J1077" s="4" t="s">
        <v>148</v>
      </c>
      <c r="M1077" s="2">
        <f t="shared" si="81"/>
        <v>115</v>
      </c>
      <c r="N1077" s="2">
        <f t="shared" si="82"/>
        <v>60.7</v>
      </c>
      <c r="O1077" s="2">
        <f>IF(M1077="","",IF(M1077&gt;=1000,95,IF(M1077&lt;=12.5,50,LOOKUP(M1077,{12.5,15,20,30,45,60,75,105,115,150,200,225,250,600,1000},{50,55,60,62,65,68,70,72,75,80,82,85,87,90,95})+(M1077-LOOKUP(M1077,{12.5,15,20,30,45,60,75,105,115,150,200,225,250,600},{12.5,15,20,30,45,60,75,105,115,150,200,225,250,600}))/(LOOKUP(M1077,{12.5,15,20,30,45,60,75,105,115,150,200,225,250,600,1000},{15,20,30,45,60,75,105,115,150,200,225,250,600,1000,1000})-LOOKUP(M1077,{12.5,15,20,30,45,60,75,105,115,150,200,225,250,600},{12.5,15,20,30,45,60,75,105,115,150,200,225,250,600}))*(LOOKUP(M1077,{12.5,15,20,30,45,60,75,105,115,150,200,225,250,600,1000},{55,60,62,65,68,70,72,75,80,82,85,87,90,95,95})-LOOKUP(M1077,{12.5,15,20,30,45,60,75,105,115,150,200,225,250,600,1000},{50,55,60,62,65,68,70,72,75,80,82,85,87,90,95})))))</f>
        <v>75</v>
      </c>
      <c r="P1077" s="2">
        <f t="shared" si="83"/>
        <v>-12</v>
      </c>
      <c r="Q1077" s="2">
        <f t="shared" si="84"/>
        <v>-5.67</v>
      </c>
    </row>
    <row r="1078" customHeight="1" spans="1:17">
      <c r="A1078" s="2">
        <v>2026</v>
      </c>
      <c r="B1078" s="2">
        <v>1077</v>
      </c>
      <c r="C1078" s="3">
        <f t="shared" si="85"/>
        <v>55</v>
      </c>
      <c r="D1078" s="2" t="s">
        <v>1504</v>
      </c>
      <c r="E1078" s="2">
        <v>57</v>
      </c>
      <c r="F1078" s="2">
        <v>56</v>
      </c>
      <c r="G1078" s="2">
        <v>54</v>
      </c>
      <c r="H1078" s="2" t="s">
        <v>54</v>
      </c>
      <c r="I1078" s="2" t="s">
        <v>28</v>
      </c>
      <c r="J1078" s="4" t="s">
        <v>140</v>
      </c>
      <c r="M1078" s="2">
        <f t="shared" si="81"/>
        <v>20</v>
      </c>
      <c r="N1078" s="2">
        <f t="shared" si="82"/>
        <v>56.5</v>
      </c>
      <c r="O1078" s="2">
        <f>IF(M1078="","",IF(M1078&gt;=1000,95,IF(M1078&lt;=12.5,50,LOOKUP(M1078,{12.5,15,20,30,45,60,75,105,115,150,200,225,250,600,1000},{50,55,60,62,65,68,70,72,75,80,82,85,87,90,95})+(M1078-LOOKUP(M1078,{12.5,15,20,30,45,60,75,105,115,150,200,225,250,600},{12.5,15,20,30,45,60,75,105,115,150,200,225,250,600}))/(LOOKUP(M1078,{12.5,15,20,30,45,60,75,105,115,150,200,225,250,600,1000},{15,20,30,45,60,75,105,115,150,200,225,250,600,1000,1000})-LOOKUP(M1078,{12.5,15,20,30,45,60,75,105,115,150,200,225,250,600},{12.5,15,20,30,45,60,75,105,115,150,200,225,250,600}))*(LOOKUP(M1078,{12.5,15,20,30,45,60,75,105,115,150,200,225,250,600,1000},{55,60,62,65,68,70,72,75,80,82,85,87,90,95,95})-LOOKUP(M1078,{12.5,15,20,30,45,60,75,105,115,150,200,225,250,600,1000},{50,55,60,62,65,68,70,72,75,80,82,85,87,90,95})))))</f>
        <v>60</v>
      </c>
      <c r="P1078" s="2">
        <f t="shared" si="83"/>
        <v>-3</v>
      </c>
      <c r="Q1078" s="2">
        <f t="shared" si="84"/>
        <v>-1.5</v>
      </c>
    </row>
    <row r="1079" customHeight="1" spans="1:17">
      <c r="B1079" s="2">
        <v>1078</v>
      </c>
      <c r="C1079" s="3">
        <f t="shared" si="85"/>
        <v>55</v>
      </c>
      <c r="D1079" s="2" t="s">
        <v>1505</v>
      </c>
      <c r="E1079" s="12">
        <v>64</v>
      </c>
      <c r="F1079" s="2">
        <v>56</v>
      </c>
      <c r="G1079" s="12">
        <v>60</v>
      </c>
      <c r="H1079" s="2" t="s">
        <v>264</v>
      </c>
      <c r="I1079" s="2" t="s">
        <v>638</v>
      </c>
      <c r="J1079" s="4" t="s">
        <v>59</v>
      </c>
      <c r="M1079" s="2">
        <f t="shared" si="81"/>
        <v>150</v>
      </c>
      <c r="N1079" s="2">
        <f t="shared" si="82"/>
        <v>62</v>
      </c>
      <c r="O1079" s="2">
        <f>IF(M1079="","",IF(M1079&gt;=1000,95,IF(M1079&lt;=12.5,50,LOOKUP(M1079,{12.5,15,20,30,45,60,75,105,115,150,200,225,250,600,1000},{50,55,60,62,65,68,70,72,75,80,82,85,87,90,95})+(M1079-LOOKUP(M1079,{12.5,15,20,30,45,60,75,105,115,150,200,225,250,600},{12.5,15,20,30,45,60,75,105,115,150,200,225,250,600}))/(LOOKUP(M1079,{12.5,15,20,30,45,60,75,105,115,150,200,225,250,600,1000},{15,20,30,45,60,75,105,115,150,200,225,250,600,1000,1000})-LOOKUP(M1079,{12.5,15,20,30,45,60,75,105,115,150,200,225,250,600},{12.5,15,20,30,45,60,75,105,115,150,200,225,250,600}))*(LOOKUP(M1079,{12.5,15,20,30,45,60,75,105,115,150,200,225,250,600,1000},{55,60,62,65,68,70,72,75,80,82,85,87,90,95,95})-LOOKUP(M1079,{12.5,15,20,30,45,60,75,105,115,150,200,225,250,600,1000},{50,55,60,62,65,68,70,72,75,80,82,85,87,90,95})))))</f>
        <v>80</v>
      </c>
      <c r="P1079" s="2">
        <f t="shared" si="83"/>
        <v>-16</v>
      </c>
      <c r="Q1079" s="2">
        <f t="shared" si="84"/>
        <v>-7</v>
      </c>
    </row>
    <row r="1080" customHeight="1" spans="1:17">
      <c r="B1080" s="2">
        <v>1079</v>
      </c>
      <c r="C1080" s="3">
        <f t="shared" si="85"/>
        <v>54.93</v>
      </c>
      <c r="D1080" s="2" t="s">
        <v>1506</v>
      </c>
      <c r="E1080" s="2">
        <v>57</v>
      </c>
      <c r="F1080" s="9">
        <v>75</v>
      </c>
      <c r="G1080" s="9">
        <v>77</v>
      </c>
      <c r="H1080" s="2" t="s">
        <v>32</v>
      </c>
      <c r="I1080" s="2" t="s">
        <v>33</v>
      </c>
      <c r="J1080" s="4" t="s">
        <v>148</v>
      </c>
      <c r="M1080" s="2">
        <f t="shared" si="81"/>
        <v>115</v>
      </c>
      <c r="N1080" s="2">
        <f t="shared" si="82"/>
        <v>62.6</v>
      </c>
      <c r="O1080" s="2">
        <f>IF(M1080="","",IF(M1080&gt;=1000,95,IF(M1080&lt;=12.5,50,LOOKUP(M1080,{12.5,15,20,30,45,60,75,105,115,150,200,225,250,600,1000},{50,55,60,62,65,68,70,72,75,80,82,85,87,90,95})+(M1080-LOOKUP(M1080,{12.5,15,20,30,45,60,75,105,115,150,200,225,250,600},{12.5,15,20,30,45,60,75,105,115,150,200,225,250,600}))/(LOOKUP(M1080,{12.5,15,20,30,45,60,75,105,115,150,200,225,250,600,1000},{15,20,30,45,60,75,105,115,150,200,225,250,600,1000,1000})-LOOKUP(M1080,{12.5,15,20,30,45,60,75,105,115,150,200,225,250,600},{12.5,15,20,30,45,60,75,105,115,150,200,225,250,600}))*(LOOKUP(M1080,{12.5,15,20,30,45,60,75,105,115,150,200,225,250,600,1000},{55,60,62,65,68,70,72,75,80,82,85,87,90,95,95})-LOOKUP(M1080,{12.5,15,20,30,45,60,75,105,115,150,200,225,250,600,1000},{50,55,60,62,65,68,70,72,75,80,82,85,87,90,95})))))</f>
        <v>75</v>
      </c>
      <c r="P1080" s="2">
        <f t="shared" si="83"/>
        <v>-18</v>
      </c>
      <c r="Q1080" s="2">
        <f t="shared" si="84"/>
        <v>-7.67</v>
      </c>
    </row>
    <row r="1081" customHeight="1" spans="1:17">
      <c r="B1081" s="2">
        <v>1080</v>
      </c>
      <c r="C1081" s="3">
        <f t="shared" si="85"/>
        <v>54.86</v>
      </c>
      <c r="D1081" s="2" t="s">
        <v>1507</v>
      </c>
      <c r="E1081" s="12">
        <v>60</v>
      </c>
      <c r="F1081" s="9">
        <v>73</v>
      </c>
      <c r="G1081" s="12">
        <v>66</v>
      </c>
      <c r="H1081" s="2" t="s">
        <v>524</v>
      </c>
      <c r="I1081" s="2" t="s">
        <v>28</v>
      </c>
      <c r="J1081" s="4" t="s">
        <v>59</v>
      </c>
      <c r="M1081" s="2">
        <f t="shared" si="81"/>
        <v>150</v>
      </c>
      <c r="N1081" s="2">
        <f t="shared" si="82"/>
        <v>63.2</v>
      </c>
      <c r="O1081" s="2">
        <f>IF(M1081="","",IF(M1081&gt;=1000,95,IF(M1081&lt;=12.5,50,LOOKUP(M1081,{12.5,15,20,30,45,60,75,105,115,150,200,225,250,600,1000},{50,55,60,62,65,68,70,72,75,80,82,85,87,90,95})+(M1081-LOOKUP(M1081,{12.5,15,20,30,45,60,75,105,115,150,200,225,250,600},{12.5,15,20,30,45,60,75,105,115,150,200,225,250,600}))/(LOOKUP(M1081,{12.5,15,20,30,45,60,75,105,115,150,200,225,250,600,1000},{15,20,30,45,60,75,105,115,150,200,225,250,600,1000,1000})-LOOKUP(M1081,{12.5,15,20,30,45,60,75,105,115,150,200,225,250,600},{12.5,15,20,30,45,60,75,105,115,150,200,225,250,600}))*(LOOKUP(M1081,{12.5,15,20,30,45,60,75,105,115,150,200,225,250,600,1000},{55,60,62,65,68,70,72,75,80,82,85,87,90,95,95})-LOOKUP(M1081,{12.5,15,20,30,45,60,75,105,115,150,200,225,250,600,1000},{50,55,60,62,65,68,70,72,75,80,82,85,87,90,95})))))</f>
        <v>80</v>
      </c>
      <c r="P1081" s="2">
        <f t="shared" si="83"/>
        <v>-20</v>
      </c>
      <c r="Q1081" s="2">
        <f t="shared" si="84"/>
        <v>-8.34</v>
      </c>
    </row>
    <row r="1082" customHeight="1" spans="1:17">
      <c r="B1082" s="2">
        <v>1081</v>
      </c>
      <c r="C1082" s="3">
        <f t="shared" si="85"/>
        <v>54.73</v>
      </c>
      <c r="D1082" s="2" t="s">
        <v>1508</v>
      </c>
      <c r="E1082" s="12">
        <v>60</v>
      </c>
      <c r="F1082" s="12">
        <v>62</v>
      </c>
      <c r="G1082" s="12">
        <v>60</v>
      </c>
      <c r="H1082" s="2" t="s">
        <v>41</v>
      </c>
      <c r="I1082" s="2" t="s">
        <v>746</v>
      </c>
      <c r="J1082" s="4" t="s">
        <v>105</v>
      </c>
      <c r="M1082" s="2">
        <f t="shared" si="81"/>
        <v>105</v>
      </c>
      <c r="N1082" s="2">
        <f t="shared" si="82"/>
        <v>60.4</v>
      </c>
      <c r="O1082" s="2">
        <f>IF(M1082="","",IF(M1082&gt;=1000,95,IF(M1082&lt;=12.5,50,LOOKUP(M1082,{12.5,15,20,30,45,60,75,105,115,150,200,225,250,600,1000},{50,55,60,62,65,68,70,72,75,80,82,85,87,90,95})+(M1082-LOOKUP(M1082,{12.5,15,20,30,45,60,75,105,115,150,200,225,250,600},{12.5,15,20,30,45,60,75,105,115,150,200,225,250,600}))/(LOOKUP(M1082,{12.5,15,20,30,45,60,75,105,115,150,200,225,250,600,1000},{15,20,30,45,60,75,105,115,150,200,225,250,600,1000,1000})-LOOKUP(M1082,{12.5,15,20,30,45,60,75,105,115,150,200,225,250,600},{12.5,15,20,30,45,60,75,105,115,150,200,225,250,600}))*(LOOKUP(M1082,{12.5,15,20,30,45,60,75,105,115,150,200,225,250,600,1000},{55,60,62,65,68,70,72,75,80,82,85,87,90,95,95})-LOOKUP(M1082,{12.5,15,20,30,45,60,75,105,115,150,200,225,250,600,1000},{50,55,60,62,65,68,70,72,75,80,82,85,87,90,95})))))</f>
        <v>72</v>
      </c>
      <c r="P1082" s="2">
        <f t="shared" si="83"/>
        <v>-12</v>
      </c>
      <c r="Q1082" s="2">
        <f t="shared" si="84"/>
        <v>-5.67</v>
      </c>
    </row>
    <row r="1083" customHeight="1" spans="1:17">
      <c r="A1083" s="2">
        <v>2026</v>
      </c>
      <c r="B1083" s="2">
        <v>1082</v>
      </c>
      <c r="C1083" s="3">
        <f t="shared" si="85"/>
        <v>54.7</v>
      </c>
      <c r="D1083" s="2" t="s">
        <v>1509</v>
      </c>
      <c r="E1083" s="2">
        <v>57</v>
      </c>
      <c r="F1083" s="2">
        <v>56</v>
      </c>
      <c r="G1083" s="2">
        <v>51</v>
      </c>
      <c r="H1083" s="2" t="s">
        <v>54</v>
      </c>
      <c r="I1083" s="2" t="s">
        <v>28</v>
      </c>
      <c r="J1083" s="4" t="s">
        <v>140</v>
      </c>
      <c r="M1083" s="2">
        <f t="shared" si="81"/>
        <v>20</v>
      </c>
      <c r="N1083" s="2">
        <f t="shared" si="82"/>
        <v>56.2</v>
      </c>
      <c r="O1083" s="2">
        <f>IF(M1083="","",IF(M1083&gt;=1000,95,IF(M1083&lt;=12.5,50,LOOKUP(M1083,{12.5,15,20,30,45,60,75,105,115,150,200,225,250,600,1000},{50,55,60,62,65,68,70,72,75,80,82,85,87,90,95})+(M1083-LOOKUP(M1083,{12.5,15,20,30,45,60,75,105,115,150,200,225,250,600},{12.5,15,20,30,45,60,75,105,115,150,200,225,250,600}))/(LOOKUP(M1083,{12.5,15,20,30,45,60,75,105,115,150,200,225,250,600,1000},{15,20,30,45,60,75,105,115,150,200,225,250,600,1000,1000})-LOOKUP(M1083,{12.5,15,20,30,45,60,75,105,115,150,200,225,250,600},{12.5,15,20,30,45,60,75,105,115,150,200,225,250,600}))*(LOOKUP(M1083,{12.5,15,20,30,45,60,75,105,115,150,200,225,250,600,1000},{55,60,62,65,68,70,72,75,80,82,85,87,90,95,95})-LOOKUP(M1083,{12.5,15,20,30,45,60,75,105,115,150,200,225,250,600,1000},{50,55,60,62,65,68,70,72,75,80,82,85,87,90,95})))))</f>
        <v>60</v>
      </c>
      <c r="P1083" s="2">
        <f t="shared" si="83"/>
        <v>-3</v>
      </c>
      <c r="Q1083" s="2">
        <f t="shared" si="84"/>
        <v>-1.5</v>
      </c>
    </row>
    <row r="1084" customHeight="1" spans="1:17">
      <c r="B1084" s="2">
        <v>1083</v>
      </c>
      <c r="C1084" s="3">
        <f t="shared" si="85"/>
        <v>54.7</v>
      </c>
      <c r="D1084" s="2" t="s">
        <v>1510</v>
      </c>
      <c r="E1084" s="12">
        <v>62</v>
      </c>
      <c r="F1084" s="2">
        <v>50</v>
      </c>
      <c r="G1084" s="2">
        <v>43</v>
      </c>
      <c r="H1084" s="2" t="s">
        <v>113</v>
      </c>
      <c r="I1084" s="2" t="s">
        <v>33</v>
      </c>
      <c r="J1084" s="4" t="s">
        <v>34</v>
      </c>
      <c r="M1084" s="2">
        <f t="shared" si="81"/>
        <v>60</v>
      </c>
      <c r="N1084" s="2">
        <f t="shared" si="82"/>
        <v>57.7</v>
      </c>
      <c r="O1084" s="2">
        <f>IF(M1084="","",IF(M1084&gt;=1000,95,IF(M1084&lt;=12.5,50,LOOKUP(M1084,{12.5,15,20,30,45,60,75,105,115,150,200,225,250,600,1000},{50,55,60,62,65,68,70,72,75,80,82,85,87,90,95})+(M1084-LOOKUP(M1084,{12.5,15,20,30,45,60,75,105,115,150,200,225,250,600},{12.5,15,20,30,45,60,75,105,115,150,200,225,250,600}))/(LOOKUP(M1084,{12.5,15,20,30,45,60,75,105,115,150,200,225,250,600,1000},{15,20,30,45,60,75,105,115,150,200,225,250,600,1000,1000})-LOOKUP(M1084,{12.5,15,20,30,45,60,75,105,115,150,200,225,250,600},{12.5,15,20,30,45,60,75,105,115,150,200,225,250,600}))*(LOOKUP(M1084,{12.5,15,20,30,45,60,75,105,115,150,200,225,250,600,1000},{55,60,62,65,68,70,72,75,80,82,85,87,90,95,95})-LOOKUP(M1084,{12.5,15,20,30,45,60,75,105,115,150,200,225,250,600,1000},{50,55,60,62,65,68,70,72,75,80,82,85,87,90,95})))))</f>
        <v>68</v>
      </c>
      <c r="P1084" s="2">
        <f t="shared" si="83"/>
        <v>-6</v>
      </c>
      <c r="Q1084" s="2">
        <f t="shared" si="84"/>
        <v>-3</v>
      </c>
    </row>
    <row r="1085" customHeight="1" spans="1:17">
      <c r="B1085" s="2">
        <v>1084</v>
      </c>
      <c r="C1085" s="3">
        <f t="shared" si="85"/>
        <v>54.66</v>
      </c>
      <c r="D1085" s="2" t="s">
        <v>1511</v>
      </c>
      <c r="E1085" s="2">
        <v>58</v>
      </c>
      <c r="F1085" s="12">
        <v>65</v>
      </c>
      <c r="G1085" s="9">
        <v>74</v>
      </c>
      <c r="H1085" s="2" t="s">
        <v>41</v>
      </c>
      <c r="I1085" s="2" t="s">
        <v>42</v>
      </c>
      <c r="J1085" s="4" t="s">
        <v>105</v>
      </c>
      <c r="M1085" s="2">
        <f t="shared" si="81"/>
        <v>105</v>
      </c>
      <c r="N1085" s="2">
        <f t="shared" si="82"/>
        <v>61</v>
      </c>
      <c r="O1085" s="2">
        <f>IF(M1085="","",IF(M1085&gt;=1000,95,IF(M1085&lt;=12.5,50,LOOKUP(M1085,{12.5,15,20,30,45,60,75,105,115,150,200,225,250,600,1000},{50,55,60,62,65,68,70,72,75,80,82,85,87,90,95})+(M1085-LOOKUP(M1085,{12.5,15,20,30,45,60,75,105,115,150,200,225,250,600},{12.5,15,20,30,45,60,75,105,115,150,200,225,250,600}))/(LOOKUP(M1085,{12.5,15,20,30,45,60,75,105,115,150,200,225,250,600,1000},{15,20,30,45,60,75,105,115,150,200,225,250,600,1000,1000})-LOOKUP(M1085,{12.5,15,20,30,45,60,75,105,115,150,200,225,250,600},{12.5,15,20,30,45,60,75,105,115,150,200,225,250,600}))*(LOOKUP(M1085,{12.5,15,20,30,45,60,75,105,115,150,200,225,250,600,1000},{55,60,62,65,68,70,72,75,80,82,85,87,90,95,95})-LOOKUP(M1085,{12.5,15,20,30,45,60,75,105,115,150,200,225,250,600,1000},{50,55,60,62,65,68,70,72,75,80,82,85,87,90,95})))))</f>
        <v>72</v>
      </c>
      <c r="P1085" s="2">
        <f t="shared" si="83"/>
        <v>-14</v>
      </c>
      <c r="Q1085" s="2">
        <f t="shared" si="84"/>
        <v>-6.34</v>
      </c>
    </row>
    <row r="1086" customHeight="1" spans="1:17">
      <c r="B1086" s="2">
        <v>1085</v>
      </c>
      <c r="C1086" s="3">
        <f t="shared" si="85"/>
        <v>54.6</v>
      </c>
      <c r="D1086" s="2" t="s">
        <v>1512</v>
      </c>
      <c r="E1086" s="2">
        <v>56</v>
      </c>
      <c r="F1086" s="12">
        <v>65</v>
      </c>
      <c r="G1086" s="2">
        <v>54</v>
      </c>
      <c r="H1086" s="2" t="s">
        <v>37</v>
      </c>
      <c r="I1086" s="2" t="s">
        <v>28</v>
      </c>
      <c r="J1086" s="4" t="s">
        <v>88</v>
      </c>
      <c r="M1086" s="2">
        <f t="shared" si="81"/>
        <v>30</v>
      </c>
      <c r="N1086" s="2">
        <f t="shared" si="82"/>
        <v>57.6</v>
      </c>
      <c r="O1086" s="2">
        <f>IF(M1086="","",IF(M1086&gt;=1000,95,IF(M1086&lt;=12.5,50,LOOKUP(M1086,{12.5,15,20,30,45,60,75,105,115,150,200,225,250,600,1000},{50,55,60,62,65,68,70,72,75,80,82,85,87,90,95})+(M1086-LOOKUP(M1086,{12.5,15,20,30,45,60,75,105,115,150,200,225,250,600},{12.5,15,20,30,45,60,75,105,115,150,200,225,250,600}))/(LOOKUP(M1086,{12.5,15,20,30,45,60,75,105,115,150,200,225,250,600,1000},{15,20,30,45,60,75,105,115,150,200,225,250,600,1000,1000})-LOOKUP(M1086,{12.5,15,20,30,45,60,75,105,115,150,200,225,250,600},{12.5,15,20,30,45,60,75,105,115,150,200,225,250,600}))*(LOOKUP(M1086,{12.5,15,20,30,45,60,75,105,115,150,200,225,250,600,1000},{55,60,62,65,68,70,72,75,80,82,85,87,90,95,95})-LOOKUP(M1086,{12.5,15,20,30,45,60,75,105,115,150,200,225,250,600,1000},{50,55,60,62,65,68,70,72,75,80,82,85,87,90,95})))))</f>
        <v>62</v>
      </c>
      <c r="P1086" s="2">
        <f t="shared" si="83"/>
        <v>-6</v>
      </c>
      <c r="Q1086" s="2">
        <f t="shared" si="84"/>
        <v>-3</v>
      </c>
    </row>
    <row r="1087" customHeight="1" spans="1:17">
      <c r="A1087" s="2">
        <v>2026</v>
      </c>
      <c r="B1087" s="2">
        <v>1086</v>
      </c>
      <c r="C1087" s="3">
        <f t="shared" si="85"/>
        <v>54.6</v>
      </c>
      <c r="D1087" s="2" t="s">
        <v>1513</v>
      </c>
      <c r="E1087" s="2">
        <v>57</v>
      </c>
      <c r="F1087" s="9">
        <v>75</v>
      </c>
      <c r="G1087" s="2">
        <v>57</v>
      </c>
      <c r="H1087" s="2" t="s">
        <v>41</v>
      </c>
      <c r="I1087" s="2" t="s">
        <v>55</v>
      </c>
      <c r="J1087" s="4" t="s">
        <v>24</v>
      </c>
      <c r="M1087" s="2">
        <f t="shared" si="81"/>
        <v>75</v>
      </c>
      <c r="N1087" s="2">
        <f t="shared" si="82"/>
        <v>60.6</v>
      </c>
      <c r="O1087" s="2">
        <f>IF(M1087="","",IF(M1087&gt;=1000,95,IF(M1087&lt;=12.5,50,LOOKUP(M1087,{12.5,15,20,30,45,60,75,105,115,150,200,225,250,600,1000},{50,55,60,62,65,68,70,72,75,80,82,85,87,90,95})+(M1087-LOOKUP(M1087,{12.5,15,20,30,45,60,75,105,115,150,200,225,250,600},{12.5,15,20,30,45,60,75,105,115,150,200,225,250,600}))/(LOOKUP(M1087,{12.5,15,20,30,45,60,75,105,115,150,200,225,250,600,1000},{15,20,30,45,60,75,105,115,150,200,225,250,600,1000,1000})-LOOKUP(M1087,{12.5,15,20,30,45,60,75,105,115,150,200,225,250,600},{12.5,15,20,30,45,60,75,105,115,150,200,225,250,600}))*(LOOKUP(M1087,{12.5,15,20,30,45,60,75,105,115,150,200,225,250,600,1000},{55,60,62,65,68,70,72,75,80,82,85,87,90,95,95})-LOOKUP(M1087,{12.5,15,20,30,45,60,75,105,115,150,200,225,250,600,1000},{50,55,60,62,65,68,70,72,75,80,82,85,87,90,95})))))</f>
        <v>70</v>
      </c>
      <c r="P1087" s="2">
        <f t="shared" si="83"/>
        <v>-13</v>
      </c>
      <c r="Q1087" s="2">
        <f t="shared" si="84"/>
        <v>-6</v>
      </c>
    </row>
    <row r="1088" customHeight="1" spans="1:17">
      <c r="B1088" s="2">
        <v>1087</v>
      </c>
      <c r="C1088" s="3">
        <f t="shared" si="85"/>
        <v>54.56</v>
      </c>
      <c r="D1088" s="2" t="s">
        <v>1514</v>
      </c>
      <c r="E1088" s="12">
        <v>67</v>
      </c>
      <c r="F1088" s="2">
        <v>50</v>
      </c>
      <c r="G1088" s="12">
        <v>60</v>
      </c>
      <c r="H1088" s="2" t="s">
        <v>113</v>
      </c>
      <c r="I1088" s="2" t="s">
        <v>50</v>
      </c>
      <c r="J1088" s="4" t="s">
        <v>123</v>
      </c>
      <c r="M1088" s="2">
        <f t="shared" si="81"/>
        <v>250</v>
      </c>
      <c r="N1088" s="2">
        <f t="shared" si="82"/>
        <v>62.9</v>
      </c>
      <c r="O1088" s="2">
        <f>IF(M1088="","",IF(M1088&gt;=1000,95,IF(M1088&lt;=12.5,50,LOOKUP(M1088,{12.5,15,20,30,45,60,75,105,115,150,200,225,250,600,1000},{50,55,60,62,65,68,70,72,75,80,82,85,87,90,95})+(M1088-LOOKUP(M1088,{12.5,15,20,30,45,60,75,105,115,150,200,225,250,600},{12.5,15,20,30,45,60,75,105,115,150,200,225,250,600}))/(LOOKUP(M1088,{12.5,15,20,30,45,60,75,105,115,150,200,225,250,600,1000},{15,20,30,45,60,75,105,115,150,200,225,250,600,1000,1000})-LOOKUP(M1088,{12.5,15,20,30,45,60,75,105,115,150,200,225,250,600},{12.5,15,20,30,45,60,75,105,115,150,200,225,250,600}))*(LOOKUP(M1088,{12.5,15,20,30,45,60,75,105,115,150,200,225,250,600,1000},{55,60,62,65,68,70,72,75,80,82,85,87,90,95,95})-LOOKUP(M1088,{12.5,15,20,30,45,60,75,105,115,150,200,225,250,600,1000},{50,55,60,62,65,68,70,72,75,80,82,85,87,90,95})))))</f>
        <v>87</v>
      </c>
      <c r="P1088" s="2">
        <f t="shared" si="83"/>
        <v>-20</v>
      </c>
      <c r="Q1088" s="2">
        <f t="shared" si="84"/>
        <v>-8.34</v>
      </c>
    </row>
    <row r="1089" customHeight="1" spans="1:17">
      <c r="B1089" s="2">
        <v>1088</v>
      </c>
      <c r="C1089" s="3">
        <f t="shared" si="85"/>
        <v>54.5</v>
      </c>
      <c r="D1089" s="2" t="s">
        <v>1515</v>
      </c>
      <c r="E1089" s="12">
        <v>60</v>
      </c>
      <c r="F1089" s="2">
        <v>42</v>
      </c>
      <c r="G1089" s="2">
        <v>51</v>
      </c>
      <c r="H1089" s="2" t="s">
        <v>41</v>
      </c>
      <c r="I1089" s="2" t="s">
        <v>63</v>
      </c>
      <c r="J1089" s="4" t="s">
        <v>88</v>
      </c>
      <c r="M1089" s="2">
        <f t="shared" si="81"/>
        <v>30</v>
      </c>
      <c r="N1089" s="2">
        <f t="shared" si="82"/>
        <v>55.5</v>
      </c>
      <c r="O1089" s="2">
        <f>IF(M1089="","",IF(M1089&gt;=1000,95,IF(M1089&lt;=12.5,50,LOOKUP(M1089,{12.5,15,20,30,45,60,75,105,115,150,200,225,250,600,1000},{50,55,60,62,65,68,70,72,75,80,82,85,87,90,95})+(M1089-LOOKUP(M1089,{12.5,15,20,30,45,60,75,105,115,150,200,225,250,600},{12.5,15,20,30,45,60,75,105,115,150,200,225,250,600}))/(LOOKUP(M1089,{12.5,15,20,30,45,60,75,105,115,150,200,225,250,600,1000},{15,20,30,45,60,75,105,115,150,200,225,250,600,1000,1000})-LOOKUP(M1089,{12.5,15,20,30,45,60,75,105,115,150,200,225,250,600},{12.5,15,20,30,45,60,75,105,115,150,200,225,250,600}))*(LOOKUP(M1089,{12.5,15,20,30,45,60,75,105,115,150,200,225,250,600,1000},{55,60,62,65,68,70,72,75,80,82,85,87,90,95,95})-LOOKUP(M1089,{12.5,15,20,30,45,60,75,105,115,150,200,225,250,600,1000},{50,55,60,62,65,68,70,72,75,80,82,85,87,90,95})))))</f>
        <v>62</v>
      </c>
      <c r="P1089" s="2">
        <f t="shared" si="83"/>
        <v>-2</v>
      </c>
      <c r="Q1089" s="2">
        <f t="shared" si="84"/>
        <v>-1</v>
      </c>
    </row>
    <row r="1090" customHeight="1" spans="1:17">
      <c r="B1090" s="2">
        <v>1089</v>
      </c>
      <c r="C1090" s="3">
        <f t="shared" si="85"/>
        <v>54.4</v>
      </c>
      <c r="D1090" s="2" t="s">
        <v>1516</v>
      </c>
      <c r="E1090" s="12">
        <v>62</v>
      </c>
      <c r="F1090" s="8">
        <v>92</v>
      </c>
      <c r="G1090" s="2">
        <v>36</v>
      </c>
      <c r="H1090" s="2" t="s">
        <v>1517</v>
      </c>
      <c r="I1090" s="2" t="s">
        <v>159</v>
      </c>
      <c r="J1090" s="4" t="s">
        <v>73</v>
      </c>
      <c r="M1090" s="2">
        <f t="shared" ref="M1090:M1153" si="86">IF(J1090="1000+",1000,(LEFT(J1090,FIND("-",J1090)-1)+RIGHT(J1090,LEN(J1090)-FIND("-",J1090)))/2)</f>
        <v>600</v>
      </c>
      <c r="N1090" s="2">
        <f t="shared" ref="N1090:N1153" si="87">ROUND(E1090*0.7+F1090*0.2+G1090*0.1,2)</f>
        <v>65.4</v>
      </c>
      <c r="O1090" s="2">
        <f>IF(M1090="","",IF(M1090&gt;=1000,95,IF(M1090&lt;=12.5,50,LOOKUP(M1090,{12.5,15,20,30,45,60,75,105,115,150,200,225,250,600,1000},{50,55,60,62,65,68,70,72,75,80,82,85,87,90,95})+(M1090-LOOKUP(M1090,{12.5,15,20,30,45,60,75,105,115,150,200,225,250,600},{12.5,15,20,30,45,60,75,105,115,150,200,225,250,600}))/(LOOKUP(M1090,{12.5,15,20,30,45,60,75,105,115,150,200,225,250,600,1000},{15,20,30,45,60,75,105,115,150,200,225,250,600,1000,1000})-LOOKUP(M1090,{12.5,15,20,30,45,60,75,105,115,150,200,225,250,600},{12.5,15,20,30,45,60,75,105,115,150,200,225,250,600}))*(LOOKUP(M1090,{12.5,15,20,30,45,60,75,105,115,150,200,225,250,600,1000},{55,60,62,65,68,70,72,75,80,82,85,87,90,95,95})-LOOKUP(M1090,{12.5,15,20,30,45,60,75,105,115,150,200,225,250,600,1000},{50,55,60,62,65,68,70,72,75,80,82,85,87,90,95})))))</f>
        <v>90</v>
      </c>
      <c r="P1090" s="2">
        <f t="shared" si="83"/>
        <v>-28</v>
      </c>
      <c r="Q1090" s="2">
        <f t="shared" si="84"/>
        <v>-11</v>
      </c>
    </row>
    <row r="1091" customHeight="1" spans="1:17">
      <c r="A1091" s="2">
        <v>2026</v>
      </c>
      <c r="B1091" s="2">
        <v>1090</v>
      </c>
      <c r="C1091" s="3">
        <f t="shared" si="85"/>
        <v>54.4</v>
      </c>
      <c r="D1091" s="2" t="s">
        <v>1518</v>
      </c>
      <c r="E1091" s="12">
        <v>60</v>
      </c>
      <c r="F1091" s="2">
        <v>58</v>
      </c>
      <c r="G1091" s="2">
        <v>48</v>
      </c>
      <c r="H1091" s="2" t="s">
        <v>54</v>
      </c>
      <c r="I1091" s="2" t="s">
        <v>104</v>
      </c>
      <c r="J1091" s="4" t="s">
        <v>34</v>
      </c>
      <c r="M1091" s="2">
        <f t="shared" si="86"/>
        <v>60</v>
      </c>
      <c r="N1091" s="2">
        <f t="shared" si="87"/>
        <v>58.4</v>
      </c>
      <c r="O1091" s="2">
        <f>IF(M1091="","",IF(M1091&gt;=1000,95,IF(M1091&lt;=12.5,50,LOOKUP(M1091,{12.5,15,20,30,45,60,75,105,115,150,200,225,250,600,1000},{50,55,60,62,65,68,70,72,75,80,82,85,87,90,95})+(M1091-LOOKUP(M1091,{12.5,15,20,30,45,60,75,105,115,150,200,225,250,600},{12.5,15,20,30,45,60,75,105,115,150,200,225,250,600}))/(LOOKUP(M1091,{12.5,15,20,30,45,60,75,105,115,150,200,225,250,600,1000},{15,20,30,45,60,75,105,115,150,200,225,250,600,1000,1000})-LOOKUP(M1091,{12.5,15,20,30,45,60,75,105,115,150,200,225,250,600},{12.5,15,20,30,45,60,75,105,115,150,200,225,250,600}))*(LOOKUP(M1091,{12.5,15,20,30,45,60,75,105,115,150,200,225,250,600,1000},{55,60,62,65,68,70,72,75,80,82,85,87,90,95,95})-LOOKUP(M1091,{12.5,15,20,30,45,60,75,105,115,150,200,225,250,600,1000},{50,55,60,62,65,68,70,72,75,80,82,85,87,90,95})))))</f>
        <v>68</v>
      </c>
      <c r="P1091" s="2">
        <f t="shared" si="83"/>
        <v>-8</v>
      </c>
      <c r="Q1091" s="2">
        <f t="shared" si="84"/>
        <v>-4</v>
      </c>
    </row>
    <row r="1092" customHeight="1" spans="1:17">
      <c r="B1092" s="2">
        <v>1091</v>
      </c>
      <c r="C1092" s="3">
        <f t="shared" si="85"/>
        <v>54.4</v>
      </c>
      <c r="D1092" s="2" t="s">
        <v>1519</v>
      </c>
      <c r="E1092" s="12">
        <v>60</v>
      </c>
      <c r="F1092" s="2">
        <v>57</v>
      </c>
      <c r="G1092" s="2">
        <v>35</v>
      </c>
      <c r="H1092" s="2" t="s">
        <v>573</v>
      </c>
      <c r="I1092" s="2" t="s">
        <v>28</v>
      </c>
      <c r="J1092" s="4" t="s">
        <v>38</v>
      </c>
      <c r="M1092" s="2">
        <f t="shared" si="86"/>
        <v>45</v>
      </c>
      <c r="N1092" s="2">
        <f t="shared" si="87"/>
        <v>56.9</v>
      </c>
      <c r="O1092" s="2">
        <f>IF(M1092="","",IF(M1092&gt;=1000,95,IF(M1092&lt;=12.5,50,LOOKUP(M1092,{12.5,15,20,30,45,60,75,105,115,150,200,225,250,600,1000},{50,55,60,62,65,68,70,72,75,80,82,85,87,90,95})+(M1092-LOOKUP(M1092,{12.5,15,20,30,45,60,75,105,115,150,200,225,250,600},{12.5,15,20,30,45,60,75,105,115,150,200,225,250,600}))/(LOOKUP(M1092,{12.5,15,20,30,45,60,75,105,115,150,200,225,250,600,1000},{15,20,30,45,60,75,105,115,150,200,225,250,600,1000,1000})-LOOKUP(M1092,{12.5,15,20,30,45,60,75,105,115,150,200,225,250,600},{12.5,15,20,30,45,60,75,105,115,150,200,225,250,600}))*(LOOKUP(M1092,{12.5,15,20,30,45,60,75,105,115,150,200,225,250,600,1000},{55,60,62,65,68,70,72,75,80,82,85,87,90,95,95})-LOOKUP(M1092,{12.5,15,20,30,45,60,75,105,115,150,200,225,250,600,1000},{50,55,60,62,65,68,70,72,75,80,82,85,87,90,95})))))</f>
        <v>65</v>
      </c>
      <c r="P1092" s="2">
        <f t="shared" si="83"/>
        <v>-5</v>
      </c>
      <c r="Q1092" s="2">
        <f t="shared" si="84"/>
        <v>-2.5</v>
      </c>
    </row>
    <row r="1093" customHeight="1" spans="1:17">
      <c r="B1093" s="2">
        <v>1092</v>
      </c>
      <c r="C1093" s="3">
        <f t="shared" si="85"/>
        <v>54.4</v>
      </c>
      <c r="D1093" s="2" t="s">
        <v>1520</v>
      </c>
      <c r="E1093" s="12">
        <v>65</v>
      </c>
      <c r="F1093" s="2">
        <v>52</v>
      </c>
      <c r="G1093" s="2">
        <v>35</v>
      </c>
      <c r="H1093" s="2" t="s">
        <v>515</v>
      </c>
      <c r="I1093" s="2" t="s">
        <v>28</v>
      </c>
      <c r="J1093" s="4" t="s">
        <v>148</v>
      </c>
      <c r="M1093" s="2">
        <f t="shared" si="86"/>
        <v>115</v>
      </c>
      <c r="N1093" s="2">
        <f t="shared" si="87"/>
        <v>59.4</v>
      </c>
      <c r="O1093" s="2">
        <f>IF(M1093="","",IF(M1093&gt;=1000,95,IF(M1093&lt;=12.5,50,LOOKUP(M1093,{12.5,15,20,30,45,60,75,105,115,150,200,225,250,600,1000},{50,55,60,62,65,68,70,72,75,80,82,85,87,90,95})+(M1093-LOOKUP(M1093,{12.5,15,20,30,45,60,75,105,115,150,200,225,250,600},{12.5,15,20,30,45,60,75,105,115,150,200,225,250,600}))/(LOOKUP(M1093,{12.5,15,20,30,45,60,75,105,115,150,200,225,250,600,1000},{15,20,30,45,60,75,105,115,150,200,225,250,600,1000,1000})-LOOKUP(M1093,{12.5,15,20,30,45,60,75,105,115,150,200,225,250,600},{12.5,15,20,30,45,60,75,105,115,150,200,225,250,600}))*(LOOKUP(M1093,{12.5,15,20,30,45,60,75,105,115,150,200,225,250,600,1000},{55,60,62,65,68,70,72,75,80,82,85,87,90,95,95})-LOOKUP(M1093,{12.5,15,20,30,45,60,75,105,115,150,200,225,250,600,1000},{50,55,60,62,65,68,70,72,75,80,82,85,87,90,95})))))</f>
        <v>75</v>
      </c>
      <c r="P1093" s="2">
        <f t="shared" si="83"/>
        <v>-10</v>
      </c>
      <c r="Q1093" s="2">
        <f t="shared" si="84"/>
        <v>-5</v>
      </c>
    </row>
    <row r="1094" customHeight="1" spans="1:17">
      <c r="B1094" s="2">
        <v>1093</v>
      </c>
      <c r="C1094" s="3">
        <f t="shared" si="85"/>
        <v>54.36</v>
      </c>
      <c r="D1094" s="2" t="s">
        <v>1521</v>
      </c>
      <c r="E1094" s="12">
        <v>65</v>
      </c>
      <c r="F1094" s="2">
        <v>48</v>
      </c>
      <c r="G1094" s="9">
        <v>76</v>
      </c>
      <c r="H1094" s="2" t="s">
        <v>997</v>
      </c>
      <c r="I1094" s="2" t="s">
        <v>932</v>
      </c>
      <c r="J1094" s="4" t="s">
        <v>19</v>
      </c>
      <c r="K1094" s="2" t="s">
        <v>1522</v>
      </c>
      <c r="M1094" s="2">
        <f t="shared" si="86"/>
        <v>225</v>
      </c>
      <c r="N1094" s="2">
        <f t="shared" si="87"/>
        <v>62.7</v>
      </c>
      <c r="O1094" s="2">
        <f>IF(M1094="","",IF(M1094&gt;=1000,95,IF(M1094&lt;=12.5,50,LOOKUP(M1094,{12.5,15,20,30,45,60,75,105,115,150,200,225,250,600,1000},{50,55,60,62,65,68,70,72,75,80,82,85,87,90,95})+(M1094-LOOKUP(M1094,{12.5,15,20,30,45,60,75,105,115,150,200,225,250,600},{12.5,15,20,30,45,60,75,105,115,150,200,225,250,600}))/(LOOKUP(M1094,{12.5,15,20,30,45,60,75,105,115,150,200,225,250,600,1000},{15,20,30,45,60,75,105,115,150,200,225,250,600,1000,1000})-LOOKUP(M1094,{12.5,15,20,30,45,60,75,105,115,150,200,225,250,600},{12.5,15,20,30,45,60,75,105,115,150,200,225,250,600}))*(LOOKUP(M1094,{12.5,15,20,30,45,60,75,105,115,150,200,225,250,600,1000},{55,60,62,65,68,70,72,75,80,82,85,87,90,95,95})-LOOKUP(M1094,{12.5,15,20,30,45,60,75,105,115,150,200,225,250,600,1000},{50,55,60,62,65,68,70,72,75,80,82,85,87,90,95})))))</f>
        <v>85</v>
      </c>
      <c r="P1094" s="2">
        <f t="shared" ref="P1094:P1157" si="88">E1094-O1094</f>
        <v>-20</v>
      </c>
      <c r="Q1094" s="2">
        <f t="shared" ref="Q1094:Q1157" si="89">ROUND(SIGN(P1094)*IF(ABS(P1094)&lt;=10,ABS(P1094)*0.5,IF(ABS(P1094)&lt;=15,5+(ABS(P1094)-10)*(1.67/5),6.67+(ABS(P1094)-15)*0.333)),2)</f>
        <v>-8.34</v>
      </c>
    </row>
    <row r="1095" customHeight="1" spans="1:17">
      <c r="B1095" s="2">
        <v>1094</v>
      </c>
      <c r="C1095" s="3">
        <f t="shared" si="85"/>
        <v>54.3</v>
      </c>
      <c r="D1095" s="2" t="s">
        <v>1523</v>
      </c>
      <c r="E1095" s="2">
        <v>58</v>
      </c>
      <c r="F1095" s="12">
        <v>60</v>
      </c>
      <c r="G1095" s="2">
        <v>52</v>
      </c>
      <c r="H1095" s="2" t="s">
        <v>1000</v>
      </c>
      <c r="I1095" s="2" t="s">
        <v>33</v>
      </c>
      <c r="J1095" s="4" t="s">
        <v>38</v>
      </c>
      <c r="M1095" s="2">
        <f t="shared" si="86"/>
        <v>45</v>
      </c>
      <c r="N1095" s="2">
        <f t="shared" si="87"/>
        <v>57.8</v>
      </c>
      <c r="O1095" s="2">
        <f>IF(M1095="","",IF(M1095&gt;=1000,95,IF(M1095&lt;=12.5,50,LOOKUP(M1095,{12.5,15,20,30,45,60,75,105,115,150,200,225,250,600,1000},{50,55,60,62,65,68,70,72,75,80,82,85,87,90,95})+(M1095-LOOKUP(M1095,{12.5,15,20,30,45,60,75,105,115,150,200,225,250,600},{12.5,15,20,30,45,60,75,105,115,150,200,225,250,600}))/(LOOKUP(M1095,{12.5,15,20,30,45,60,75,105,115,150,200,225,250,600,1000},{15,20,30,45,60,75,105,115,150,200,225,250,600,1000,1000})-LOOKUP(M1095,{12.5,15,20,30,45,60,75,105,115,150,200,225,250,600},{12.5,15,20,30,45,60,75,105,115,150,200,225,250,600}))*(LOOKUP(M1095,{12.5,15,20,30,45,60,75,105,115,150,200,225,250,600,1000},{55,60,62,65,68,70,72,75,80,82,85,87,90,95,95})-LOOKUP(M1095,{12.5,15,20,30,45,60,75,105,115,150,200,225,250,600,1000},{50,55,60,62,65,68,70,72,75,80,82,85,87,90,95})))))</f>
        <v>65</v>
      </c>
      <c r="P1095" s="2">
        <f t="shared" si="88"/>
        <v>-7</v>
      </c>
      <c r="Q1095" s="2">
        <f t="shared" si="89"/>
        <v>-3.5</v>
      </c>
    </row>
    <row r="1096" customHeight="1" spans="1:17">
      <c r="B1096" s="2">
        <v>1095</v>
      </c>
      <c r="C1096" s="3">
        <f t="shared" si="85"/>
        <v>54.2</v>
      </c>
      <c r="D1096" s="2" t="s">
        <v>1524</v>
      </c>
      <c r="E1096" s="2">
        <v>56</v>
      </c>
      <c r="F1096" s="2">
        <v>55</v>
      </c>
      <c r="G1096" s="2">
        <v>35</v>
      </c>
      <c r="H1096" s="2" t="s">
        <v>41</v>
      </c>
      <c r="I1096" s="2" t="s">
        <v>63</v>
      </c>
      <c r="J1096" s="4" t="s">
        <v>29</v>
      </c>
      <c r="M1096" s="2">
        <f t="shared" si="86"/>
        <v>15</v>
      </c>
      <c r="N1096" s="2">
        <f t="shared" si="87"/>
        <v>53.7</v>
      </c>
      <c r="O1096" s="2">
        <f>IF(M1096="","",IF(M1096&gt;=1000,95,IF(M1096&lt;=12.5,50,LOOKUP(M1096,{12.5,15,20,30,45,60,75,105,115,150,200,225,250,600,1000},{50,55,60,62,65,68,70,72,75,80,82,85,87,90,95})+(M1096-LOOKUP(M1096,{12.5,15,20,30,45,60,75,105,115,150,200,225,250,600},{12.5,15,20,30,45,60,75,105,115,150,200,225,250,600}))/(LOOKUP(M1096,{12.5,15,20,30,45,60,75,105,115,150,200,225,250,600,1000},{15,20,30,45,60,75,105,115,150,200,225,250,600,1000,1000})-LOOKUP(M1096,{12.5,15,20,30,45,60,75,105,115,150,200,225,250,600},{12.5,15,20,30,45,60,75,105,115,150,200,225,250,600}))*(LOOKUP(M1096,{12.5,15,20,30,45,60,75,105,115,150,200,225,250,600,1000},{55,60,62,65,68,70,72,75,80,82,85,87,90,95,95})-LOOKUP(M1096,{12.5,15,20,30,45,60,75,105,115,150,200,225,250,600,1000},{50,55,60,62,65,68,70,72,75,80,82,85,87,90,95})))))</f>
        <v>55</v>
      </c>
      <c r="P1096" s="2">
        <f t="shared" si="88"/>
        <v>1</v>
      </c>
      <c r="Q1096" s="2">
        <f t="shared" si="89"/>
        <v>0.5</v>
      </c>
    </row>
    <row r="1097" customHeight="1" spans="1:17">
      <c r="B1097" s="2">
        <v>1096</v>
      </c>
      <c r="C1097" s="3">
        <f t="shared" si="85"/>
        <v>54.16</v>
      </c>
      <c r="D1097" s="2" t="s">
        <v>1525</v>
      </c>
      <c r="E1097" s="12">
        <v>63</v>
      </c>
      <c r="F1097" s="12">
        <v>60</v>
      </c>
      <c r="G1097" s="2">
        <v>54</v>
      </c>
      <c r="H1097" s="2" t="s">
        <v>640</v>
      </c>
      <c r="I1097" s="2" t="s">
        <v>55</v>
      </c>
      <c r="J1097" s="4" t="s">
        <v>59</v>
      </c>
      <c r="M1097" s="2">
        <f t="shared" si="86"/>
        <v>150</v>
      </c>
      <c r="N1097" s="2">
        <f t="shared" si="87"/>
        <v>61.5</v>
      </c>
      <c r="O1097" s="2">
        <f>IF(M1097="","",IF(M1097&gt;=1000,95,IF(M1097&lt;=12.5,50,LOOKUP(M1097,{12.5,15,20,30,45,60,75,105,115,150,200,225,250,600,1000},{50,55,60,62,65,68,70,72,75,80,82,85,87,90,95})+(M1097-LOOKUP(M1097,{12.5,15,20,30,45,60,75,105,115,150,200,225,250,600},{12.5,15,20,30,45,60,75,105,115,150,200,225,250,600}))/(LOOKUP(M1097,{12.5,15,20,30,45,60,75,105,115,150,200,225,250,600,1000},{15,20,30,45,60,75,105,115,150,200,225,250,600,1000,1000})-LOOKUP(M1097,{12.5,15,20,30,45,60,75,105,115,150,200,225,250,600},{12.5,15,20,30,45,60,75,105,115,150,200,225,250,600}))*(LOOKUP(M1097,{12.5,15,20,30,45,60,75,105,115,150,200,225,250,600,1000},{55,60,62,65,68,70,72,75,80,82,85,87,90,95,95})-LOOKUP(M1097,{12.5,15,20,30,45,60,75,105,115,150,200,225,250,600,1000},{50,55,60,62,65,68,70,72,75,80,82,85,87,90,95})))))</f>
        <v>80</v>
      </c>
      <c r="P1097" s="2">
        <f t="shared" si="88"/>
        <v>-17</v>
      </c>
      <c r="Q1097" s="2">
        <f t="shared" si="89"/>
        <v>-7.34</v>
      </c>
    </row>
    <row r="1098" customHeight="1" spans="1:17">
      <c r="B1098" s="2">
        <v>1097</v>
      </c>
      <c r="C1098" s="3">
        <f t="shared" si="85"/>
        <v>54.1</v>
      </c>
      <c r="D1098" s="2" t="s">
        <v>1526</v>
      </c>
      <c r="E1098" s="2">
        <v>56</v>
      </c>
      <c r="F1098" s="2">
        <v>55</v>
      </c>
      <c r="G1098" s="12">
        <v>69</v>
      </c>
      <c r="H1098" s="2" t="s">
        <v>41</v>
      </c>
      <c r="I1098" s="2" t="s">
        <v>577</v>
      </c>
      <c r="J1098" s="4" t="s">
        <v>88</v>
      </c>
      <c r="M1098" s="2">
        <f t="shared" si="86"/>
        <v>30</v>
      </c>
      <c r="N1098" s="2">
        <f t="shared" si="87"/>
        <v>57.1</v>
      </c>
      <c r="O1098" s="2">
        <f>IF(M1098="","",IF(M1098&gt;=1000,95,IF(M1098&lt;=12.5,50,LOOKUP(M1098,{12.5,15,20,30,45,60,75,105,115,150,200,225,250,600,1000},{50,55,60,62,65,68,70,72,75,80,82,85,87,90,95})+(M1098-LOOKUP(M1098,{12.5,15,20,30,45,60,75,105,115,150,200,225,250,600},{12.5,15,20,30,45,60,75,105,115,150,200,225,250,600}))/(LOOKUP(M1098,{12.5,15,20,30,45,60,75,105,115,150,200,225,250,600,1000},{15,20,30,45,60,75,105,115,150,200,225,250,600,1000,1000})-LOOKUP(M1098,{12.5,15,20,30,45,60,75,105,115,150,200,225,250,600},{12.5,15,20,30,45,60,75,105,115,150,200,225,250,600}))*(LOOKUP(M1098,{12.5,15,20,30,45,60,75,105,115,150,200,225,250,600,1000},{55,60,62,65,68,70,72,75,80,82,85,87,90,95,95})-LOOKUP(M1098,{12.5,15,20,30,45,60,75,105,115,150,200,225,250,600,1000},{50,55,60,62,65,68,70,72,75,80,82,85,87,90,95})))))</f>
        <v>62</v>
      </c>
      <c r="P1098" s="2">
        <f t="shared" si="88"/>
        <v>-6</v>
      </c>
      <c r="Q1098" s="2">
        <f t="shared" si="89"/>
        <v>-3</v>
      </c>
    </row>
    <row r="1099" customHeight="1" spans="1:17">
      <c r="B1099" s="2">
        <v>1098</v>
      </c>
      <c r="C1099" s="3">
        <f t="shared" si="85"/>
        <v>54.06</v>
      </c>
      <c r="D1099" s="2" t="s">
        <v>1527</v>
      </c>
      <c r="E1099" s="2">
        <v>58</v>
      </c>
      <c r="F1099" s="12">
        <v>65</v>
      </c>
      <c r="G1099" s="12">
        <v>68</v>
      </c>
      <c r="H1099" s="2" t="s">
        <v>37</v>
      </c>
      <c r="I1099" s="2" t="s">
        <v>239</v>
      </c>
      <c r="J1099" s="4" t="s">
        <v>105</v>
      </c>
      <c r="M1099" s="2">
        <f t="shared" si="86"/>
        <v>105</v>
      </c>
      <c r="N1099" s="2">
        <f t="shared" si="87"/>
        <v>60.4</v>
      </c>
      <c r="O1099" s="2">
        <f>IF(M1099="","",IF(M1099&gt;=1000,95,IF(M1099&lt;=12.5,50,LOOKUP(M1099,{12.5,15,20,30,45,60,75,105,115,150,200,225,250,600,1000},{50,55,60,62,65,68,70,72,75,80,82,85,87,90,95})+(M1099-LOOKUP(M1099,{12.5,15,20,30,45,60,75,105,115,150,200,225,250,600},{12.5,15,20,30,45,60,75,105,115,150,200,225,250,600}))/(LOOKUP(M1099,{12.5,15,20,30,45,60,75,105,115,150,200,225,250,600,1000},{15,20,30,45,60,75,105,115,150,200,225,250,600,1000,1000})-LOOKUP(M1099,{12.5,15,20,30,45,60,75,105,115,150,200,225,250,600},{12.5,15,20,30,45,60,75,105,115,150,200,225,250,600}))*(LOOKUP(M1099,{12.5,15,20,30,45,60,75,105,115,150,200,225,250,600,1000},{55,60,62,65,68,70,72,75,80,82,85,87,90,95,95})-LOOKUP(M1099,{12.5,15,20,30,45,60,75,105,115,150,200,225,250,600,1000},{50,55,60,62,65,68,70,72,75,80,82,85,87,90,95})))))</f>
        <v>72</v>
      </c>
      <c r="P1099" s="2">
        <f t="shared" si="88"/>
        <v>-14</v>
      </c>
      <c r="Q1099" s="2">
        <f t="shared" si="89"/>
        <v>-6.34</v>
      </c>
    </row>
    <row r="1100" customHeight="1" spans="1:17">
      <c r="B1100" s="2">
        <v>1099</v>
      </c>
      <c r="C1100" s="3">
        <f t="shared" si="85"/>
        <v>54.06</v>
      </c>
      <c r="D1100" s="2" t="s">
        <v>1528</v>
      </c>
      <c r="E1100" s="12">
        <v>67</v>
      </c>
      <c r="F1100" s="2">
        <v>58</v>
      </c>
      <c r="G1100" s="2">
        <v>39</v>
      </c>
      <c r="H1100" s="2" t="s">
        <v>997</v>
      </c>
      <c r="I1100" s="2" t="s">
        <v>932</v>
      </c>
      <c r="J1100" s="4" t="s">
        <v>123</v>
      </c>
      <c r="M1100" s="2">
        <f t="shared" si="86"/>
        <v>250</v>
      </c>
      <c r="N1100" s="2">
        <f t="shared" si="87"/>
        <v>62.4</v>
      </c>
      <c r="O1100" s="2">
        <f>IF(M1100="","",IF(M1100&gt;=1000,95,IF(M1100&lt;=12.5,50,LOOKUP(M1100,{12.5,15,20,30,45,60,75,105,115,150,200,225,250,600,1000},{50,55,60,62,65,68,70,72,75,80,82,85,87,90,95})+(M1100-LOOKUP(M1100,{12.5,15,20,30,45,60,75,105,115,150,200,225,250,600},{12.5,15,20,30,45,60,75,105,115,150,200,225,250,600}))/(LOOKUP(M1100,{12.5,15,20,30,45,60,75,105,115,150,200,225,250,600,1000},{15,20,30,45,60,75,105,115,150,200,225,250,600,1000,1000})-LOOKUP(M1100,{12.5,15,20,30,45,60,75,105,115,150,200,225,250,600},{12.5,15,20,30,45,60,75,105,115,150,200,225,250,600}))*(LOOKUP(M1100,{12.5,15,20,30,45,60,75,105,115,150,200,225,250,600,1000},{55,60,62,65,68,70,72,75,80,82,85,87,90,95,95})-LOOKUP(M1100,{12.5,15,20,30,45,60,75,105,115,150,200,225,250,600,1000},{50,55,60,62,65,68,70,72,75,80,82,85,87,90,95})))))</f>
        <v>87</v>
      </c>
      <c r="P1100" s="2">
        <f t="shared" si="88"/>
        <v>-20</v>
      </c>
      <c r="Q1100" s="2">
        <f t="shared" si="89"/>
        <v>-8.34</v>
      </c>
    </row>
    <row r="1101" customHeight="1" spans="1:17">
      <c r="B1101" s="2">
        <v>1100</v>
      </c>
      <c r="C1101" s="3">
        <f t="shared" si="85"/>
        <v>54</v>
      </c>
      <c r="D1101" s="2" t="s">
        <v>1529</v>
      </c>
      <c r="E1101" s="12">
        <v>62</v>
      </c>
      <c r="F1101" s="2">
        <v>50</v>
      </c>
      <c r="G1101" s="2">
        <v>56</v>
      </c>
      <c r="H1101" s="2" t="s">
        <v>175</v>
      </c>
      <c r="I1101" s="2" t="s">
        <v>1195</v>
      </c>
      <c r="J1101" s="4" t="s">
        <v>105</v>
      </c>
      <c r="M1101" s="2">
        <f t="shared" si="86"/>
        <v>105</v>
      </c>
      <c r="N1101" s="2">
        <f t="shared" si="87"/>
        <v>59</v>
      </c>
      <c r="O1101" s="2">
        <f>IF(M1101="","",IF(M1101&gt;=1000,95,IF(M1101&lt;=12.5,50,LOOKUP(M1101,{12.5,15,20,30,45,60,75,105,115,150,200,225,250,600,1000},{50,55,60,62,65,68,70,72,75,80,82,85,87,90,95})+(M1101-LOOKUP(M1101,{12.5,15,20,30,45,60,75,105,115,150,200,225,250,600},{12.5,15,20,30,45,60,75,105,115,150,200,225,250,600}))/(LOOKUP(M1101,{12.5,15,20,30,45,60,75,105,115,150,200,225,250,600,1000},{15,20,30,45,60,75,105,115,150,200,225,250,600,1000,1000})-LOOKUP(M1101,{12.5,15,20,30,45,60,75,105,115,150,200,225,250,600},{12.5,15,20,30,45,60,75,105,115,150,200,225,250,600}))*(LOOKUP(M1101,{12.5,15,20,30,45,60,75,105,115,150,200,225,250,600,1000},{55,60,62,65,68,70,72,75,80,82,85,87,90,95,95})-LOOKUP(M1101,{12.5,15,20,30,45,60,75,105,115,150,200,225,250,600,1000},{50,55,60,62,65,68,70,72,75,80,82,85,87,90,95})))))</f>
        <v>72</v>
      </c>
      <c r="P1101" s="2">
        <f t="shared" si="88"/>
        <v>-10</v>
      </c>
      <c r="Q1101" s="2">
        <f t="shared" si="89"/>
        <v>-5</v>
      </c>
    </row>
    <row r="1102" customHeight="1" spans="1:17">
      <c r="A1102" s="2">
        <v>2026</v>
      </c>
      <c r="B1102" s="2">
        <v>1101</v>
      </c>
      <c r="C1102" s="3">
        <f t="shared" si="85"/>
        <v>53.96</v>
      </c>
      <c r="D1102" s="2" t="s">
        <v>1530</v>
      </c>
      <c r="E1102" s="12">
        <v>63</v>
      </c>
      <c r="F1102" s="2">
        <v>54</v>
      </c>
      <c r="G1102" s="12">
        <v>64</v>
      </c>
      <c r="H1102" s="2" t="s">
        <v>119</v>
      </c>
      <c r="I1102" s="2" t="s">
        <v>1440</v>
      </c>
      <c r="J1102" s="4" t="s">
        <v>59</v>
      </c>
      <c r="M1102" s="2">
        <f t="shared" si="86"/>
        <v>150</v>
      </c>
      <c r="N1102" s="2">
        <f t="shared" si="87"/>
        <v>61.3</v>
      </c>
      <c r="O1102" s="2">
        <f>IF(M1102="","",IF(M1102&gt;=1000,95,IF(M1102&lt;=12.5,50,LOOKUP(M1102,{12.5,15,20,30,45,60,75,105,115,150,200,225,250,600,1000},{50,55,60,62,65,68,70,72,75,80,82,85,87,90,95})+(M1102-LOOKUP(M1102,{12.5,15,20,30,45,60,75,105,115,150,200,225,250,600},{12.5,15,20,30,45,60,75,105,115,150,200,225,250,600}))/(LOOKUP(M1102,{12.5,15,20,30,45,60,75,105,115,150,200,225,250,600,1000},{15,20,30,45,60,75,105,115,150,200,225,250,600,1000,1000})-LOOKUP(M1102,{12.5,15,20,30,45,60,75,105,115,150,200,225,250,600},{12.5,15,20,30,45,60,75,105,115,150,200,225,250,600}))*(LOOKUP(M1102,{12.5,15,20,30,45,60,75,105,115,150,200,225,250,600,1000},{55,60,62,65,68,70,72,75,80,82,85,87,90,95,95})-LOOKUP(M1102,{12.5,15,20,30,45,60,75,105,115,150,200,225,250,600,1000},{50,55,60,62,65,68,70,72,75,80,82,85,87,90,95})))))</f>
        <v>80</v>
      </c>
      <c r="P1102" s="2">
        <f t="shared" si="88"/>
        <v>-17</v>
      </c>
      <c r="Q1102" s="2">
        <f t="shared" si="89"/>
        <v>-7.34</v>
      </c>
    </row>
    <row r="1103" customHeight="1" spans="1:17">
      <c r="B1103" s="2">
        <v>1102</v>
      </c>
      <c r="C1103" s="3">
        <f t="shared" si="85"/>
        <v>53.93</v>
      </c>
      <c r="D1103" s="2" t="s">
        <v>1531</v>
      </c>
      <c r="E1103" s="2">
        <v>59</v>
      </c>
      <c r="F1103" s="10">
        <v>80</v>
      </c>
      <c r="G1103" s="2">
        <v>53</v>
      </c>
      <c r="H1103" s="2" t="s">
        <v>264</v>
      </c>
      <c r="I1103" s="2" t="s">
        <v>354</v>
      </c>
      <c r="J1103" s="4" t="s">
        <v>59</v>
      </c>
      <c r="M1103" s="2">
        <f t="shared" si="86"/>
        <v>150</v>
      </c>
      <c r="N1103" s="2">
        <f t="shared" si="87"/>
        <v>62.6</v>
      </c>
      <c r="O1103" s="2">
        <f>IF(M1103="","",IF(M1103&gt;=1000,95,IF(M1103&lt;=12.5,50,LOOKUP(M1103,{12.5,15,20,30,45,60,75,105,115,150,200,225,250,600,1000},{50,55,60,62,65,68,70,72,75,80,82,85,87,90,95})+(M1103-LOOKUP(M1103,{12.5,15,20,30,45,60,75,105,115,150,200,225,250,600},{12.5,15,20,30,45,60,75,105,115,150,200,225,250,600}))/(LOOKUP(M1103,{12.5,15,20,30,45,60,75,105,115,150,200,225,250,600,1000},{15,20,30,45,60,75,105,115,150,200,225,250,600,1000,1000})-LOOKUP(M1103,{12.5,15,20,30,45,60,75,105,115,150,200,225,250,600},{12.5,15,20,30,45,60,75,105,115,150,200,225,250,600}))*(LOOKUP(M1103,{12.5,15,20,30,45,60,75,105,115,150,200,225,250,600,1000},{55,60,62,65,68,70,72,75,80,82,85,87,90,95,95})-LOOKUP(M1103,{12.5,15,20,30,45,60,75,105,115,150,200,225,250,600,1000},{50,55,60,62,65,68,70,72,75,80,82,85,87,90,95})))))</f>
        <v>80</v>
      </c>
      <c r="P1103" s="2">
        <f t="shared" si="88"/>
        <v>-21</v>
      </c>
      <c r="Q1103" s="2">
        <f t="shared" si="89"/>
        <v>-8.67</v>
      </c>
    </row>
    <row r="1104" customHeight="1" spans="1:17">
      <c r="A1104" s="2">
        <v>2026</v>
      </c>
      <c r="B1104" s="2">
        <v>1103</v>
      </c>
      <c r="C1104" s="3">
        <f t="shared" si="85"/>
        <v>53.9</v>
      </c>
      <c r="D1104" s="2" t="s">
        <v>1532</v>
      </c>
      <c r="E1104" s="2">
        <v>57</v>
      </c>
      <c r="F1104" s="2">
        <v>55</v>
      </c>
      <c r="G1104" s="2">
        <v>45</v>
      </c>
      <c r="H1104" s="2" t="s">
        <v>41</v>
      </c>
      <c r="I1104" s="2" t="s">
        <v>63</v>
      </c>
      <c r="J1104" s="4" t="s">
        <v>140</v>
      </c>
      <c r="M1104" s="2">
        <f t="shared" si="86"/>
        <v>20</v>
      </c>
      <c r="N1104" s="2">
        <f t="shared" si="87"/>
        <v>55.4</v>
      </c>
      <c r="O1104" s="2">
        <f>IF(M1104="","",IF(M1104&gt;=1000,95,IF(M1104&lt;=12.5,50,LOOKUP(M1104,{12.5,15,20,30,45,60,75,105,115,150,200,225,250,600,1000},{50,55,60,62,65,68,70,72,75,80,82,85,87,90,95})+(M1104-LOOKUP(M1104,{12.5,15,20,30,45,60,75,105,115,150,200,225,250,600},{12.5,15,20,30,45,60,75,105,115,150,200,225,250,600}))/(LOOKUP(M1104,{12.5,15,20,30,45,60,75,105,115,150,200,225,250,600,1000},{15,20,30,45,60,75,105,115,150,200,225,250,600,1000,1000})-LOOKUP(M1104,{12.5,15,20,30,45,60,75,105,115,150,200,225,250,600},{12.5,15,20,30,45,60,75,105,115,150,200,225,250,600}))*(LOOKUP(M1104,{12.5,15,20,30,45,60,75,105,115,150,200,225,250,600,1000},{55,60,62,65,68,70,72,75,80,82,85,87,90,95,95})-LOOKUP(M1104,{12.5,15,20,30,45,60,75,105,115,150,200,225,250,600,1000},{50,55,60,62,65,68,70,72,75,80,82,85,87,90,95})))))</f>
        <v>60</v>
      </c>
      <c r="P1104" s="2">
        <f t="shared" si="88"/>
        <v>-3</v>
      </c>
      <c r="Q1104" s="2">
        <f t="shared" si="89"/>
        <v>-1.5</v>
      </c>
    </row>
    <row r="1105" customHeight="1" spans="1:17">
      <c r="B1105" s="2">
        <v>1104</v>
      </c>
      <c r="C1105" s="3">
        <f t="shared" si="85"/>
        <v>53.86</v>
      </c>
      <c r="D1105" s="2" t="s">
        <v>1533</v>
      </c>
      <c r="E1105" s="2">
        <v>58</v>
      </c>
      <c r="F1105" s="12">
        <v>65</v>
      </c>
      <c r="G1105" s="12">
        <v>66</v>
      </c>
      <c r="H1105" s="2" t="s">
        <v>37</v>
      </c>
      <c r="I1105" s="2" t="s">
        <v>852</v>
      </c>
      <c r="J1105" s="4" t="s">
        <v>105</v>
      </c>
      <c r="M1105" s="2">
        <f t="shared" si="86"/>
        <v>105</v>
      </c>
      <c r="N1105" s="2">
        <f t="shared" si="87"/>
        <v>60.2</v>
      </c>
      <c r="O1105" s="2">
        <f>IF(M1105="","",IF(M1105&gt;=1000,95,IF(M1105&lt;=12.5,50,LOOKUP(M1105,{12.5,15,20,30,45,60,75,105,115,150,200,225,250,600,1000},{50,55,60,62,65,68,70,72,75,80,82,85,87,90,95})+(M1105-LOOKUP(M1105,{12.5,15,20,30,45,60,75,105,115,150,200,225,250,600},{12.5,15,20,30,45,60,75,105,115,150,200,225,250,600}))/(LOOKUP(M1105,{12.5,15,20,30,45,60,75,105,115,150,200,225,250,600,1000},{15,20,30,45,60,75,105,115,150,200,225,250,600,1000,1000})-LOOKUP(M1105,{12.5,15,20,30,45,60,75,105,115,150,200,225,250,600},{12.5,15,20,30,45,60,75,105,115,150,200,225,250,600}))*(LOOKUP(M1105,{12.5,15,20,30,45,60,75,105,115,150,200,225,250,600,1000},{55,60,62,65,68,70,72,75,80,82,85,87,90,95,95})-LOOKUP(M1105,{12.5,15,20,30,45,60,75,105,115,150,200,225,250,600,1000},{50,55,60,62,65,68,70,72,75,80,82,85,87,90,95})))))</f>
        <v>72</v>
      </c>
      <c r="P1105" s="2">
        <f t="shared" si="88"/>
        <v>-14</v>
      </c>
      <c r="Q1105" s="2">
        <f t="shared" si="89"/>
        <v>-6.34</v>
      </c>
    </row>
    <row r="1106" customHeight="1" spans="1:17">
      <c r="B1106" s="2">
        <v>1105</v>
      </c>
      <c r="C1106" s="3">
        <f t="shared" si="85"/>
        <v>53.8</v>
      </c>
      <c r="D1106" s="2" t="s">
        <v>1534</v>
      </c>
      <c r="E1106" s="2">
        <v>58</v>
      </c>
      <c r="F1106" s="2">
        <v>52</v>
      </c>
      <c r="G1106" s="12">
        <v>63</v>
      </c>
      <c r="H1106" s="2" t="s">
        <v>367</v>
      </c>
      <c r="I1106" s="2" t="s">
        <v>33</v>
      </c>
      <c r="J1106" s="4" t="s">
        <v>38</v>
      </c>
      <c r="M1106" s="2">
        <f t="shared" si="86"/>
        <v>45</v>
      </c>
      <c r="N1106" s="2">
        <f t="shared" si="87"/>
        <v>57.3</v>
      </c>
      <c r="O1106" s="2">
        <f>IF(M1106="","",IF(M1106&gt;=1000,95,IF(M1106&lt;=12.5,50,LOOKUP(M1106,{12.5,15,20,30,45,60,75,105,115,150,200,225,250,600,1000},{50,55,60,62,65,68,70,72,75,80,82,85,87,90,95})+(M1106-LOOKUP(M1106,{12.5,15,20,30,45,60,75,105,115,150,200,225,250,600},{12.5,15,20,30,45,60,75,105,115,150,200,225,250,600}))/(LOOKUP(M1106,{12.5,15,20,30,45,60,75,105,115,150,200,225,250,600,1000},{15,20,30,45,60,75,105,115,150,200,225,250,600,1000,1000})-LOOKUP(M1106,{12.5,15,20,30,45,60,75,105,115,150,200,225,250,600},{12.5,15,20,30,45,60,75,105,115,150,200,225,250,600}))*(LOOKUP(M1106,{12.5,15,20,30,45,60,75,105,115,150,200,225,250,600,1000},{55,60,62,65,68,70,72,75,80,82,85,87,90,95,95})-LOOKUP(M1106,{12.5,15,20,30,45,60,75,105,115,150,200,225,250,600,1000},{50,55,60,62,65,68,70,72,75,80,82,85,87,90,95})))))</f>
        <v>65</v>
      </c>
      <c r="P1106" s="2">
        <f t="shared" si="88"/>
        <v>-7</v>
      </c>
      <c r="Q1106" s="2">
        <f t="shared" si="89"/>
        <v>-3.5</v>
      </c>
    </row>
    <row r="1107" customHeight="1" spans="1:17">
      <c r="B1107" s="2">
        <v>1106</v>
      </c>
      <c r="C1107" s="3">
        <f t="shared" si="85"/>
        <v>53.73</v>
      </c>
      <c r="D1107" s="2" t="s">
        <v>1535</v>
      </c>
      <c r="E1107" s="12">
        <v>61</v>
      </c>
      <c r="F1107" s="12">
        <v>67</v>
      </c>
      <c r="G1107" s="12">
        <v>63</v>
      </c>
      <c r="H1107" s="2" t="s">
        <v>1344</v>
      </c>
      <c r="I1107" s="2" t="s">
        <v>1067</v>
      </c>
      <c r="J1107" s="4" t="s">
        <v>51</v>
      </c>
      <c r="M1107" s="2">
        <f t="shared" si="86"/>
        <v>200</v>
      </c>
      <c r="N1107" s="2">
        <f t="shared" si="87"/>
        <v>62.4</v>
      </c>
      <c r="O1107" s="2">
        <f>IF(M1107="","",IF(M1107&gt;=1000,95,IF(M1107&lt;=12.5,50,LOOKUP(M1107,{12.5,15,20,30,45,60,75,105,115,150,200,225,250,600,1000},{50,55,60,62,65,68,70,72,75,80,82,85,87,90,95})+(M1107-LOOKUP(M1107,{12.5,15,20,30,45,60,75,105,115,150,200,225,250,600},{12.5,15,20,30,45,60,75,105,115,150,200,225,250,600}))/(LOOKUP(M1107,{12.5,15,20,30,45,60,75,105,115,150,200,225,250,600,1000},{15,20,30,45,60,75,105,115,150,200,225,250,600,1000,1000})-LOOKUP(M1107,{12.5,15,20,30,45,60,75,105,115,150,200,225,250,600},{12.5,15,20,30,45,60,75,105,115,150,200,225,250,600}))*(LOOKUP(M1107,{12.5,15,20,30,45,60,75,105,115,150,200,225,250,600,1000},{55,60,62,65,68,70,72,75,80,82,85,87,90,95,95})-LOOKUP(M1107,{12.5,15,20,30,45,60,75,105,115,150,200,225,250,600,1000},{50,55,60,62,65,68,70,72,75,80,82,85,87,90,95})))))</f>
        <v>82</v>
      </c>
      <c r="P1107" s="2">
        <f t="shared" si="88"/>
        <v>-21</v>
      </c>
      <c r="Q1107" s="2">
        <f t="shared" si="89"/>
        <v>-8.67</v>
      </c>
    </row>
    <row r="1108" customHeight="1" spans="1:17">
      <c r="B1108" s="2">
        <v>1107</v>
      </c>
      <c r="C1108" s="3">
        <f t="shared" ref="C1108:C1171" si="90">ROUND(MAX(MIN(N1108+Q1108,100),0),2)</f>
        <v>53.7</v>
      </c>
      <c r="D1108" s="2" t="s">
        <v>1536</v>
      </c>
      <c r="E1108" s="2">
        <v>55</v>
      </c>
      <c r="F1108" s="2">
        <v>50</v>
      </c>
      <c r="G1108" s="2">
        <v>52</v>
      </c>
      <c r="H1108" s="2" t="s">
        <v>37</v>
      </c>
      <c r="I1108" s="2" t="s">
        <v>503</v>
      </c>
      <c r="J1108" s="4" t="s">
        <v>29</v>
      </c>
      <c r="M1108" s="2">
        <f t="shared" si="86"/>
        <v>15</v>
      </c>
      <c r="N1108" s="2">
        <f t="shared" si="87"/>
        <v>53.7</v>
      </c>
      <c r="O1108" s="2">
        <f>IF(M1108="","",IF(M1108&gt;=1000,95,IF(M1108&lt;=12.5,50,LOOKUP(M1108,{12.5,15,20,30,45,60,75,105,115,150,200,225,250,600,1000},{50,55,60,62,65,68,70,72,75,80,82,85,87,90,95})+(M1108-LOOKUP(M1108,{12.5,15,20,30,45,60,75,105,115,150,200,225,250,600},{12.5,15,20,30,45,60,75,105,115,150,200,225,250,600}))/(LOOKUP(M1108,{12.5,15,20,30,45,60,75,105,115,150,200,225,250,600,1000},{15,20,30,45,60,75,105,115,150,200,225,250,600,1000,1000})-LOOKUP(M1108,{12.5,15,20,30,45,60,75,105,115,150,200,225,250,600},{12.5,15,20,30,45,60,75,105,115,150,200,225,250,600}))*(LOOKUP(M1108,{12.5,15,20,30,45,60,75,105,115,150,200,225,250,600,1000},{55,60,62,65,68,70,72,75,80,82,85,87,90,95,95})-LOOKUP(M1108,{12.5,15,20,30,45,60,75,105,115,150,200,225,250,600,1000},{50,55,60,62,65,68,70,72,75,80,82,85,87,90,95})))))</f>
        <v>55</v>
      </c>
      <c r="P1108" s="2">
        <f t="shared" si="88"/>
        <v>0</v>
      </c>
      <c r="Q1108" s="2">
        <f t="shared" si="89"/>
        <v>0</v>
      </c>
    </row>
    <row r="1109" customHeight="1" spans="1:17">
      <c r="B1109" s="2">
        <v>1108</v>
      </c>
      <c r="C1109" s="3">
        <f t="shared" si="90"/>
        <v>53.7</v>
      </c>
      <c r="D1109" s="2" t="s">
        <v>1537</v>
      </c>
      <c r="E1109" s="12">
        <v>60</v>
      </c>
      <c r="F1109" s="2">
        <v>45</v>
      </c>
      <c r="G1109" s="2">
        <v>27</v>
      </c>
      <c r="H1109" s="2" t="s">
        <v>37</v>
      </c>
      <c r="I1109" s="2" t="s">
        <v>28</v>
      </c>
      <c r="J1109" s="4" t="s">
        <v>140</v>
      </c>
      <c r="M1109" s="2">
        <f t="shared" si="86"/>
        <v>20</v>
      </c>
      <c r="N1109" s="2">
        <f t="shared" si="87"/>
        <v>53.7</v>
      </c>
      <c r="O1109" s="2">
        <f>IF(M1109="","",IF(M1109&gt;=1000,95,IF(M1109&lt;=12.5,50,LOOKUP(M1109,{12.5,15,20,30,45,60,75,105,115,150,200,225,250,600,1000},{50,55,60,62,65,68,70,72,75,80,82,85,87,90,95})+(M1109-LOOKUP(M1109,{12.5,15,20,30,45,60,75,105,115,150,200,225,250,600},{12.5,15,20,30,45,60,75,105,115,150,200,225,250,600}))/(LOOKUP(M1109,{12.5,15,20,30,45,60,75,105,115,150,200,225,250,600,1000},{15,20,30,45,60,75,105,115,150,200,225,250,600,1000,1000})-LOOKUP(M1109,{12.5,15,20,30,45,60,75,105,115,150,200,225,250,600},{12.5,15,20,30,45,60,75,105,115,150,200,225,250,600}))*(LOOKUP(M1109,{12.5,15,20,30,45,60,75,105,115,150,200,225,250,600,1000},{55,60,62,65,68,70,72,75,80,82,85,87,90,95,95})-LOOKUP(M1109,{12.5,15,20,30,45,60,75,105,115,150,200,225,250,600,1000},{50,55,60,62,65,68,70,72,75,80,82,85,87,90,95})))))</f>
        <v>60</v>
      </c>
      <c r="P1109" s="2">
        <f t="shared" si="88"/>
        <v>0</v>
      </c>
      <c r="Q1109" s="2">
        <f t="shared" si="89"/>
        <v>0</v>
      </c>
    </row>
    <row r="1110" customHeight="1" spans="1:17">
      <c r="B1110" s="2">
        <v>1109</v>
      </c>
      <c r="C1110" s="3">
        <f t="shared" si="90"/>
        <v>53.63</v>
      </c>
      <c r="D1110" s="2" t="s">
        <v>1538</v>
      </c>
      <c r="E1110" s="12">
        <v>64</v>
      </c>
      <c r="F1110" s="2">
        <v>50</v>
      </c>
      <c r="G1110" s="9">
        <v>75</v>
      </c>
      <c r="H1110" s="2" t="s">
        <v>997</v>
      </c>
      <c r="I1110" s="2" t="s">
        <v>932</v>
      </c>
      <c r="J1110" s="4" t="s">
        <v>19</v>
      </c>
      <c r="M1110" s="2">
        <f t="shared" si="86"/>
        <v>225</v>
      </c>
      <c r="N1110" s="2">
        <f t="shared" si="87"/>
        <v>62.3</v>
      </c>
      <c r="O1110" s="2">
        <f>IF(M1110="","",IF(M1110&gt;=1000,95,IF(M1110&lt;=12.5,50,LOOKUP(M1110,{12.5,15,20,30,45,60,75,105,115,150,200,225,250,600,1000},{50,55,60,62,65,68,70,72,75,80,82,85,87,90,95})+(M1110-LOOKUP(M1110,{12.5,15,20,30,45,60,75,105,115,150,200,225,250,600},{12.5,15,20,30,45,60,75,105,115,150,200,225,250,600}))/(LOOKUP(M1110,{12.5,15,20,30,45,60,75,105,115,150,200,225,250,600,1000},{15,20,30,45,60,75,105,115,150,200,225,250,600,1000,1000})-LOOKUP(M1110,{12.5,15,20,30,45,60,75,105,115,150,200,225,250,600},{12.5,15,20,30,45,60,75,105,115,150,200,225,250,600}))*(LOOKUP(M1110,{12.5,15,20,30,45,60,75,105,115,150,200,225,250,600,1000},{55,60,62,65,68,70,72,75,80,82,85,87,90,95,95})-LOOKUP(M1110,{12.5,15,20,30,45,60,75,105,115,150,200,225,250,600,1000},{50,55,60,62,65,68,70,72,75,80,82,85,87,90,95})))))</f>
        <v>85</v>
      </c>
      <c r="P1110" s="2">
        <f t="shared" si="88"/>
        <v>-21</v>
      </c>
      <c r="Q1110" s="2">
        <f t="shared" si="89"/>
        <v>-8.67</v>
      </c>
    </row>
    <row r="1111" customHeight="1" spans="1:17">
      <c r="B1111" s="2">
        <v>1110</v>
      </c>
      <c r="C1111" s="3">
        <f t="shared" si="90"/>
        <v>53.6</v>
      </c>
      <c r="D1111" s="2" t="s">
        <v>1539</v>
      </c>
      <c r="E1111" s="12">
        <v>60</v>
      </c>
      <c r="F1111" s="9">
        <v>72</v>
      </c>
      <c r="G1111" s="9">
        <v>72</v>
      </c>
      <c r="H1111" s="2" t="s">
        <v>743</v>
      </c>
      <c r="I1111" s="2" t="s">
        <v>932</v>
      </c>
      <c r="J1111" s="4" t="s">
        <v>19</v>
      </c>
      <c r="M1111" s="2">
        <f t="shared" si="86"/>
        <v>225</v>
      </c>
      <c r="N1111" s="2">
        <f t="shared" si="87"/>
        <v>63.6</v>
      </c>
      <c r="O1111" s="2">
        <f>IF(M1111="","",IF(M1111&gt;=1000,95,IF(M1111&lt;=12.5,50,LOOKUP(M1111,{12.5,15,20,30,45,60,75,105,115,150,200,225,250,600,1000},{50,55,60,62,65,68,70,72,75,80,82,85,87,90,95})+(M1111-LOOKUP(M1111,{12.5,15,20,30,45,60,75,105,115,150,200,225,250,600},{12.5,15,20,30,45,60,75,105,115,150,200,225,250,600}))/(LOOKUP(M1111,{12.5,15,20,30,45,60,75,105,115,150,200,225,250,600,1000},{15,20,30,45,60,75,105,115,150,200,225,250,600,1000,1000})-LOOKUP(M1111,{12.5,15,20,30,45,60,75,105,115,150,200,225,250,600},{12.5,15,20,30,45,60,75,105,115,150,200,225,250,600}))*(LOOKUP(M1111,{12.5,15,20,30,45,60,75,105,115,150,200,225,250,600,1000},{55,60,62,65,68,70,72,75,80,82,85,87,90,95,95})-LOOKUP(M1111,{12.5,15,20,30,45,60,75,105,115,150,200,225,250,600,1000},{50,55,60,62,65,68,70,72,75,80,82,85,87,90,95})))))</f>
        <v>85</v>
      </c>
      <c r="P1111" s="2">
        <f t="shared" si="88"/>
        <v>-25</v>
      </c>
      <c r="Q1111" s="2">
        <f t="shared" si="89"/>
        <v>-10</v>
      </c>
    </row>
    <row r="1112" customHeight="1" spans="1:17">
      <c r="B1112" s="2">
        <v>1111</v>
      </c>
      <c r="C1112" s="3">
        <f t="shared" si="90"/>
        <v>53.6</v>
      </c>
      <c r="D1112" s="2" t="s">
        <v>1540</v>
      </c>
      <c r="E1112" s="12">
        <v>63</v>
      </c>
      <c r="F1112" s="12">
        <v>61</v>
      </c>
      <c r="G1112" s="2">
        <v>53</v>
      </c>
      <c r="H1112" s="2" t="s">
        <v>339</v>
      </c>
      <c r="I1112" s="2" t="s">
        <v>852</v>
      </c>
      <c r="J1112" s="4" t="s">
        <v>51</v>
      </c>
      <c r="M1112" s="2">
        <f t="shared" si="86"/>
        <v>200</v>
      </c>
      <c r="N1112" s="2">
        <f t="shared" si="87"/>
        <v>61.6</v>
      </c>
      <c r="O1112" s="2">
        <f>IF(M1112="","",IF(M1112&gt;=1000,95,IF(M1112&lt;=12.5,50,LOOKUP(M1112,{12.5,15,20,30,45,60,75,105,115,150,200,225,250,600,1000},{50,55,60,62,65,68,70,72,75,80,82,85,87,90,95})+(M1112-LOOKUP(M1112,{12.5,15,20,30,45,60,75,105,115,150,200,225,250,600},{12.5,15,20,30,45,60,75,105,115,150,200,225,250,600}))/(LOOKUP(M1112,{12.5,15,20,30,45,60,75,105,115,150,200,225,250,600,1000},{15,20,30,45,60,75,105,115,150,200,225,250,600,1000,1000})-LOOKUP(M1112,{12.5,15,20,30,45,60,75,105,115,150,200,225,250,600},{12.5,15,20,30,45,60,75,105,115,150,200,225,250,600}))*(LOOKUP(M1112,{12.5,15,20,30,45,60,75,105,115,150,200,225,250,600,1000},{55,60,62,65,68,70,72,75,80,82,85,87,90,95,95})-LOOKUP(M1112,{12.5,15,20,30,45,60,75,105,115,150,200,225,250,600,1000},{50,55,60,62,65,68,70,72,75,80,82,85,87,90,95})))))</f>
        <v>82</v>
      </c>
      <c r="P1112" s="2">
        <f t="shared" si="88"/>
        <v>-19</v>
      </c>
      <c r="Q1112" s="2">
        <f t="shared" si="89"/>
        <v>-8</v>
      </c>
    </row>
    <row r="1113" customHeight="1" spans="1:17">
      <c r="B1113" s="2">
        <v>1112</v>
      </c>
      <c r="C1113" s="3">
        <f t="shared" si="90"/>
        <v>53.5</v>
      </c>
      <c r="D1113" s="2" t="s">
        <v>1541</v>
      </c>
      <c r="E1113" s="2">
        <v>56</v>
      </c>
      <c r="F1113" s="9">
        <v>74</v>
      </c>
      <c r="G1113" s="9">
        <v>75</v>
      </c>
      <c r="H1113" s="2" t="s">
        <v>41</v>
      </c>
      <c r="I1113" s="2" t="s">
        <v>23</v>
      </c>
      <c r="J1113" s="4" t="s">
        <v>148</v>
      </c>
      <c r="M1113" s="2">
        <f t="shared" si="86"/>
        <v>115</v>
      </c>
      <c r="N1113" s="2">
        <f t="shared" si="87"/>
        <v>61.5</v>
      </c>
      <c r="O1113" s="2">
        <f>IF(M1113="","",IF(M1113&gt;=1000,95,IF(M1113&lt;=12.5,50,LOOKUP(M1113,{12.5,15,20,30,45,60,75,105,115,150,200,225,250,600,1000},{50,55,60,62,65,68,70,72,75,80,82,85,87,90,95})+(M1113-LOOKUP(M1113,{12.5,15,20,30,45,60,75,105,115,150,200,225,250,600},{12.5,15,20,30,45,60,75,105,115,150,200,225,250,600}))/(LOOKUP(M1113,{12.5,15,20,30,45,60,75,105,115,150,200,225,250,600,1000},{15,20,30,45,60,75,105,115,150,200,225,250,600,1000,1000})-LOOKUP(M1113,{12.5,15,20,30,45,60,75,105,115,150,200,225,250,600},{12.5,15,20,30,45,60,75,105,115,150,200,225,250,600}))*(LOOKUP(M1113,{12.5,15,20,30,45,60,75,105,115,150,200,225,250,600,1000},{55,60,62,65,68,70,72,75,80,82,85,87,90,95,95})-LOOKUP(M1113,{12.5,15,20,30,45,60,75,105,115,150,200,225,250,600,1000},{50,55,60,62,65,68,70,72,75,80,82,85,87,90,95})))))</f>
        <v>75</v>
      </c>
      <c r="P1113" s="2">
        <f t="shared" si="88"/>
        <v>-19</v>
      </c>
      <c r="Q1113" s="2">
        <f t="shared" si="89"/>
        <v>-8</v>
      </c>
    </row>
    <row r="1114" customHeight="1" spans="1:17">
      <c r="B1114" s="2">
        <v>1113</v>
      </c>
      <c r="C1114" s="3">
        <f t="shared" si="90"/>
        <v>53.5</v>
      </c>
      <c r="D1114" s="2" t="s">
        <v>1542</v>
      </c>
      <c r="E1114" s="12">
        <v>60</v>
      </c>
      <c r="F1114" s="2">
        <v>50</v>
      </c>
      <c r="G1114" s="2">
        <v>40</v>
      </c>
      <c r="H1114" s="2" t="s">
        <v>347</v>
      </c>
      <c r="I1114" s="2" t="s">
        <v>63</v>
      </c>
      <c r="J1114" s="4" t="s">
        <v>38</v>
      </c>
      <c r="M1114" s="2">
        <f t="shared" si="86"/>
        <v>45</v>
      </c>
      <c r="N1114" s="2">
        <f t="shared" si="87"/>
        <v>56</v>
      </c>
      <c r="O1114" s="2">
        <f>IF(M1114="","",IF(M1114&gt;=1000,95,IF(M1114&lt;=12.5,50,LOOKUP(M1114,{12.5,15,20,30,45,60,75,105,115,150,200,225,250,600,1000},{50,55,60,62,65,68,70,72,75,80,82,85,87,90,95})+(M1114-LOOKUP(M1114,{12.5,15,20,30,45,60,75,105,115,150,200,225,250,600},{12.5,15,20,30,45,60,75,105,115,150,200,225,250,600}))/(LOOKUP(M1114,{12.5,15,20,30,45,60,75,105,115,150,200,225,250,600,1000},{15,20,30,45,60,75,105,115,150,200,225,250,600,1000,1000})-LOOKUP(M1114,{12.5,15,20,30,45,60,75,105,115,150,200,225,250,600},{12.5,15,20,30,45,60,75,105,115,150,200,225,250,600}))*(LOOKUP(M1114,{12.5,15,20,30,45,60,75,105,115,150,200,225,250,600,1000},{55,60,62,65,68,70,72,75,80,82,85,87,90,95,95})-LOOKUP(M1114,{12.5,15,20,30,45,60,75,105,115,150,200,225,250,600,1000},{50,55,60,62,65,68,70,72,75,80,82,85,87,90,95})))))</f>
        <v>65</v>
      </c>
      <c r="P1114" s="2">
        <f t="shared" si="88"/>
        <v>-5</v>
      </c>
      <c r="Q1114" s="2">
        <f t="shared" si="89"/>
        <v>-2.5</v>
      </c>
    </row>
    <row r="1115" customHeight="1" spans="1:17">
      <c r="A1115" s="2">
        <v>2026</v>
      </c>
      <c r="B1115" s="2">
        <v>1114</v>
      </c>
      <c r="C1115" s="3">
        <f t="shared" si="90"/>
        <v>53.4</v>
      </c>
      <c r="D1115" s="2" t="s">
        <v>1543</v>
      </c>
      <c r="E1115" s="12">
        <v>62</v>
      </c>
      <c r="F1115" s="2">
        <v>45</v>
      </c>
      <c r="G1115" s="2">
        <v>40</v>
      </c>
      <c r="H1115" s="2" t="s">
        <v>54</v>
      </c>
      <c r="I1115" s="2" t="s">
        <v>33</v>
      </c>
      <c r="J1115" s="4" t="s">
        <v>34</v>
      </c>
      <c r="M1115" s="2">
        <f t="shared" si="86"/>
        <v>60</v>
      </c>
      <c r="N1115" s="2">
        <f t="shared" si="87"/>
        <v>56.4</v>
      </c>
      <c r="O1115" s="2">
        <f>IF(M1115="","",IF(M1115&gt;=1000,95,IF(M1115&lt;=12.5,50,LOOKUP(M1115,{12.5,15,20,30,45,60,75,105,115,150,200,225,250,600,1000},{50,55,60,62,65,68,70,72,75,80,82,85,87,90,95})+(M1115-LOOKUP(M1115,{12.5,15,20,30,45,60,75,105,115,150,200,225,250,600},{12.5,15,20,30,45,60,75,105,115,150,200,225,250,600}))/(LOOKUP(M1115,{12.5,15,20,30,45,60,75,105,115,150,200,225,250,600,1000},{15,20,30,45,60,75,105,115,150,200,225,250,600,1000,1000})-LOOKUP(M1115,{12.5,15,20,30,45,60,75,105,115,150,200,225,250,600},{12.5,15,20,30,45,60,75,105,115,150,200,225,250,600}))*(LOOKUP(M1115,{12.5,15,20,30,45,60,75,105,115,150,200,225,250,600,1000},{55,60,62,65,68,70,72,75,80,82,85,87,90,95,95})-LOOKUP(M1115,{12.5,15,20,30,45,60,75,105,115,150,200,225,250,600,1000},{50,55,60,62,65,68,70,72,75,80,82,85,87,90,95})))))</f>
        <v>68</v>
      </c>
      <c r="P1115" s="2">
        <f t="shared" si="88"/>
        <v>-6</v>
      </c>
      <c r="Q1115" s="2">
        <f t="shared" si="89"/>
        <v>-3</v>
      </c>
    </row>
    <row r="1116" customHeight="1" spans="1:17">
      <c r="B1116" s="2">
        <v>1115</v>
      </c>
      <c r="C1116" s="3">
        <f t="shared" si="90"/>
        <v>53.4</v>
      </c>
      <c r="D1116" s="2" t="s">
        <v>1544</v>
      </c>
      <c r="E1116" s="12">
        <v>64</v>
      </c>
      <c r="F1116" s="2">
        <v>51</v>
      </c>
      <c r="G1116" s="2">
        <v>54</v>
      </c>
      <c r="H1116" s="2" t="s">
        <v>189</v>
      </c>
      <c r="I1116" s="2" t="s">
        <v>42</v>
      </c>
      <c r="J1116" s="4" t="s">
        <v>59</v>
      </c>
      <c r="M1116" s="2">
        <f t="shared" si="86"/>
        <v>150</v>
      </c>
      <c r="N1116" s="2">
        <f t="shared" si="87"/>
        <v>60.4</v>
      </c>
      <c r="O1116" s="2">
        <f>IF(M1116="","",IF(M1116&gt;=1000,95,IF(M1116&lt;=12.5,50,LOOKUP(M1116,{12.5,15,20,30,45,60,75,105,115,150,200,225,250,600,1000},{50,55,60,62,65,68,70,72,75,80,82,85,87,90,95})+(M1116-LOOKUP(M1116,{12.5,15,20,30,45,60,75,105,115,150,200,225,250,600},{12.5,15,20,30,45,60,75,105,115,150,200,225,250,600}))/(LOOKUP(M1116,{12.5,15,20,30,45,60,75,105,115,150,200,225,250,600,1000},{15,20,30,45,60,75,105,115,150,200,225,250,600,1000,1000})-LOOKUP(M1116,{12.5,15,20,30,45,60,75,105,115,150,200,225,250,600},{12.5,15,20,30,45,60,75,105,115,150,200,225,250,600}))*(LOOKUP(M1116,{12.5,15,20,30,45,60,75,105,115,150,200,225,250,600,1000},{55,60,62,65,68,70,72,75,80,82,85,87,90,95,95})-LOOKUP(M1116,{12.5,15,20,30,45,60,75,105,115,150,200,225,250,600,1000},{50,55,60,62,65,68,70,72,75,80,82,85,87,90,95})))))</f>
        <v>80</v>
      </c>
      <c r="P1116" s="2">
        <f t="shared" si="88"/>
        <v>-16</v>
      </c>
      <c r="Q1116" s="2">
        <f t="shared" si="89"/>
        <v>-7</v>
      </c>
    </row>
    <row r="1117" customHeight="1" spans="1:17">
      <c r="A1117" s="2">
        <v>2026</v>
      </c>
      <c r="B1117" s="2">
        <v>1116</v>
      </c>
      <c r="C1117" s="3">
        <f t="shared" si="90"/>
        <v>53.4</v>
      </c>
      <c r="D1117" s="2" t="s">
        <v>1545</v>
      </c>
      <c r="E1117" s="2">
        <v>58</v>
      </c>
      <c r="F1117" s="2">
        <v>56</v>
      </c>
      <c r="G1117" s="2">
        <v>36</v>
      </c>
      <c r="H1117" s="2" t="s">
        <v>339</v>
      </c>
      <c r="I1117" s="2" t="s">
        <v>28</v>
      </c>
      <c r="J1117" s="4" t="s">
        <v>88</v>
      </c>
      <c r="M1117" s="2">
        <f t="shared" si="86"/>
        <v>30</v>
      </c>
      <c r="N1117" s="2">
        <f t="shared" si="87"/>
        <v>55.4</v>
      </c>
      <c r="O1117" s="2">
        <f>IF(M1117="","",IF(M1117&gt;=1000,95,IF(M1117&lt;=12.5,50,LOOKUP(M1117,{12.5,15,20,30,45,60,75,105,115,150,200,225,250,600,1000},{50,55,60,62,65,68,70,72,75,80,82,85,87,90,95})+(M1117-LOOKUP(M1117,{12.5,15,20,30,45,60,75,105,115,150,200,225,250,600},{12.5,15,20,30,45,60,75,105,115,150,200,225,250,600}))/(LOOKUP(M1117,{12.5,15,20,30,45,60,75,105,115,150,200,225,250,600,1000},{15,20,30,45,60,75,105,115,150,200,225,250,600,1000,1000})-LOOKUP(M1117,{12.5,15,20,30,45,60,75,105,115,150,200,225,250,600},{12.5,15,20,30,45,60,75,105,115,150,200,225,250,600}))*(LOOKUP(M1117,{12.5,15,20,30,45,60,75,105,115,150,200,225,250,600,1000},{55,60,62,65,68,70,72,75,80,82,85,87,90,95,95})-LOOKUP(M1117,{12.5,15,20,30,45,60,75,105,115,150,200,225,250,600,1000},{50,55,60,62,65,68,70,72,75,80,82,85,87,90,95})))))</f>
        <v>62</v>
      </c>
      <c r="P1117" s="2">
        <f t="shared" si="88"/>
        <v>-4</v>
      </c>
      <c r="Q1117" s="2">
        <f t="shared" si="89"/>
        <v>-2</v>
      </c>
    </row>
    <row r="1118" customHeight="1" spans="1:17">
      <c r="B1118" s="2">
        <v>1117</v>
      </c>
      <c r="C1118" s="3">
        <f t="shared" si="90"/>
        <v>53.4</v>
      </c>
      <c r="D1118" s="2" t="s">
        <v>1546</v>
      </c>
      <c r="E1118" s="12">
        <v>63</v>
      </c>
      <c r="F1118" s="2">
        <v>45</v>
      </c>
      <c r="G1118" s="2">
        <v>48</v>
      </c>
      <c r="H1118" s="2" t="s">
        <v>22</v>
      </c>
      <c r="I1118" s="2" t="s">
        <v>23</v>
      </c>
      <c r="J1118" s="4" t="s">
        <v>105</v>
      </c>
      <c r="M1118" s="2">
        <f t="shared" si="86"/>
        <v>105</v>
      </c>
      <c r="N1118" s="2">
        <f t="shared" si="87"/>
        <v>57.9</v>
      </c>
      <c r="O1118" s="2">
        <f>IF(M1118="","",IF(M1118&gt;=1000,95,IF(M1118&lt;=12.5,50,LOOKUP(M1118,{12.5,15,20,30,45,60,75,105,115,150,200,225,250,600,1000},{50,55,60,62,65,68,70,72,75,80,82,85,87,90,95})+(M1118-LOOKUP(M1118,{12.5,15,20,30,45,60,75,105,115,150,200,225,250,600},{12.5,15,20,30,45,60,75,105,115,150,200,225,250,600}))/(LOOKUP(M1118,{12.5,15,20,30,45,60,75,105,115,150,200,225,250,600,1000},{15,20,30,45,60,75,105,115,150,200,225,250,600,1000,1000})-LOOKUP(M1118,{12.5,15,20,30,45,60,75,105,115,150,200,225,250,600},{12.5,15,20,30,45,60,75,105,115,150,200,225,250,600}))*(LOOKUP(M1118,{12.5,15,20,30,45,60,75,105,115,150,200,225,250,600,1000},{55,60,62,65,68,70,72,75,80,82,85,87,90,95,95})-LOOKUP(M1118,{12.5,15,20,30,45,60,75,105,115,150,200,225,250,600,1000},{50,55,60,62,65,68,70,72,75,80,82,85,87,90,95})))))</f>
        <v>72</v>
      </c>
      <c r="P1118" s="2">
        <f t="shared" si="88"/>
        <v>-9</v>
      </c>
      <c r="Q1118" s="2">
        <f t="shared" si="89"/>
        <v>-4.5</v>
      </c>
    </row>
    <row r="1119" customHeight="1" spans="1:17">
      <c r="A1119" s="2">
        <v>2026</v>
      </c>
      <c r="B1119" s="2">
        <v>1118</v>
      </c>
      <c r="C1119" s="3">
        <f t="shared" si="90"/>
        <v>53.36</v>
      </c>
      <c r="D1119" s="2" t="s">
        <v>1547</v>
      </c>
      <c r="E1119" s="12">
        <v>62</v>
      </c>
      <c r="F1119" s="12">
        <v>61</v>
      </c>
      <c r="G1119" s="12">
        <v>61</v>
      </c>
      <c r="H1119" s="2" t="s">
        <v>264</v>
      </c>
      <c r="I1119" s="2" t="s">
        <v>239</v>
      </c>
      <c r="J1119" s="4" t="s">
        <v>51</v>
      </c>
      <c r="M1119" s="2">
        <f t="shared" si="86"/>
        <v>200</v>
      </c>
      <c r="N1119" s="2">
        <f t="shared" si="87"/>
        <v>61.7</v>
      </c>
      <c r="O1119" s="2">
        <f>IF(M1119="","",IF(M1119&gt;=1000,95,IF(M1119&lt;=12.5,50,LOOKUP(M1119,{12.5,15,20,30,45,60,75,105,115,150,200,225,250,600,1000},{50,55,60,62,65,68,70,72,75,80,82,85,87,90,95})+(M1119-LOOKUP(M1119,{12.5,15,20,30,45,60,75,105,115,150,200,225,250,600},{12.5,15,20,30,45,60,75,105,115,150,200,225,250,600}))/(LOOKUP(M1119,{12.5,15,20,30,45,60,75,105,115,150,200,225,250,600,1000},{15,20,30,45,60,75,105,115,150,200,225,250,600,1000,1000})-LOOKUP(M1119,{12.5,15,20,30,45,60,75,105,115,150,200,225,250,600},{12.5,15,20,30,45,60,75,105,115,150,200,225,250,600}))*(LOOKUP(M1119,{12.5,15,20,30,45,60,75,105,115,150,200,225,250,600,1000},{55,60,62,65,68,70,72,75,80,82,85,87,90,95,95})-LOOKUP(M1119,{12.5,15,20,30,45,60,75,105,115,150,200,225,250,600,1000},{50,55,60,62,65,68,70,72,75,80,82,85,87,90,95})))))</f>
        <v>82</v>
      </c>
      <c r="P1119" s="2">
        <f t="shared" si="88"/>
        <v>-20</v>
      </c>
      <c r="Q1119" s="2">
        <f t="shared" si="89"/>
        <v>-8.34</v>
      </c>
    </row>
    <row r="1120" customHeight="1" spans="1:17">
      <c r="B1120" s="2">
        <v>1119</v>
      </c>
      <c r="C1120" s="3">
        <f t="shared" si="90"/>
        <v>53.36</v>
      </c>
      <c r="D1120" s="2" t="s">
        <v>1548</v>
      </c>
      <c r="E1120" s="2">
        <v>58</v>
      </c>
      <c r="F1120" s="12">
        <v>69</v>
      </c>
      <c r="G1120" s="12">
        <v>63</v>
      </c>
      <c r="H1120" s="2" t="s">
        <v>41</v>
      </c>
      <c r="I1120" s="2" t="s">
        <v>354</v>
      </c>
      <c r="J1120" s="4" t="s">
        <v>148</v>
      </c>
      <c r="M1120" s="2">
        <f t="shared" si="86"/>
        <v>115</v>
      </c>
      <c r="N1120" s="2">
        <f t="shared" si="87"/>
        <v>60.7</v>
      </c>
      <c r="O1120" s="2">
        <f>IF(M1120="","",IF(M1120&gt;=1000,95,IF(M1120&lt;=12.5,50,LOOKUP(M1120,{12.5,15,20,30,45,60,75,105,115,150,200,225,250,600,1000},{50,55,60,62,65,68,70,72,75,80,82,85,87,90,95})+(M1120-LOOKUP(M1120,{12.5,15,20,30,45,60,75,105,115,150,200,225,250,600},{12.5,15,20,30,45,60,75,105,115,150,200,225,250,600}))/(LOOKUP(M1120,{12.5,15,20,30,45,60,75,105,115,150,200,225,250,600,1000},{15,20,30,45,60,75,105,115,150,200,225,250,600,1000,1000})-LOOKUP(M1120,{12.5,15,20,30,45,60,75,105,115,150,200,225,250,600},{12.5,15,20,30,45,60,75,105,115,150,200,225,250,600}))*(LOOKUP(M1120,{12.5,15,20,30,45,60,75,105,115,150,200,225,250,600,1000},{55,60,62,65,68,70,72,75,80,82,85,87,90,95,95})-LOOKUP(M1120,{12.5,15,20,30,45,60,75,105,115,150,200,225,250,600,1000},{50,55,60,62,65,68,70,72,75,80,82,85,87,90,95})))))</f>
        <v>75</v>
      </c>
      <c r="P1120" s="2">
        <f t="shared" si="88"/>
        <v>-17</v>
      </c>
      <c r="Q1120" s="2">
        <f t="shared" si="89"/>
        <v>-7.34</v>
      </c>
    </row>
    <row r="1121" customHeight="1" spans="1:17">
      <c r="B1121" s="2">
        <v>1120</v>
      </c>
      <c r="C1121" s="3">
        <f t="shared" si="90"/>
        <v>53.33</v>
      </c>
      <c r="D1121" s="2" t="s">
        <v>1549</v>
      </c>
      <c r="E1121" s="2">
        <v>54</v>
      </c>
      <c r="F1121" s="9">
        <v>77</v>
      </c>
      <c r="G1121" s="10">
        <v>88</v>
      </c>
      <c r="H1121" s="2" t="s">
        <v>329</v>
      </c>
      <c r="I1121" s="2" t="s">
        <v>159</v>
      </c>
      <c r="J1121" s="4" t="s">
        <v>148</v>
      </c>
      <c r="M1121" s="2">
        <f t="shared" si="86"/>
        <v>115</v>
      </c>
      <c r="N1121" s="2">
        <f t="shared" si="87"/>
        <v>62</v>
      </c>
      <c r="O1121" s="2">
        <f>IF(M1121="","",IF(M1121&gt;=1000,95,IF(M1121&lt;=12.5,50,LOOKUP(M1121,{12.5,15,20,30,45,60,75,105,115,150,200,225,250,600,1000},{50,55,60,62,65,68,70,72,75,80,82,85,87,90,95})+(M1121-LOOKUP(M1121,{12.5,15,20,30,45,60,75,105,115,150,200,225,250,600},{12.5,15,20,30,45,60,75,105,115,150,200,225,250,600}))/(LOOKUP(M1121,{12.5,15,20,30,45,60,75,105,115,150,200,225,250,600,1000},{15,20,30,45,60,75,105,115,150,200,225,250,600,1000,1000})-LOOKUP(M1121,{12.5,15,20,30,45,60,75,105,115,150,200,225,250,600},{12.5,15,20,30,45,60,75,105,115,150,200,225,250,600}))*(LOOKUP(M1121,{12.5,15,20,30,45,60,75,105,115,150,200,225,250,600,1000},{55,60,62,65,68,70,72,75,80,82,85,87,90,95,95})-LOOKUP(M1121,{12.5,15,20,30,45,60,75,105,115,150,200,225,250,600,1000},{50,55,60,62,65,68,70,72,75,80,82,85,87,90,95})))))</f>
        <v>75</v>
      </c>
      <c r="P1121" s="2">
        <f t="shared" si="88"/>
        <v>-21</v>
      </c>
      <c r="Q1121" s="2">
        <f t="shared" si="89"/>
        <v>-8.67</v>
      </c>
    </row>
    <row r="1122" customHeight="1" spans="1:17">
      <c r="B1122" s="2">
        <v>1121</v>
      </c>
      <c r="C1122" s="3">
        <f t="shared" si="90"/>
        <v>53.33</v>
      </c>
      <c r="D1122" s="2" t="s">
        <v>1550</v>
      </c>
      <c r="E1122" s="2">
        <v>56</v>
      </c>
      <c r="F1122" s="12">
        <v>68</v>
      </c>
      <c r="G1122" s="12">
        <v>62</v>
      </c>
      <c r="H1122" s="2" t="s">
        <v>94</v>
      </c>
      <c r="I1122" s="2" t="s">
        <v>63</v>
      </c>
      <c r="J1122" s="4" t="s">
        <v>34</v>
      </c>
      <c r="M1122" s="2">
        <f t="shared" si="86"/>
        <v>60</v>
      </c>
      <c r="N1122" s="2">
        <f t="shared" si="87"/>
        <v>59</v>
      </c>
      <c r="O1122" s="2">
        <f>IF(M1122="","",IF(M1122&gt;=1000,95,IF(M1122&lt;=12.5,50,LOOKUP(M1122,{12.5,15,20,30,45,60,75,105,115,150,200,225,250,600,1000},{50,55,60,62,65,68,70,72,75,80,82,85,87,90,95})+(M1122-LOOKUP(M1122,{12.5,15,20,30,45,60,75,105,115,150,200,225,250,600},{12.5,15,20,30,45,60,75,105,115,150,200,225,250,600}))/(LOOKUP(M1122,{12.5,15,20,30,45,60,75,105,115,150,200,225,250,600,1000},{15,20,30,45,60,75,105,115,150,200,225,250,600,1000,1000})-LOOKUP(M1122,{12.5,15,20,30,45,60,75,105,115,150,200,225,250,600},{12.5,15,20,30,45,60,75,105,115,150,200,225,250,600}))*(LOOKUP(M1122,{12.5,15,20,30,45,60,75,105,115,150,200,225,250,600,1000},{55,60,62,65,68,70,72,75,80,82,85,87,90,95,95})-LOOKUP(M1122,{12.5,15,20,30,45,60,75,105,115,150,200,225,250,600,1000},{50,55,60,62,65,68,70,72,75,80,82,85,87,90,95})))))</f>
        <v>68</v>
      </c>
      <c r="P1122" s="2">
        <f t="shared" si="88"/>
        <v>-12</v>
      </c>
      <c r="Q1122" s="2">
        <f t="shared" si="89"/>
        <v>-5.67</v>
      </c>
    </row>
    <row r="1123" customHeight="1" spans="1:17">
      <c r="A1123" s="2">
        <v>2026</v>
      </c>
      <c r="B1123" s="2">
        <v>1122</v>
      </c>
      <c r="C1123" s="3">
        <f t="shared" si="90"/>
        <v>53.3</v>
      </c>
      <c r="D1123" s="2" t="s">
        <v>1551</v>
      </c>
      <c r="E1123" s="2">
        <v>59</v>
      </c>
      <c r="F1123" s="12">
        <v>60</v>
      </c>
      <c r="G1123" s="9">
        <v>70</v>
      </c>
      <c r="H1123" s="2" t="s">
        <v>54</v>
      </c>
      <c r="I1123" s="2" t="s">
        <v>104</v>
      </c>
      <c r="J1123" s="4" t="s">
        <v>148</v>
      </c>
      <c r="M1123" s="2">
        <f t="shared" si="86"/>
        <v>115</v>
      </c>
      <c r="N1123" s="2">
        <f t="shared" si="87"/>
        <v>60.3</v>
      </c>
      <c r="O1123" s="2">
        <f>IF(M1123="","",IF(M1123&gt;=1000,95,IF(M1123&lt;=12.5,50,LOOKUP(M1123,{12.5,15,20,30,45,60,75,105,115,150,200,225,250,600,1000},{50,55,60,62,65,68,70,72,75,80,82,85,87,90,95})+(M1123-LOOKUP(M1123,{12.5,15,20,30,45,60,75,105,115,150,200,225,250,600},{12.5,15,20,30,45,60,75,105,115,150,200,225,250,600}))/(LOOKUP(M1123,{12.5,15,20,30,45,60,75,105,115,150,200,225,250,600,1000},{15,20,30,45,60,75,105,115,150,200,225,250,600,1000,1000})-LOOKUP(M1123,{12.5,15,20,30,45,60,75,105,115,150,200,225,250,600},{12.5,15,20,30,45,60,75,105,115,150,200,225,250,600}))*(LOOKUP(M1123,{12.5,15,20,30,45,60,75,105,115,150,200,225,250,600,1000},{55,60,62,65,68,70,72,75,80,82,85,87,90,95,95})-LOOKUP(M1123,{12.5,15,20,30,45,60,75,105,115,150,200,225,250,600,1000},{50,55,60,62,65,68,70,72,75,80,82,85,87,90,95})))))</f>
        <v>75</v>
      </c>
      <c r="P1123" s="2">
        <f t="shared" si="88"/>
        <v>-16</v>
      </c>
      <c r="Q1123" s="2">
        <f t="shared" si="89"/>
        <v>-7</v>
      </c>
    </row>
    <row r="1124" customHeight="1" spans="1:17">
      <c r="B1124" s="2">
        <v>1123</v>
      </c>
      <c r="C1124" s="3">
        <f t="shared" si="90"/>
        <v>53.3</v>
      </c>
      <c r="D1124" s="2" t="s">
        <v>1552</v>
      </c>
      <c r="E1124" s="12">
        <v>60</v>
      </c>
      <c r="F1124" s="9">
        <v>70</v>
      </c>
      <c r="G1124" s="9">
        <v>73</v>
      </c>
      <c r="H1124" s="2" t="s">
        <v>37</v>
      </c>
      <c r="I1124" s="2" t="s">
        <v>197</v>
      </c>
      <c r="J1124" s="4" t="s">
        <v>19</v>
      </c>
      <c r="M1124" s="2">
        <f t="shared" si="86"/>
        <v>225</v>
      </c>
      <c r="N1124" s="2">
        <f t="shared" si="87"/>
        <v>63.3</v>
      </c>
      <c r="O1124" s="2">
        <f>IF(M1124="","",IF(M1124&gt;=1000,95,IF(M1124&lt;=12.5,50,LOOKUP(M1124,{12.5,15,20,30,45,60,75,105,115,150,200,225,250,600,1000},{50,55,60,62,65,68,70,72,75,80,82,85,87,90,95})+(M1124-LOOKUP(M1124,{12.5,15,20,30,45,60,75,105,115,150,200,225,250,600},{12.5,15,20,30,45,60,75,105,115,150,200,225,250,600}))/(LOOKUP(M1124,{12.5,15,20,30,45,60,75,105,115,150,200,225,250,600,1000},{15,20,30,45,60,75,105,115,150,200,225,250,600,1000,1000})-LOOKUP(M1124,{12.5,15,20,30,45,60,75,105,115,150,200,225,250,600},{12.5,15,20,30,45,60,75,105,115,150,200,225,250,600}))*(LOOKUP(M1124,{12.5,15,20,30,45,60,75,105,115,150,200,225,250,600,1000},{55,60,62,65,68,70,72,75,80,82,85,87,90,95,95})-LOOKUP(M1124,{12.5,15,20,30,45,60,75,105,115,150,200,225,250,600,1000},{50,55,60,62,65,68,70,72,75,80,82,85,87,90,95})))))</f>
        <v>85</v>
      </c>
      <c r="P1124" s="2">
        <f t="shared" si="88"/>
        <v>-25</v>
      </c>
      <c r="Q1124" s="2">
        <f t="shared" si="89"/>
        <v>-10</v>
      </c>
    </row>
    <row r="1125" customHeight="1" spans="1:17">
      <c r="B1125" s="2">
        <v>1124</v>
      </c>
      <c r="C1125" s="3">
        <f t="shared" si="90"/>
        <v>53.23</v>
      </c>
      <c r="D1125" s="2" t="s">
        <v>1553</v>
      </c>
      <c r="E1125" s="2">
        <v>58</v>
      </c>
      <c r="F1125" s="12">
        <v>65</v>
      </c>
      <c r="G1125" s="2">
        <v>53</v>
      </c>
      <c r="H1125" s="2" t="s">
        <v>342</v>
      </c>
      <c r="I1125" s="2" t="s">
        <v>33</v>
      </c>
      <c r="J1125" s="4" t="s">
        <v>24</v>
      </c>
      <c r="M1125" s="2">
        <f t="shared" si="86"/>
        <v>75</v>
      </c>
      <c r="N1125" s="2">
        <f t="shared" si="87"/>
        <v>58.9</v>
      </c>
      <c r="O1125" s="2">
        <f>IF(M1125="","",IF(M1125&gt;=1000,95,IF(M1125&lt;=12.5,50,LOOKUP(M1125,{12.5,15,20,30,45,60,75,105,115,150,200,225,250,600,1000},{50,55,60,62,65,68,70,72,75,80,82,85,87,90,95})+(M1125-LOOKUP(M1125,{12.5,15,20,30,45,60,75,105,115,150,200,225,250,600},{12.5,15,20,30,45,60,75,105,115,150,200,225,250,600}))/(LOOKUP(M1125,{12.5,15,20,30,45,60,75,105,115,150,200,225,250,600,1000},{15,20,30,45,60,75,105,115,150,200,225,250,600,1000,1000})-LOOKUP(M1125,{12.5,15,20,30,45,60,75,105,115,150,200,225,250,600},{12.5,15,20,30,45,60,75,105,115,150,200,225,250,600}))*(LOOKUP(M1125,{12.5,15,20,30,45,60,75,105,115,150,200,225,250,600,1000},{55,60,62,65,68,70,72,75,80,82,85,87,90,95,95})-LOOKUP(M1125,{12.5,15,20,30,45,60,75,105,115,150,200,225,250,600,1000},{50,55,60,62,65,68,70,72,75,80,82,85,87,90,95})))))</f>
        <v>70</v>
      </c>
      <c r="P1125" s="2">
        <f t="shared" si="88"/>
        <v>-12</v>
      </c>
      <c r="Q1125" s="2">
        <f t="shared" si="89"/>
        <v>-5.67</v>
      </c>
    </row>
    <row r="1126" customHeight="1" spans="1:17">
      <c r="B1126" s="2">
        <v>1125</v>
      </c>
      <c r="C1126" s="3">
        <f t="shared" si="90"/>
        <v>53.2</v>
      </c>
      <c r="D1126" s="2" t="s">
        <v>1554</v>
      </c>
      <c r="E1126" s="2">
        <v>57</v>
      </c>
      <c r="F1126" s="2">
        <v>58</v>
      </c>
      <c r="G1126" s="2">
        <v>57</v>
      </c>
      <c r="H1126" s="2" t="s">
        <v>37</v>
      </c>
      <c r="I1126" s="2" t="s">
        <v>23</v>
      </c>
      <c r="J1126" s="4" t="s">
        <v>38</v>
      </c>
      <c r="M1126" s="2">
        <f t="shared" si="86"/>
        <v>45</v>
      </c>
      <c r="N1126" s="2">
        <f t="shared" si="87"/>
        <v>57.2</v>
      </c>
      <c r="O1126" s="2">
        <f>IF(M1126="","",IF(M1126&gt;=1000,95,IF(M1126&lt;=12.5,50,LOOKUP(M1126,{12.5,15,20,30,45,60,75,105,115,150,200,225,250,600,1000},{50,55,60,62,65,68,70,72,75,80,82,85,87,90,95})+(M1126-LOOKUP(M1126,{12.5,15,20,30,45,60,75,105,115,150,200,225,250,600},{12.5,15,20,30,45,60,75,105,115,150,200,225,250,600}))/(LOOKUP(M1126,{12.5,15,20,30,45,60,75,105,115,150,200,225,250,600,1000},{15,20,30,45,60,75,105,115,150,200,225,250,600,1000,1000})-LOOKUP(M1126,{12.5,15,20,30,45,60,75,105,115,150,200,225,250,600},{12.5,15,20,30,45,60,75,105,115,150,200,225,250,600}))*(LOOKUP(M1126,{12.5,15,20,30,45,60,75,105,115,150,200,225,250,600,1000},{55,60,62,65,68,70,72,75,80,82,85,87,90,95,95})-LOOKUP(M1126,{12.5,15,20,30,45,60,75,105,115,150,200,225,250,600,1000},{50,55,60,62,65,68,70,72,75,80,82,85,87,90,95})))))</f>
        <v>65</v>
      </c>
      <c r="P1126" s="2">
        <f t="shared" si="88"/>
        <v>-8</v>
      </c>
      <c r="Q1126" s="2">
        <f t="shared" si="89"/>
        <v>-4</v>
      </c>
    </row>
    <row r="1127" customHeight="1" spans="1:17">
      <c r="A1127" s="2">
        <v>2026</v>
      </c>
      <c r="B1127" s="2">
        <v>1126</v>
      </c>
      <c r="C1127" s="3">
        <f t="shared" si="90"/>
        <v>53.2</v>
      </c>
      <c r="D1127" s="2" t="s">
        <v>1555</v>
      </c>
      <c r="E1127" s="2">
        <v>57</v>
      </c>
      <c r="F1127" s="2">
        <v>56</v>
      </c>
      <c r="G1127" s="2">
        <v>46</v>
      </c>
      <c r="H1127" s="2" t="s">
        <v>54</v>
      </c>
      <c r="I1127" s="2" t="s">
        <v>229</v>
      </c>
      <c r="J1127" s="4" t="s">
        <v>88</v>
      </c>
      <c r="M1127" s="2">
        <f t="shared" si="86"/>
        <v>30</v>
      </c>
      <c r="N1127" s="2">
        <f t="shared" si="87"/>
        <v>55.7</v>
      </c>
      <c r="O1127" s="2">
        <f>IF(M1127="","",IF(M1127&gt;=1000,95,IF(M1127&lt;=12.5,50,LOOKUP(M1127,{12.5,15,20,30,45,60,75,105,115,150,200,225,250,600,1000},{50,55,60,62,65,68,70,72,75,80,82,85,87,90,95})+(M1127-LOOKUP(M1127,{12.5,15,20,30,45,60,75,105,115,150,200,225,250,600},{12.5,15,20,30,45,60,75,105,115,150,200,225,250,600}))/(LOOKUP(M1127,{12.5,15,20,30,45,60,75,105,115,150,200,225,250,600,1000},{15,20,30,45,60,75,105,115,150,200,225,250,600,1000,1000})-LOOKUP(M1127,{12.5,15,20,30,45,60,75,105,115,150,200,225,250,600},{12.5,15,20,30,45,60,75,105,115,150,200,225,250,600}))*(LOOKUP(M1127,{12.5,15,20,30,45,60,75,105,115,150,200,225,250,600,1000},{55,60,62,65,68,70,72,75,80,82,85,87,90,95,95})-LOOKUP(M1127,{12.5,15,20,30,45,60,75,105,115,150,200,225,250,600,1000},{50,55,60,62,65,68,70,72,75,80,82,85,87,90,95})))))</f>
        <v>62</v>
      </c>
      <c r="P1127" s="2">
        <f t="shared" si="88"/>
        <v>-5</v>
      </c>
      <c r="Q1127" s="2">
        <f t="shared" si="89"/>
        <v>-2.5</v>
      </c>
    </row>
    <row r="1128" customHeight="1" spans="1:17">
      <c r="B1128" s="2">
        <v>1127</v>
      </c>
      <c r="C1128" s="3">
        <f t="shared" si="90"/>
        <v>53.2</v>
      </c>
      <c r="D1128" s="2" t="s">
        <v>1556</v>
      </c>
      <c r="E1128" s="12">
        <v>60</v>
      </c>
      <c r="F1128" s="2">
        <v>50</v>
      </c>
      <c r="G1128" s="2">
        <v>52</v>
      </c>
      <c r="H1128" s="2" t="s">
        <v>66</v>
      </c>
      <c r="I1128" s="2" t="s">
        <v>33</v>
      </c>
      <c r="J1128" s="4" t="s">
        <v>34</v>
      </c>
      <c r="M1128" s="2">
        <f t="shared" si="86"/>
        <v>60</v>
      </c>
      <c r="N1128" s="2">
        <f t="shared" si="87"/>
        <v>57.2</v>
      </c>
      <c r="O1128" s="2">
        <f>IF(M1128="","",IF(M1128&gt;=1000,95,IF(M1128&lt;=12.5,50,LOOKUP(M1128,{12.5,15,20,30,45,60,75,105,115,150,200,225,250,600,1000},{50,55,60,62,65,68,70,72,75,80,82,85,87,90,95})+(M1128-LOOKUP(M1128,{12.5,15,20,30,45,60,75,105,115,150,200,225,250,600},{12.5,15,20,30,45,60,75,105,115,150,200,225,250,600}))/(LOOKUP(M1128,{12.5,15,20,30,45,60,75,105,115,150,200,225,250,600,1000},{15,20,30,45,60,75,105,115,150,200,225,250,600,1000,1000})-LOOKUP(M1128,{12.5,15,20,30,45,60,75,105,115,150,200,225,250,600},{12.5,15,20,30,45,60,75,105,115,150,200,225,250,600}))*(LOOKUP(M1128,{12.5,15,20,30,45,60,75,105,115,150,200,225,250,600,1000},{55,60,62,65,68,70,72,75,80,82,85,87,90,95,95})-LOOKUP(M1128,{12.5,15,20,30,45,60,75,105,115,150,200,225,250,600,1000},{50,55,60,62,65,68,70,72,75,80,82,85,87,90,95})))))</f>
        <v>68</v>
      </c>
      <c r="P1128" s="2">
        <f t="shared" si="88"/>
        <v>-8</v>
      </c>
      <c r="Q1128" s="2">
        <f t="shared" si="89"/>
        <v>-4</v>
      </c>
    </row>
    <row r="1129" customHeight="1" spans="1:17">
      <c r="B1129" s="2">
        <v>1128</v>
      </c>
      <c r="C1129" s="3">
        <f t="shared" si="90"/>
        <v>53.2</v>
      </c>
      <c r="D1129" s="2" t="s">
        <v>1557</v>
      </c>
      <c r="E1129" s="2">
        <v>58</v>
      </c>
      <c r="F1129" s="2">
        <v>50</v>
      </c>
      <c r="G1129" s="2">
        <v>36</v>
      </c>
      <c r="H1129" s="2" t="s">
        <v>91</v>
      </c>
      <c r="I1129" s="2" t="s">
        <v>503</v>
      </c>
      <c r="J1129" s="4" t="s">
        <v>140</v>
      </c>
      <c r="M1129" s="2">
        <f t="shared" si="86"/>
        <v>20</v>
      </c>
      <c r="N1129" s="2">
        <f t="shared" si="87"/>
        <v>54.2</v>
      </c>
      <c r="O1129" s="2">
        <f>IF(M1129="","",IF(M1129&gt;=1000,95,IF(M1129&lt;=12.5,50,LOOKUP(M1129,{12.5,15,20,30,45,60,75,105,115,150,200,225,250,600,1000},{50,55,60,62,65,68,70,72,75,80,82,85,87,90,95})+(M1129-LOOKUP(M1129,{12.5,15,20,30,45,60,75,105,115,150,200,225,250,600},{12.5,15,20,30,45,60,75,105,115,150,200,225,250,600}))/(LOOKUP(M1129,{12.5,15,20,30,45,60,75,105,115,150,200,225,250,600,1000},{15,20,30,45,60,75,105,115,150,200,225,250,600,1000,1000})-LOOKUP(M1129,{12.5,15,20,30,45,60,75,105,115,150,200,225,250,600},{12.5,15,20,30,45,60,75,105,115,150,200,225,250,600}))*(LOOKUP(M1129,{12.5,15,20,30,45,60,75,105,115,150,200,225,250,600,1000},{55,60,62,65,68,70,72,75,80,82,85,87,90,95,95})-LOOKUP(M1129,{12.5,15,20,30,45,60,75,105,115,150,200,225,250,600,1000},{50,55,60,62,65,68,70,72,75,80,82,85,87,90,95})))))</f>
        <v>60</v>
      </c>
      <c r="P1129" s="2">
        <f t="shared" si="88"/>
        <v>-2</v>
      </c>
      <c r="Q1129" s="2">
        <f t="shared" si="89"/>
        <v>-1</v>
      </c>
    </row>
    <row r="1130" customHeight="1" spans="1:17">
      <c r="A1130" s="2">
        <v>2026</v>
      </c>
      <c r="B1130" s="2">
        <v>1129</v>
      </c>
      <c r="C1130" s="3">
        <f t="shared" si="90"/>
        <v>53.1</v>
      </c>
      <c r="D1130" s="2" t="s">
        <v>1558</v>
      </c>
      <c r="E1130" s="2">
        <v>54</v>
      </c>
      <c r="F1130" s="12">
        <v>64</v>
      </c>
      <c r="G1130" s="2">
        <v>55</v>
      </c>
      <c r="H1130" s="2" t="s">
        <v>54</v>
      </c>
      <c r="I1130" s="2" t="s">
        <v>28</v>
      </c>
      <c r="J1130" s="4" t="s">
        <v>140</v>
      </c>
      <c r="M1130" s="2">
        <f t="shared" si="86"/>
        <v>20</v>
      </c>
      <c r="N1130" s="2">
        <f t="shared" si="87"/>
        <v>56.1</v>
      </c>
      <c r="O1130" s="2">
        <f>IF(M1130="","",IF(M1130&gt;=1000,95,IF(M1130&lt;=12.5,50,LOOKUP(M1130,{12.5,15,20,30,45,60,75,105,115,150,200,225,250,600,1000},{50,55,60,62,65,68,70,72,75,80,82,85,87,90,95})+(M1130-LOOKUP(M1130,{12.5,15,20,30,45,60,75,105,115,150,200,225,250,600},{12.5,15,20,30,45,60,75,105,115,150,200,225,250,600}))/(LOOKUP(M1130,{12.5,15,20,30,45,60,75,105,115,150,200,225,250,600,1000},{15,20,30,45,60,75,105,115,150,200,225,250,600,1000,1000})-LOOKUP(M1130,{12.5,15,20,30,45,60,75,105,115,150,200,225,250,600},{12.5,15,20,30,45,60,75,105,115,150,200,225,250,600}))*(LOOKUP(M1130,{12.5,15,20,30,45,60,75,105,115,150,200,225,250,600,1000},{55,60,62,65,68,70,72,75,80,82,85,87,90,95,95})-LOOKUP(M1130,{12.5,15,20,30,45,60,75,105,115,150,200,225,250,600,1000},{50,55,60,62,65,68,70,72,75,80,82,85,87,90,95})))))</f>
        <v>60</v>
      </c>
      <c r="P1130" s="2">
        <f t="shared" si="88"/>
        <v>-6</v>
      </c>
      <c r="Q1130" s="2">
        <f t="shared" si="89"/>
        <v>-3</v>
      </c>
    </row>
    <row r="1131" customHeight="1" spans="1:17">
      <c r="B1131" s="2">
        <v>1130</v>
      </c>
      <c r="C1131" s="3">
        <f t="shared" si="90"/>
        <v>53.1</v>
      </c>
      <c r="D1131" s="2" t="s">
        <v>1559</v>
      </c>
      <c r="E1131" s="2">
        <v>58</v>
      </c>
      <c r="F1131" s="2">
        <v>50</v>
      </c>
      <c r="G1131" s="2">
        <v>35</v>
      </c>
      <c r="H1131" s="2" t="s">
        <v>1175</v>
      </c>
      <c r="I1131" s="2" t="s">
        <v>63</v>
      </c>
      <c r="J1131" s="4" t="s">
        <v>140</v>
      </c>
      <c r="M1131" s="2">
        <f t="shared" si="86"/>
        <v>20</v>
      </c>
      <c r="N1131" s="2">
        <f t="shared" si="87"/>
        <v>54.1</v>
      </c>
      <c r="O1131" s="2">
        <f>IF(M1131="","",IF(M1131&gt;=1000,95,IF(M1131&lt;=12.5,50,LOOKUP(M1131,{12.5,15,20,30,45,60,75,105,115,150,200,225,250,600,1000},{50,55,60,62,65,68,70,72,75,80,82,85,87,90,95})+(M1131-LOOKUP(M1131,{12.5,15,20,30,45,60,75,105,115,150,200,225,250,600},{12.5,15,20,30,45,60,75,105,115,150,200,225,250,600}))/(LOOKUP(M1131,{12.5,15,20,30,45,60,75,105,115,150,200,225,250,600,1000},{15,20,30,45,60,75,105,115,150,200,225,250,600,1000,1000})-LOOKUP(M1131,{12.5,15,20,30,45,60,75,105,115,150,200,225,250,600},{12.5,15,20,30,45,60,75,105,115,150,200,225,250,600}))*(LOOKUP(M1131,{12.5,15,20,30,45,60,75,105,115,150,200,225,250,600,1000},{55,60,62,65,68,70,72,75,80,82,85,87,90,95,95})-LOOKUP(M1131,{12.5,15,20,30,45,60,75,105,115,150,200,225,250,600,1000},{50,55,60,62,65,68,70,72,75,80,82,85,87,90,95})))))</f>
        <v>60</v>
      </c>
      <c r="P1131" s="2">
        <f t="shared" si="88"/>
        <v>-2</v>
      </c>
      <c r="Q1131" s="2">
        <f t="shared" si="89"/>
        <v>-1</v>
      </c>
    </row>
    <row r="1132" customHeight="1" spans="1:17">
      <c r="B1132" s="2">
        <v>1131</v>
      </c>
      <c r="C1132" s="3">
        <f t="shared" si="90"/>
        <v>53.07</v>
      </c>
      <c r="D1132" s="2" t="s">
        <v>1560</v>
      </c>
      <c r="E1132" s="12">
        <v>64</v>
      </c>
      <c r="F1132" s="12">
        <v>67</v>
      </c>
      <c r="G1132" s="2">
        <v>42</v>
      </c>
      <c r="H1132" s="2" t="s">
        <v>515</v>
      </c>
      <c r="I1132" s="2" t="s">
        <v>305</v>
      </c>
      <c r="J1132" s="4" t="s">
        <v>123</v>
      </c>
      <c r="K1132" s="2" t="s">
        <v>1561</v>
      </c>
      <c r="M1132" s="2">
        <f t="shared" si="86"/>
        <v>250</v>
      </c>
      <c r="N1132" s="2">
        <f t="shared" si="87"/>
        <v>62.4</v>
      </c>
      <c r="O1132" s="2">
        <f>IF(M1132="","",IF(M1132&gt;=1000,95,IF(M1132&lt;=12.5,50,LOOKUP(M1132,{12.5,15,20,30,45,60,75,105,115,150,200,225,250,600,1000},{50,55,60,62,65,68,70,72,75,80,82,85,87,90,95})+(M1132-LOOKUP(M1132,{12.5,15,20,30,45,60,75,105,115,150,200,225,250,600},{12.5,15,20,30,45,60,75,105,115,150,200,225,250,600}))/(LOOKUP(M1132,{12.5,15,20,30,45,60,75,105,115,150,200,225,250,600,1000},{15,20,30,45,60,75,105,115,150,200,225,250,600,1000,1000})-LOOKUP(M1132,{12.5,15,20,30,45,60,75,105,115,150,200,225,250,600},{12.5,15,20,30,45,60,75,105,115,150,200,225,250,600}))*(LOOKUP(M1132,{12.5,15,20,30,45,60,75,105,115,150,200,225,250,600,1000},{55,60,62,65,68,70,72,75,80,82,85,87,90,95,95})-LOOKUP(M1132,{12.5,15,20,30,45,60,75,105,115,150,200,225,250,600,1000},{50,55,60,62,65,68,70,72,75,80,82,85,87,90,95})))))</f>
        <v>87</v>
      </c>
      <c r="P1132" s="2">
        <f t="shared" si="88"/>
        <v>-23</v>
      </c>
      <c r="Q1132" s="2">
        <f t="shared" si="89"/>
        <v>-9.33</v>
      </c>
    </row>
    <row r="1133" customHeight="1" spans="1:17">
      <c r="B1133" s="2">
        <v>1132</v>
      </c>
      <c r="C1133" s="3">
        <f t="shared" si="90"/>
        <v>53.06</v>
      </c>
      <c r="D1133" s="2" t="s">
        <v>1562</v>
      </c>
      <c r="E1133" s="2">
        <v>58</v>
      </c>
      <c r="F1133" s="12">
        <v>65</v>
      </c>
      <c r="G1133" s="12">
        <v>68</v>
      </c>
      <c r="H1133" s="2" t="s">
        <v>41</v>
      </c>
      <c r="I1133" s="2" t="s">
        <v>422</v>
      </c>
      <c r="J1133" s="4" t="s">
        <v>148</v>
      </c>
      <c r="M1133" s="2">
        <f t="shared" si="86"/>
        <v>115</v>
      </c>
      <c r="N1133" s="2">
        <f t="shared" si="87"/>
        <v>60.4</v>
      </c>
      <c r="O1133" s="2">
        <f>IF(M1133="","",IF(M1133&gt;=1000,95,IF(M1133&lt;=12.5,50,LOOKUP(M1133,{12.5,15,20,30,45,60,75,105,115,150,200,225,250,600,1000},{50,55,60,62,65,68,70,72,75,80,82,85,87,90,95})+(M1133-LOOKUP(M1133,{12.5,15,20,30,45,60,75,105,115,150,200,225,250,600},{12.5,15,20,30,45,60,75,105,115,150,200,225,250,600}))/(LOOKUP(M1133,{12.5,15,20,30,45,60,75,105,115,150,200,225,250,600,1000},{15,20,30,45,60,75,105,115,150,200,225,250,600,1000,1000})-LOOKUP(M1133,{12.5,15,20,30,45,60,75,105,115,150,200,225,250,600},{12.5,15,20,30,45,60,75,105,115,150,200,225,250,600}))*(LOOKUP(M1133,{12.5,15,20,30,45,60,75,105,115,150,200,225,250,600,1000},{55,60,62,65,68,70,72,75,80,82,85,87,90,95,95})-LOOKUP(M1133,{12.5,15,20,30,45,60,75,105,115,150,200,225,250,600,1000},{50,55,60,62,65,68,70,72,75,80,82,85,87,90,95})))))</f>
        <v>75</v>
      </c>
      <c r="P1133" s="2">
        <f t="shared" si="88"/>
        <v>-17</v>
      </c>
      <c r="Q1133" s="2">
        <f t="shared" si="89"/>
        <v>-7.34</v>
      </c>
    </row>
    <row r="1134" customHeight="1" spans="1:17">
      <c r="A1134" s="2">
        <v>2026</v>
      </c>
      <c r="B1134" s="2">
        <v>1133</v>
      </c>
      <c r="C1134" s="3">
        <f t="shared" si="90"/>
        <v>53.06</v>
      </c>
      <c r="D1134" s="2" t="s">
        <v>1563</v>
      </c>
      <c r="E1134" s="12">
        <v>63</v>
      </c>
      <c r="F1134" s="2">
        <v>55</v>
      </c>
      <c r="G1134" s="2">
        <v>53</v>
      </c>
      <c r="H1134" s="2" t="s">
        <v>339</v>
      </c>
      <c r="I1134" s="2" t="s">
        <v>33</v>
      </c>
      <c r="J1134" s="4" t="s">
        <v>59</v>
      </c>
      <c r="M1134" s="2">
        <f t="shared" si="86"/>
        <v>150</v>
      </c>
      <c r="N1134" s="2">
        <f t="shared" si="87"/>
        <v>60.4</v>
      </c>
      <c r="O1134" s="2">
        <f>IF(M1134="","",IF(M1134&gt;=1000,95,IF(M1134&lt;=12.5,50,LOOKUP(M1134,{12.5,15,20,30,45,60,75,105,115,150,200,225,250,600,1000},{50,55,60,62,65,68,70,72,75,80,82,85,87,90,95})+(M1134-LOOKUP(M1134,{12.5,15,20,30,45,60,75,105,115,150,200,225,250,600},{12.5,15,20,30,45,60,75,105,115,150,200,225,250,600}))/(LOOKUP(M1134,{12.5,15,20,30,45,60,75,105,115,150,200,225,250,600,1000},{15,20,30,45,60,75,105,115,150,200,225,250,600,1000,1000})-LOOKUP(M1134,{12.5,15,20,30,45,60,75,105,115,150,200,225,250,600},{12.5,15,20,30,45,60,75,105,115,150,200,225,250,600}))*(LOOKUP(M1134,{12.5,15,20,30,45,60,75,105,115,150,200,225,250,600,1000},{55,60,62,65,68,70,72,75,80,82,85,87,90,95,95})-LOOKUP(M1134,{12.5,15,20,30,45,60,75,105,115,150,200,225,250,600,1000},{50,55,60,62,65,68,70,72,75,80,82,85,87,90,95})))))</f>
        <v>80</v>
      </c>
      <c r="P1134" s="2">
        <f t="shared" si="88"/>
        <v>-17</v>
      </c>
      <c r="Q1134" s="2">
        <f t="shared" si="89"/>
        <v>-7.34</v>
      </c>
    </row>
    <row r="1135" customHeight="1" spans="1:17">
      <c r="B1135" s="2">
        <v>1134</v>
      </c>
      <c r="C1135" s="3">
        <f t="shared" si="90"/>
        <v>53</v>
      </c>
      <c r="D1135" s="2" t="s">
        <v>1564</v>
      </c>
      <c r="E1135" s="2">
        <v>55</v>
      </c>
      <c r="F1135" s="9">
        <v>72</v>
      </c>
      <c r="G1135" s="12">
        <v>61</v>
      </c>
      <c r="H1135" s="2" t="s">
        <v>27</v>
      </c>
      <c r="I1135" s="2" t="s">
        <v>435</v>
      </c>
      <c r="J1135" s="4" t="s">
        <v>34</v>
      </c>
      <c r="M1135" s="2">
        <f t="shared" si="86"/>
        <v>60</v>
      </c>
      <c r="N1135" s="2">
        <f t="shared" si="87"/>
        <v>59</v>
      </c>
      <c r="O1135" s="2">
        <f>IF(M1135="","",IF(M1135&gt;=1000,95,IF(M1135&lt;=12.5,50,LOOKUP(M1135,{12.5,15,20,30,45,60,75,105,115,150,200,225,250,600,1000},{50,55,60,62,65,68,70,72,75,80,82,85,87,90,95})+(M1135-LOOKUP(M1135,{12.5,15,20,30,45,60,75,105,115,150,200,225,250,600},{12.5,15,20,30,45,60,75,105,115,150,200,225,250,600}))/(LOOKUP(M1135,{12.5,15,20,30,45,60,75,105,115,150,200,225,250,600,1000},{15,20,30,45,60,75,105,115,150,200,225,250,600,1000,1000})-LOOKUP(M1135,{12.5,15,20,30,45,60,75,105,115,150,200,225,250,600},{12.5,15,20,30,45,60,75,105,115,150,200,225,250,600}))*(LOOKUP(M1135,{12.5,15,20,30,45,60,75,105,115,150,200,225,250,600,1000},{55,60,62,65,68,70,72,75,80,82,85,87,90,95,95})-LOOKUP(M1135,{12.5,15,20,30,45,60,75,105,115,150,200,225,250,600,1000},{50,55,60,62,65,68,70,72,75,80,82,85,87,90,95})))))</f>
        <v>68</v>
      </c>
      <c r="P1135" s="2">
        <f t="shared" si="88"/>
        <v>-13</v>
      </c>
      <c r="Q1135" s="2">
        <f t="shared" si="89"/>
        <v>-6</v>
      </c>
    </row>
    <row r="1136" customHeight="1" spans="1:17">
      <c r="B1136" s="2">
        <v>1135</v>
      </c>
      <c r="C1136" s="3">
        <f t="shared" si="90"/>
        <v>52.93</v>
      </c>
      <c r="D1136" s="2" t="s">
        <v>1565</v>
      </c>
      <c r="E1136" s="2">
        <v>58</v>
      </c>
      <c r="F1136" s="9">
        <v>78</v>
      </c>
      <c r="G1136" s="9">
        <v>74</v>
      </c>
      <c r="H1136" s="2" t="s">
        <v>37</v>
      </c>
      <c r="I1136" s="2" t="s">
        <v>50</v>
      </c>
      <c r="J1136" s="4" t="s">
        <v>19</v>
      </c>
      <c r="M1136" s="2">
        <f t="shared" si="86"/>
        <v>225</v>
      </c>
      <c r="N1136" s="2">
        <f t="shared" si="87"/>
        <v>63.6</v>
      </c>
      <c r="O1136" s="2">
        <f>IF(M1136="","",IF(M1136&gt;=1000,95,IF(M1136&lt;=12.5,50,LOOKUP(M1136,{12.5,15,20,30,45,60,75,105,115,150,200,225,250,600,1000},{50,55,60,62,65,68,70,72,75,80,82,85,87,90,95})+(M1136-LOOKUP(M1136,{12.5,15,20,30,45,60,75,105,115,150,200,225,250,600},{12.5,15,20,30,45,60,75,105,115,150,200,225,250,600}))/(LOOKUP(M1136,{12.5,15,20,30,45,60,75,105,115,150,200,225,250,600,1000},{15,20,30,45,60,75,105,115,150,200,225,250,600,1000,1000})-LOOKUP(M1136,{12.5,15,20,30,45,60,75,105,115,150,200,225,250,600},{12.5,15,20,30,45,60,75,105,115,150,200,225,250,600}))*(LOOKUP(M1136,{12.5,15,20,30,45,60,75,105,115,150,200,225,250,600,1000},{55,60,62,65,68,70,72,75,80,82,85,87,90,95,95})-LOOKUP(M1136,{12.5,15,20,30,45,60,75,105,115,150,200,225,250,600,1000},{50,55,60,62,65,68,70,72,75,80,82,85,87,90,95})))))</f>
        <v>85</v>
      </c>
      <c r="P1136" s="2">
        <f t="shared" si="88"/>
        <v>-27</v>
      </c>
      <c r="Q1136" s="2">
        <f t="shared" si="89"/>
        <v>-10.67</v>
      </c>
    </row>
    <row r="1137" customHeight="1" spans="1:17">
      <c r="A1137" s="2">
        <v>2026</v>
      </c>
      <c r="B1137" s="2">
        <v>1136</v>
      </c>
      <c r="C1137" s="3">
        <f t="shared" si="90"/>
        <v>52.83</v>
      </c>
      <c r="D1137" s="2" t="s">
        <v>1566</v>
      </c>
      <c r="E1137" s="2">
        <v>57</v>
      </c>
      <c r="F1137" s="12">
        <v>64</v>
      </c>
      <c r="G1137" s="12">
        <v>68</v>
      </c>
      <c r="H1137" s="2" t="s">
        <v>76</v>
      </c>
      <c r="I1137" s="2" t="s">
        <v>104</v>
      </c>
      <c r="J1137" s="4" t="s">
        <v>105</v>
      </c>
      <c r="M1137" s="2">
        <f t="shared" si="86"/>
        <v>105</v>
      </c>
      <c r="N1137" s="2">
        <f t="shared" si="87"/>
        <v>59.5</v>
      </c>
      <c r="O1137" s="2">
        <f>IF(M1137="","",IF(M1137&gt;=1000,95,IF(M1137&lt;=12.5,50,LOOKUP(M1137,{12.5,15,20,30,45,60,75,105,115,150,200,225,250,600,1000},{50,55,60,62,65,68,70,72,75,80,82,85,87,90,95})+(M1137-LOOKUP(M1137,{12.5,15,20,30,45,60,75,105,115,150,200,225,250,600},{12.5,15,20,30,45,60,75,105,115,150,200,225,250,600}))/(LOOKUP(M1137,{12.5,15,20,30,45,60,75,105,115,150,200,225,250,600,1000},{15,20,30,45,60,75,105,115,150,200,225,250,600,1000,1000})-LOOKUP(M1137,{12.5,15,20,30,45,60,75,105,115,150,200,225,250,600},{12.5,15,20,30,45,60,75,105,115,150,200,225,250,600}))*(LOOKUP(M1137,{12.5,15,20,30,45,60,75,105,115,150,200,225,250,600,1000},{55,60,62,65,68,70,72,75,80,82,85,87,90,95,95})-LOOKUP(M1137,{12.5,15,20,30,45,60,75,105,115,150,200,225,250,600,1000},{50,55,60,62,65,68,70,72,75,80,82,85,87,90,95})))))</f>
        <v>72</v>
      </c>
      <c r="P1137" s="2">
        <f t="shared" si="88"/>
        <v>-15</v>
      </c>
      <c r="Q1137" s="2">
        <f t="shared" si="89"/>
        <v>-6.67</v>
      </c>
    </row>
    <row r="1138" customHeight="1" spans="1:17">
      <c r="B1138" s="2">
        <v>1137</v>
      </c>
      <c r="C1138" s="3">
        <f t="shared" si="90"/>
        <v>52.66</v>
      </c>
      <c r="D1138" s="2" t="s">
        <v>1567</v>
      </c>
      <c r="E1138" s="2">
        <v>55</v>
      </c>
      <c r="F1138" s="9">
        <v>75</v>
      </c>
      <c r="G1138" s="9">
        <v>75</v>
      </c>
      <c r="H1138" s="2" t="s">
        <v>87</v>
      </c>
      <c r="I1138" s="2" t="s">
        <v>104</v>
      </c>
      <c r="J1138" s="4" t="s">
        <v>148</v>
      </c>
      <c r="M1138" s="2">
        <f t="shared" si="86"/>
        <v>115</v>
      </c>
      <c r="N1138" s="2">
        <f t="shared" si="87"/>
        <v>61</v>
      </c>
      <c r="O1138" s="2">
        <f>IF(M1138="","",IF(M1138&gt;=1000,95,IF(M1138&lt;=12.5,50,LOOKUP(M1138,{12.5,15,20,30,45,60,75,105,115,150,200,225,250,600,1000},{50,55,60,62,65,68,70,72,75,80,82,85,87,90,95})+(M1138-LOOKUP(M1138,{12.5,15,20,30,45,60,75,105,115,150,200,225,250,600},{12.5,15,20,30,45,60,75,105,115,150,200,225,250,600}))/(LOOKUP(M1138,{12.5,15,20,30,45,60,75,105,115,150,200,225,250,600,1000},{15,20,30,45,60,75,105,115,150,200,225,250,600,1000,1000})-LOOKUP(M1138,{12.5,15,20,30,45,60,75,105,115,150,200,225,250,600},{12.5,15,20,30,45,60,75,105,115,150,200,225,250,600}))*(LOOKUP(M1138,{12.5,15,20,30,45,60,75,105,115,150,200,225,250,600,1000},{55,60,62,65,68,70,72,75,80,82,85,87,90,95,95})-LOOKUP(M1138,{12.5,15,20,30,45,60,75,105,115,150,200,225,250,600,1000},{50,55,60,62,65,68,70,72,75,80,82,85,87,90,95})))))</f>
        <v>75</v>
      </c>
      <c r="P1138" s="2">
        <f t="shared" si="88"/>
        <v>-20</v>
      </c>
      <c r="Q1138" s="2">
        <f t="shared" si="89"/>
        <v>-8.34</v>
      </c>
    </row>
    <row r="1139" customHeight="1" spans="1:17">
      <c r="A1139" s="2">
        <v>2026</v>
      </c>
      <c r="B1139" s="2">
        <v>1138</v>
      </c>
      <c r="C1139" s="3">
        <f t="shared" si="90"/>
        <v>52.6</v>
      </c>
      <c r="D1139" s="2" t="s">
        <v>1568</v>
      </c>
      <c r="E1139" s="2">
        <v>57</v>
      </c>
      <c r="F1139" s="2">
        <v>50</v>
      </c>
      <c r="G1139" s="2">
        <v>42</v>
      </c>
      <c r="H1139" s="2" t="s">
        <v>54</v>
      </c>
      <c r="I1139" s="2" t="s">
        <v>28</v>
      </c>
      <c r="J1139" s="4" t="s">
        <v>140</v>
      </c>
      <c r="M1139" s="2">
        <f t="shared" si="86"/>
        <v>20</v>
      </c>
      <c r="N1139" s="2">
        <f t="shared" si="87"/>
        <v>54.1</v>
      </c>
      <c r="O1139" s="2">
        <f>IF(M1139="","",IF(M1139&gt;=1000,95,IF(M1139&lt;=12.5,50,LOOKUP(M1139,{12.5,15,20,30,45,60,75,105,115,150,200,225,250,600,1000},{50,55,60,62,65,68,70,72,75,80,82,85,87,90,95})+(M1139-LOOKUP(M1139,{12.5,15,20,30,45,60,75,105,115,150,200,225,250,600},{12.5,15,20,30,45,60,75,105,115,150,200,225,250,600}))/(LOOKUP(M1139,{12.5,15,20,30,45,60,75,105,115,150,200,225,250,600,1000},{15,20,30,45,60,75,105,115,150,200,225,250,600,1000,1000})-LOOKUP(M1139,{12.5,15,20,30,45,60,75,105,115,150,200,225,250,600},{12.5,15,20,30,45,60,75,105,115,150,200,225,250,600}))*(LOOKUP(M1139,{12.5,15,20,30,45,60,75,105,115,150,200,225,250,600,1000},{55,60,62,65,68,70,72,75,80,82,85,87,90,95,95})-LOOKUP(M1139,{12.5,15,20,30,45,60,75,105,115,150,200,225,250,600,1000},{50,55,60,62,65,68,70,72,75,80,82,85,87,90,95})))))</f>
        <v>60</v>
      </c>
      <c r="P1139" s="2">
        <f t="shared" si="88"/>
        <v>-3</v>
      </c>
      <c r="Q1139" s="2">
        <f t="shared" si="89"/>
        <v>-1.5</v>
      </c>
    </row>
    <row r="1140" customHeight="1" spans="1:17">
      <c r="B1140" s="2">
        <v>1139</v>
      </c>
      <c r="C1140" s="3">
        <f t="shared" si="90"/>
        <v>52.6</v>
      </c>
      <c r="D1140" s="2" t="s">
        <v>1569</v>
      </c>
      <c r="E1140" s="2">
        <v>58</v>
      </c>
      <c r="F1140" s="12">
        <v>60</v>
      </c>
      <c r="G1140" s="2">
        <v>50</v>
      </c>
      <c r="H1140" s="2" t="s">
        <v>37</v>
      </c>
      <c r="I1140" s="2" t="s">
        <v>183</v>
      </c>
      <c r="J1140" s="4" t="s">
        <v>34</v>
      </c>
      <c r="M1140" s="2">
        <f t="shared" si="86"/>
        <v>60</v>
      </c>
      <c r="N1140" s="2">
        <f t="shared" si="87"/>
        <v>57.6</v>
      </c>
      <c r="O1140" s="2">
        <f>IF(M1140="","",IF(M1140&gt;=1000,95,IF(M1140&lt;=12.5,50,LOOKUP(M1140,{12.5,15,20,30,45,60,75,105,115,150,200,225,250,600,1000},{50,55,60,62,65,68,70,72,75,80,82,85,87,90,95})+(M1140-LOOKUP(M1140,{12.5,15,20,30,45,60,75,105,115,150,200,225,250,600},{12.5,15,20,30,45,60,75,105,115,150,200,225,250,600}))/(LOOKUP(M1140,{12.5,15,20,30,45,60,75,105,115,150,200,225,250,600,1000},{15,20,30,45,60,75,105,115,150,200,225,250,600,1000,1000})-LOOKUP(M1140,{12.5,15,20,30,45,60,75,105,115,150,200,225,250,600},{12.5,15,20,30,45,60,75,105,115,150,200,225,250,600}))*(LOOKUP(M1140,{12.5,15,20,30,45,60,75,105,115,150,200,225,250,600,1000},{55,60,62,65,68,70,72,75,80,82,85,87,90,95,95})-LOOKUP(M1140,{12.5,15,20,30,45,60,75,105,115,150,200,225,250,600,1000},{50,55,60,62,65,68,70,72,75,80,82,85,87,90,95})))))</f>
        <v>68</v>
      </c>
      <c r="P1140" s="2">
        <f t="shared" si="88"/>
        <v>-10</v>
      </c>
      <c r="Q1140" s="2">
        <f t="shared" si="89"/>
        <v>-5</v>
      </c>
    </row>
    <row r="1141" customHeight="1" spans="1:17">
      <c r="A1141" s="2">
        <v>2026</v>
      </c>
      <c r="B1141" s="2">
        <v>1140</v>
      </c>
      <c r="C1141" s="3">
        <f t="shared" si="90"/>
        <v>52.6</v>
      </c>
      <c r="D1141" s="2" t="s">
        <v>1570</v>
      </c>
      <c r="E1141" s="2">
        <v>56</v>
      </c>
      <c r="F1141" s="2">
        <v>52</v>
      </c>
      <c r="G1141" s="2">
        <v>50</v>
      </c>
      <c r="H1141" s="2" t="s">
        <v>87</v>
      </c>
      <c r="I1141" s="2" t="s">
        <v>28</v>
      </c>
      <c r="J1141" s="4" t="s">
        <v>140</v>
      </c>
      <c r="M1141" s="2">
        <f t="shared" si="86"/>
        <v>20</v>
      </c>
      <c r="N1141" s="2">
        <f t="shared" si="87"/>
        <v>54.6</v>
      </c>
      <c r="O1141" s="2">
        <f>IF(M1141="","",IF(M1141&gt;=1000,95,IF(M1141&lt;=12.5,50,LOOKUP(M1141,{12.5,15,20,30,45,60,75,105,115,150,200,225,250,600,1000},{50,55,60,62,65,68,70,72,75,80,82,85,87,90,95})+(M1141-LOOKUP(M1141,{12.5,15,20,30,45,60,75,105,115,150,200,225,250,600},{12.5,15,20,30,45,60,75,105,115,150,200,225,250,600}))/(LOOKUP(M1141,{12.5,15,20,30,45,60,75,105,115,150,200,225,250,600,1000},{15,20,30,45,60,75,105,115,150,200,225,250,600,1000,1000})-LOOKUP(M1141,{12.5,15,20,30,45,60,75,105,115,150,200,225,250,600},{12.5,15,20,30,45,60,75,105,115,150,200,225,250,600}))*(LOOKUP(M1141,{12.5,15,20,30,45,60,75,105,115,150,200,225,250,600,1000},{55,60,62,65,68,70,72,75,80,82,85,87,90,95,95})-LOOKUP(M1141,{12.5,15,20,30,45,60,75,105,115,150,200,225,250,600,1000},{50,55,60,62,65,68,70,72,75,80,82,85,87,90,95})))))</f>
        <v>60</v>
      </c>
      <c r="P1141" s="2">
        <f t="shared" si="88"/>
        <v>-4</v>
      </c>
      <c r="Q1141" s="2">
        <f t="shared" si="89"/>
        <v>-2</v>
      </c>
    </row>
    <row r="1142" customHeight="1" spans="1:17">
      <c r="B1142" s="2">
        <v>1141</v>
      </c>
      <c r="C1142" s="3">
        <f t="shared" si="90"/>
        <v>52.6</v>
      </c>
      <c r="D1142" s="2" t="s">
        <v>1571</v>
      </c>
      <c r="E1142" s="2">
        <v>58</v>
      </c>
      <c r="F1142" s="2">
        <v>50</v>
      </c>
      <c r="G1142" s="2">
        <v>55</v>
      </c>
      <c r="H1142" s="2" t="s">
        <v>41</v>
      </c>
      <c r="I1142" s="2" t="s">
        <v>63</v>
      </c>
      <c r="J1142" s="4" t="s">
        <v>38</v>
      </c>
      <c r="M1142" s="2">
        <f t="shared" si="86"/>
        <v>45</v>
      </c>
      <c r="N1142" s="2">
        <f t="shared" si="87"/>
        <v>56.1</v>
      </c>
      <c r="O1142" s="2">
        <f>IF(M1142="","",IF(M1142&gt;=1000,95,IF(M1142&lt;=12.5,50,LOOKUP(M1142,{12.5,15,20,30,45,60,75,105,115,150,200,225,250,600,1000},{50,55,60,62,65,68,70,72,75,80,82,85,87,90,95})+(M1142-LOOKUP(M1142,{12.5,15,20,30,45,60,75,105,115,150,200,225,250,600},{12.5,15,20,30,45,60,75,105,115,150,200,225,250,600}))/(LOOKUP(M1142,{12.5,15,20,30,45,60,75,105,115,150,200,225,250,600,1000},{15,20,30,45,60,75,105,115,150,200,225,250,600,1000,1000})-LOOKUP(M1142,{12.5,15,20,30,45,60,75,105,115,150,200,225,250,600},{12.5,15,20,30,45,60,75,105,115,150,200,225,250,600}))*(LOOKUP(M1142,{12.5,15,20,30,45,60,75,105,115,150,200,225,250,600,1000},{55,60,62,65,68,70,72,75,80,82,85,87,90,95,95})-LOOKUP(M1142,{12.5,15,20,30,45,60,75,105,115,150,200,225,250,600,1000},{50,55,60,62,65,68,70,72,75,80,82,85,87,90,95})))))</f>
        <v>65</v>
      </c>
      <c r="P1142" s="2">
        <f t="shared" si="88"/>
        <v>-7</v>
      </c>
      <c r="Q1142" s="2">
        <f t="shared" si="89"/>
        <v>-3.5</v>
      </c>
    </row>
    <row r="1143" customHeight="1" spans="1:17">
      <c r="B1143" s="2">
        <v>1142</v>
      </c>
      <c r="C1143" s="3">
        <f t="shared" si="90"/>
        <v>52.57</v>
      </c>
      <c r="D1143" s="2" t="s">
        <v>1572</v>
      </c>
      <c r="E1143" s="12">
        <v>62</v>
      </c>
      <c r="F1143" s="12">
        <v>62</v>
      </c>
      <c r="G1143" s="12">
        <v>61</v>
      </c>
      <c r="H1143" s="2" t="s">
        <v>347</v>
      </c>
      <c r="I1143" s="2" t="s">
        <v>104</v>
      </c>
      <c r="J1143" s="4" t="s">
        <v>19</v>
      </c>
      <c r="M1143" s="2">
        <f t="shared" si="86"/>
        <v>225</v>
      </c>
      <c r="N1143" s="2">
        <f t="shared" si="87"/>
        <v>61.9</v>
      </c>
      <c r="O1143" s="2">
        <f>IF(M1143="","",IF(M1143&gt;=1000,95,IF(M1143&lt;=12.5,50,LOOKUP(M1143,{12.5,15,20,30,45,60,75,105,115,150,200,225,250,600,1000},{50,55,60,62,65,68,70,72,75,80,82,85,87,90,95})+(M1143-LOOKUP(M1143,{12.5,15,20,30,45,60,75,105,115,150,200,225,250,600},{12.5,15,20,30,45,60,75,105,115,150,200,225,250,600}))/(LOOKUP(M1143,{12.5,15,20,30,45,60,75,105,115,150,200,225,250,600,1000},{15,20,30,45,60,75,105,115,150,200,225,250,600,1000,1000})-LOOKUP(M1143,{12.5,15,20,30,45,60,75,105,115,150,200,225,250,600},{12.5,15,20,30,45,60,75,105,115,150,200,225,250,600}))*(LOOKUP(M1143,{12.5,15,20,30,45,60,75,105,115,150,200,225,250,600,1000},{55,60,62,65,68,70,72,75,80,82,85,87,90,95,95})-LOOKUP(M1143,{12.5,15,20,30,45,60,75,105,115,150,200,225,250,600,1000},{50,55,60,62,65,68,70,72,75,80,82,85,87,90,95})))))</f>
        <v>85</v>
      </c>
      <c r="P1143" s="2">
        <f t="shared" si="88"/>
        <v>-23</v>
      </c>
      <c r="Q1143" s="2">
        <f t="shared" si="89"/>
        <v>-9.33</v>
      </c>
    </row>
    <row r="1144" customHeight="1" spans="1:17">
      <c r="B1144" s="2">
        <v>1143</v>
      </c>
      <c r="C1144" s="3">
        <f t="shared" si="90"/>
        <v>52.5</v>
      </c>
      <c r="D1144" s="2" t="s">
        <v>1573</v>
      </c>
      <c r="E1144" s="2">
        <v>58</v>
      </c>
      <c r="F1144" s="2">
        <v>57</v>
      </c>
      <c r="G1144" s="2">
        <v>40</v>
      </c>
      <c r="H1144" s="2" t="s">
        <v>848</v>
      </c>
      <c r="I1144" s="2" t="s">
        <v>128</v>
      </c>
      <c r="J1144" s="4" t="s">
        <v>38</v>
      </c>
      <c r="M1144" s="2">
        <f t="shared" si="86"/>
        <v>45</v>
      </c>
      <c r="N1144" s="2">
        <f t="shared" si="87"/>
        <v>56</v>
      </c>
      <c r="O1144" s="2">
        <f>IF(M1144="","",IF(M1144&gt;=1000,95,IF(M1144&lt;=12.5,50,LOOKUP(M1144,{12.5,15,20,30,45,60,75,105,115,150,200,225,250,600,1000},{50,55,60,62,65,68,70,72,75,80,82,85,87,90,95})+(M1144-LOOKUP(M1144,{12.5,15,20,30,45,60,75,105,115,150,200,225,250,600},{12.5,15,20,30,45,60,75,105,115,150,200,225,250,600}))/(LOOKUP(M1144,{12.5,15,20,30,45,60,75,105,115,150,200,225,250,600,1000},{15,20,30,45,60,75,105,115,150,200,225,250,600,1000,1000})-LOOKUP(M1144,{12.5,15,20,30,45,60,75,105,115,150,200,225,250,600},{12.5,15,20,30,45,60,75,105,115,150,200,225,250,600}))*(LOOKUP(M1144,{12.5,15,20,30,45,60,75,105,115,150,200,225,250,600,1000},{55,60,62,65,68,70,72,75,80,82,85,87,90,95,95})-LOOKUP(M1144,{12.5,15,20,30,45,60,75,105,115,150,200,225,250,600,1000},{50,55,60,62,65,68,70,72,75,80,82,85,87,90,95})))))</f>
        <v>65</v>
      </c>
      <c r="P1144" s="2">
        <f t="shared" si="88"/>
        <v>-7</v>
      </c>
      <c r="Q1144" s="2">
        <f t="shared" si="89"/>
        <v>-3.5</v>
      </c>
    </row>
    <row r="1145" customHeight="1" spans="1:17">
      <c r="A1145" s="2">
        <v>2026</v>
      </c>
      <c r="B1145" s="2">
        <v>1144</v>
      </c>
      <c r="C1145" s="3">
        <f t="shared" si="90"/>
        <v>52.5</v>
      </c>
      <c r="D1145" s="2" t="s">
        <v>1574</v>
      </c>
      <c r="E1145" s="2">
        <v>58</v>
      </c>
      <c r="F1145" s="2">
        <v>53</v>
      </c>
      <c r="G1145" s="2">
        <v>33</v>
      </c>
      <c r="H1145" s="2" t="s">
        <v>54</v>
      </c>
      <c r="I1145" s="2" t="s">
        <v>321</v>
      </c>
      <c r="J1145" s="4" t="s">
        <v>88</v>
      </c>
      <c r="M1145" s="2">
        <f t="shared" si="86"/>
        <v>30</v>
      </c>
      <c r="N1145" s="2">
        <f t="shared" si="87"/>
        <v>54.5</v>
      </c>
      <c r="O1145" s="2">
        <f>IF(M1145="","",IF(M1145&gt;=1000,95,IF(M1145&lt;=12.5,50,LOOKUP(M1145,{12.5,15,20,30,45,60,75,105,115,150,200,225,250,600,1000},{50,55,60,62,65,68,70,72,75,80,82,85,87,90,95})+(M1145-LOOKUP(M1145,{12.5,15,20,30,45,60,75,105,115,150,200,225,250,600},{12.5,15,20,30,45,60,75,105,115,150,200,225,250,600}))/(LOOKUP(M1145,{12.5,15,20,30,45,60,75,105,115,150,200,225,250,600,1000},{15,20,30,45,60,75,105,115,150,200,225,250,600,1000,1000})-LOOKUP(M1145,{12.5,15,20,30,45,60,75,105,115,150,200,225,250,600},{12.5,15,20,30,45,60,75,105,115,150,200,225,250,600}))*(LOOKUP(M1145,{12.5,15,20,30,45,60,75,105,115,150,200,225,250,600,1000},{55,60,62,65,68,70,72,75,80,82,85,87,90,95,95})-LOOKUP(M1145,{12.5,15,20,30,45,60,75,105,115,150,200,225,250,600,1000},{50,55,60,62,65,68,70,72,75,80,82,85,87,90,95})))))</f>
        <v>62</v>
      </c>
      <c r="P1145" s="2">
        <f t="shared" si="88"/>
        <v>-4</v>
      </c>
      <c r="Q1145" s="2">
        <f t="shared" si="89"/>
        <v>-2</v>
      </c>
    </row>
    <row r="1146" customHeight="1" spans="1:17">
      <c r="A1146" s="2">
        <v>2026</v>
      </c>
      <c r="B1146" s="2">
        <v>1145</v>
      </c>
      <c r="C1146" s="3">
        <f t="shared" si="90"/>
        <v>52.4</v>
      </c>
      <c r="D1146" s="2" t="s">
        <v>1575</v>
      </c>
      <c r="E1146" s="2">
        <v>59</v>
      </c>
      <c r="F1146" s="2">
        <v>51</v>
      </c>
      <c r="G1146" s="2">
        <v>39</v>
      </c>
      <c r="H1146" s="2" t="s">
        <v>116</v>
      </c>
      <c r="I1146" s="2" t="s">
        <v>104</v>
      </c>
      <c r="J1146" s="4" t="s">
        <v>38</v>
      </c>
      <c r="M1146" s="2">
        <f t="shared" si="86"/>
        <v>45</v>
      </c>
      <c r="N1146" s="2">
        <f t="shared" si="87"/>
        <v>55.4</v>
      </c>
      <c r="O1146" s="2">
        <f>IF(M1146="","",IF(M1146&gt;=1000,95,IF(M1146&lt;=12.5,50,LOOKUP(M1146,{12.5,15,20,30,45,60,75,105,115,150,200,225,250,600,1000},{50,55,60,62,65,68,70,72,75,80,82,85,87,90,95})+(M1146-LOOKUP(M1146,{12.5,15,20,30,45,60,75,105,115,150,200,225,250,600},{12.5,15,20,30,45,60,75,105,115,150,200,225,250,600}))/(LOOKUP(M1146,{12.5,15,20,30,45,60,75,105,115,150,200,225,250,600,1000},{15,20,30,45,60,75,105,115,150,200,225,250,600,1000,1000})-LOOKUP(M1146,{12.5,15,20,30,45,60,75,105,115,150,200,225,250,600},{12.5,15,20,30,45,60,75,105,115,150,200,225,250,600}))*(LOOKUP(M1146,{12.5,15,20,30,45,60,75,105,115,150,200,225,250,600,1000},{55,60,62,65,68,70,72,75,80,82,85,87,90,95,95})-LOOKUP(M1146,{12.5,15,20,30,45,60,75,105,115,150,200,225,250,600,1000},{50,55,60,62,65,68,70,72,75,80,82,85,87,90,95})))))</f>
        <v>65</v>
      </c>
      <c r="P1146" s="2">
        <f t="shared" si="88"/>
        <v>-6</v>
      </c>
      <c r="Q1146" s="2">
        <f t="shared" si="89"/>
        <v>-3</v>
      </c>
    </row>
    <row r="1147" customHeight="1" spans="1:17">
      <c r="A1147" s="2">
        <v>2026</v>
      </c>
      <c r="B1147" s="2">
        <v>1146</v>
      </c>
      <c r="C1147" s="3">
        <f t="shared" si="90"/>
        <v>52.4</v>
      </c>
      <c r="D1147" s="2" t="s">
        <v>1576</v>
      </c>
      <c r="E1147" s="2">
        <v>58</v>
      </c>
      <c r="F1147" s="2">
        <v>54</v>
      </c>
      <c r="G1147" s="2">
        <v>45</v>
      </c>
      <c r="H1147" s="2" t="s">
        <v>37</v>
      </c>
      <c r="I1147" s="2" t="s">
        <v>63</v>
      </c>
      <c r="J1147" s="4" t="s">
        <v>38</v>
      </c>
      <c r="M1147" s="2">
        <f t="shared" si="86"/>
        <v>45</v>
      </c>
      <c r="N1147" s="2">
        <f t="shared" si="87"/>
        <v>55.9</v>
      </c>
      <c r="O1147" s="2">
        <f>IF(M1147="","",IF(M1147&gt;=1000,95,IF(M1147&lt;=12.5,50,LOOKUP(M1147,{12.5,15,20,30,45,60,75,105,115,150,200,225,250,600,1000},{50,55,60,62,65,68,70,72,75,80,82,85,87,90,95})+(M1147-LOOKUP(M1147,{12.5,15,20,30,45,60,75,105,115,150,200,225,250,600},{12.5,15,20,30,45,60,75,105,115,150,200,225,250,600}))/(LOOKUP(M1147,{12.5,15,20,30,45,60,75,105,115,150,200,225,250,600,1000},{15,20,30,45,60,75,105,115,150,200,225,250,600,1000,1000})-LOOKUP(M1147,{12.5,15,20,30,45,60,75,105,115,150,200,225,250,600},{12.5,15,20,30,45,60,75,105,115,150,200,225,250,600}))*(LOOKUP(M1147,{12.5,15,20,30,45,60,75,105,115,150,200,225,250,600,1000},{55,60,62,65,68,70,72,75,80,82,85,87,90,95,95})-LOOKUP(M1147,{12.5,15,20,30,45,60,75,105,115,150,200,225,250,600,1000},{50,55,60,62,65,68,70,72,75,80,82,85,87,90,95})))))</f>
        <v>65</v>
      </c>
      <c r="P1147" s="2">
        <f t="shared" si="88"/>
        <v>-7</v>
      </c>
      <c r="Q1147" s="2">
        <f t="shared" si="89"/>
        <v>-3.5</v>
      </c>
    </row>
    <row r="1148" customHeight="1" spans="1:17">
      <c r="B1148" s="2">
        <v>1147</v>
      </c>
      <c r="C1148" s="3">
        <f t="shared" si="90"/>
        <v>52.4</v>
      </c>
      <c r="D1148" s="2" t="s">
        <v>1577</v>
      </c>
      <c r="E1148" s="2">
        <v>55</v>
      </c>
      <c r="F1148" s="12">
        <v>63</v>
      </c>
      <c r="G1148" s="12">
        <v>63</v>
      </c>
      <c r="H1148" s="2" t="s">
        <v>41</v>
      </c>
      <c r="I1148" s="2" t="s">
        <v>28</v>
      </c>
      <c r="J1148" s="4" t="s">
        <v>38</v>
      </c>
      <c r="M1148" s="2">
        <f t="shared" si="86"/>
        <v>45</v>
      </c>
      <c r="N1148" s="2">
        <f t="shared" si="87"/>
        <v>57.4</v>
      </c>
      <c r="O1148" s="2">
        <f>IF(M1148="","",IF(M1148&gt;=1000,95,IF(M1148&lt;=12.5,50,LOOKUP(M1148,{12.5,15,20,30,45,60,75,105,115,150,200,225,250,600,1000},{50,55,60,62,65,68,70,72,75,80,82,85,87,90,95})+(M1148-LOOKUP(M1148,{12.5,15,20,30,45,60,75,105,115,150,200,225,250,600},{12.5,15,20,30,45,60,75,105,115,150,200,225,250,600}))/(LOOKUP(M1148,{12.5,15,20,30,45,60,75,105,115,150,200,225,250,600,1000},{15,20,30,45,60,75,105,115,150,200,225,250,600,1000,1000})-LOOKUP(M1148,{12.5,15,20,30,45,60,75,105,115,150,200,225,250,600},{12.5,15,20,30,45,60,75,105,115,150,200,225,250,600}))*(LOOKUP(M1148,{12.5,15,20,30,45,60,75,105,115,150,200,225,250,600,1000},{55,60,62,65,68,70,72,75,80,82,85,87,90,95,95})-LOOKUP(M1148,{12.5,15,20,30,45,60,75,105,115,150,200,225,250,600,1000},{50,55,60,62,65,68,70,72,75,80,82,85,87,90,95})))))</f>
        <v>65</v>
      </c>
      <c r="P1148" s="2">
        <f t="shared" si="88"/>
        <v>-10</v>
      </c>
      <c r="Q1148" s="2">
        <f t="shared" si="89"/>
        <v>-5</v>
      </c>
    </row>
    <row r="1149" customHeight="1" spans="1:17">
      <c r="A1149" s="2">
        <v>2026</v>
      </c>
      <c r="B1149" s="2">
        <v>1148</v>
      </c>
      <c r="C1149" s="3">
        <f t="shared" si="90"/>
        <v>52.4</v>
      </c>
      <c r="D1149" s="2" t="s">
        <v>1578</v>
      </c>
      <c r="E1149" s="2">
        <v>55</v>
      </c>
      <c r="F1149" s="2">
        <v>58</v>
      </c>
      <c r="G1149" s="10">
        <v>83</v>
      </c>
      <c r="H1149" s="2" t="s">
        <v>41</v>
      </c>
      <c r="I1149" s="2" t="s">
        <v>577</v>
      </c>
      <c r="J1149" s="4" t="s">
        <v>34</v>
      </c>
      <c r="M1149" s="2">
        <f t="shared" si="86"/>
        <v>60</v>
      </c>
      <c r="N1149" s="2">
        <f t="shared" si="87"/>
        <v>58.4</v>
      </c>
      <c r="O1149" s="2">
        <f>IF(M1149="","",IF(M1149&gt;=1000,95,IF(M1149&lt;=12.5,50,LOOKUP(M1149,{12.5,15,20,30,45,60,75,105,115,150,200,225,250,600,1000},{50,55,60,62,65,68,70,72,75,80,82,85,87,90,95})+(M1149-LOOKUP(M1149,{12.5,15,20,30,45,60,75,105,115,150,200,225,250,600},{12.5,15,20,30,45,60,75,105,115,150,200,225,250,600}))/(LOOKUP(M1149,{12.5,15,20,30,45,60,75,105,115,150,200,225,250,600,1000},{15,20,30,45,60,75,105,115,150,200,225,250,600,1000,1000})-LOOKUP(M1149,{12.5,15,20,30,45,60,75,105,115,150,200,225,250,600},{12.5,15,20,30,45,60,75,105,115,150,200,225,250,600}))*(LOOKUP(M1149,{12.5,15,20,30,45,60,75,105,115,150,200,225,250,600,1000},{55,60,62,65,68,70,72,75,80,82,85,87,90,95,95})-LOOKUP(M1149,{12.5,15,20,30,45,60,75,105,115,150,200,225,250,600,1000},{50,55,60,62,65,68,70,72,75,80,82,85,87,90,95})))))</f>
        <v>68</v>
      </c>
      <c r="P1149" s="2">
        <f t="shared" si="88"/>
        <v>-13</v>
      </c>
      <c r="Q1149" s="2">
        <f t="shared" si="89"/>
        <v>-6</v>
      </c>
    </row>
    <row r="1150" customHeight="1" spans="1:17">
      <c r="B1150" s="2">
        <v>1149</v>
      </c>
      <c r="C1150" s="3">
        <f t="shared" si="90"/>
        <v>52.37</v>
      </c>
      <c r="D1150" s="2" t="s">
        <v>1579</v>
      </c>
      <c r="E1150" s="12">
        <v>61</v>
      </c>
      <c r="F1150" s="9">
        <v>70</v>
      </c>
      <c r="G1150" s="9">
        <v>70</v>
      </c>
      <c r="H1150" s="2" t="s">
        <v>723</v>
      </c>
      <c r="I1150" s="2" t="s">
        <v>1195</v>
      </c>
      <c r="J1150" s="4" t="s">
        <v>73</v>
      </c>
      <c r="M1150" s="2">
        <f t="shared" si="86"/>
        <v>600</v>
      </c>
      <c r="N1150" s="2">
        <f t="shared" si="87"/>
        <v>63.7</v>
      </c>
      <c r="O1150" s="2">
        <f>IF(M1150="","",IF(M1150&gt;=1000,95,IF(M1150&lt;=12.5,50,LOOKUP(M1150,{12.5,15,20,30,45,60,75,105,115,150,200,225,250,600,1000},{50,55,60,62,65,68,70,72,75,80,82,85,87,90,95})+(M1150-LOOKUP(M1150,{12.5,15,20,30,45,60,75,105,115,150,200,225,250,600},{12.5,15,20,30,45,60,75,105,115,150,200,225,250,600}))/(LOOKUP(M1150,{12.5,15,20,30,45,60,75,105,115,150,200,225,250,600,1000},{15,20,30,45,60,75,105,115,150,200,225,250,600,1000,1000})-LOOKUP(M1150,{12.5,15,20,30,45,60,75,105,115,150,200,225,250,600},{12.5,15,20,30,45,60,75,105,115,150,200,225,250,600}))*(LOOKUP(M1150,{12.5,15,20,30,45,60,75,105,115,150,200,225,250,600,1000},{55,60,62,65,68,70,72,75,80,82,85,87,90,95,95})-LOOKUP(M1150,{12.5,15,20,30,45,60,75,105,115,150,200,225,250,600,1000},{50,55,60,62,65,68,70,72,75,80,82,85,87,90,95})))))</f>
        <v>90</v>
      </c>
      <c r="P1150" s="2">
        <f t="shared" si="88"/>
        <v>-29</v>
      </c>
      <c r="Q1150" s="2">
        <f t="shared" si="89"/>
        <v>-11.33</v>
      </c>
    </row>
    <row r="1151" customHeight="1" spans="1:17">
      <c r="B1151" s="2">
        <v>1150</v>
      </c>
      <c r="C1151" s="3">
        <f t="shared" si="90"/>
        <v>52.37</v>
      </c>
      <c r="D1151" s="2" t="s">
        <v>1580</v>
      </c>
      <c r="E1151" s="2">
        <v>57</v>
      </c>
      <c r="F1151" s="12">
        <v>63</v>
      </c>
      <c r="G1151" s="2">
        <v>52</v>
      </c>
      <c r="H1151" s="2" t="s">
        <v>1264</v>
      </c>
      <c r="I1151" s="2" t="s">
        <v>33</v>
      </c>
      <c r="J1151" s="4" t="s">
        <v>34</v>
      </c>
      <c r="M1151" s="2">
        <f t="shared" si="86"/>
        <v>60</v>
      </c>
      <c r="N1151" s="2">
        <f t="shared" si="87"/>
        <v>57.7</v>
      </c>
      <c r="O1151" s="2">
        <f>IF(M1151="","",IF(M1151&gt;=1000,95,IF(M1151&lt;=12.5,50,LOOKUP(M1151,{12.5,15,20,30,45,60,75,105,115,150,200,225,250,600,1000},{50,55,60,62,65,68,70,72,75,80,82,85,87,90,95})+(M1151-LOOKUP(M1151,{12.5,15,20,30,45,60,75,105,115,150,200,225,250,600},{12.5,15,20,30,45,60,75,105,115,150,200,225,250,600}))/(LOOKUP(M1151,{12.5,15,20,30,45,60,75,105,115,150,200,225,250,600,1000},{15,20,30,45,60,75,105,115,150,200,225,250,600,1000,1000})-LOOKUP(M1151,{12.5,15,20,30,45,60,75,105,115,150,200,225,250,600},{12.5,15,20,30,45,60,75,105,115,150,200,225,250,600}))*(LOOKUP(M1151,{12.5,15,20,30,45,60,75,105,115,150,200,225,250,600,1000},{55,60,62,65,68,70,72,75,80,82,85,87,90,95,95})-LOOKUP(M1151,{12.5,15,20,30,45,60,75,105,115,150,200,225,250,600,1000},{50,55,60,62,65,68,70,72,75,80,82,85,87,90,95})))))</f>
        <v>68</v>
      </c>
      <c r="P1151" s="2">
        <f t="shared" si="88"/>
        <v>-11</v>
      </c>
      <c r="Q1151" s="2">
        <f t="shared" si="89"/>
        <v>-5.33</v>
      </c>
    </row>
    <row r="1152" customHeight="1" spans="1:17">
      <c r="A1152" s="2">
        <v>2026</v>
      </c>
      <c r="B1152" s="2">
        <v>1151</v>
      </c>
      <c r="C1152" s="3">
        <f t="shared" si="90"/>
        <v>52.2</v>
      </c>
      <c r="D1152" s="2" t="s">
        <v>1581</v>
      </c>
      <c r="E1152" s="2">
        <v>54</v>
      </c>
      <c r="F1152" s="2">
        <v>52</v>
      </c>
      <c r="G1152" s="2">
        <v>45</v>
      </c>
      <c r="H1152" s="2" t="s">
        <v>122</v>
      </c>
      <c r="I1152" s="2" t="s">
        <v>63</v>
      </c>
      <c r="J1152" s="4" t="s">
        <v>29</v>
      </c>
      <c r="M1152" s="2">
        <f t="shared" si="86"/>
        <v>15</v>
      </c>
      <c r="N1152" s="2">
        <f t="shared" si="87"/>
        <v>52.7</v>
      </c>
      <c r="O1152" s="2">
        <f>IF(M1152="","",IF(M1152&gt;=1000,95,IF(M1152&lt;=12.5,50,LOOKUP(M1152,{12.5,15,20,30,45,60,75,105,115,150,200,225,250,600,1000},{50,55,60,62,65,68,70,72,75,80,82,85,87,90,95})+(M1152-LOOKUP(M1152,{12.5,15,20,30,45,60,75,105,115,150,200,225,250,600},{12.5,15,20,30,45,60,75,105,115,150,200,225,250,600}))/(LOOKUP(M1152,{12.5,15,20,30,45,60,75,105,115,150,200,225,250,600,1000},{15,20,30,45,60,75,105,115,150,200,225,250,600,1000,1000})-LOOKUP(M1152,{12.5,15,20,30,45,60,75,105,115,150,200,225,250,600},{12.5,15,20,30,45,60,75,105,115,150,200,225,250,600}))*(LOOKUP(M1152,{12.5,15,20,30,45,60,75,105,115,150,200,225,250,600,1000},{55,60,62,65,68,70,72,75,80,82,85,87,90,95,95})-LOOKUP(M1152,{12.5,15,20,30,45,60,75,105,115,150,200,225,250,600,1000},{50,55,60,62,65,68,70,72,75,80,82,85,87,90,95})))))</f>
        <v>55</v>
      </c>
      <c r="P1152" s="2">
        <f t="shared" si="88"/>
        <v>-1</v>
      </c>
      <c r="Q1152" s="2">
        <f t="shared" si="89"/>
        <v>-0.5</v>
      </c>
    </row>
    <row r="1153" customHeight="1" spans="1:17">
      <c r="A1153" s="2">
        <v>2026</v>
      </c>
      <c r="B1153" s="2">
        <v>1152</v>
      </c>
      <c r="C1153" s="3">
        <f t="shared" si="90"/>
        <v>52.1</v>
      </c>
      <c r="D1153" s="2" t="s">
        <v>1582</v>
      </c>
      <c r="E1153" s="2">
        <v>56</v>
      </c>
      <c r="F1153" s="2">
        <v>56</v>
      </c>
      <c r="G1153" s="2">
        <v>47</v>
      </c>
      <c r="H1153" s="2" t="s">
        <v>76</v>
      </c>
      <c r="I1153" s="2" t="s">
        <v>28</v>
      </c>
      <c r="J1153" s="4" t="s">
        <v>88</v>
      </c>
      <c r="M1153" s="2">
        <f t="shared" si="86"/>
        <v>30</v>
      </c>
      <c r="N1153" s="2">
        <f t="shared" si="87"/>
        <v>55.1</v>
      </c>
      <c r="O1153" s="2">
        <f>IF(M1153="","",IF(M1153&gt;=1000,95,IF(M1153&lt;=12.5,50,LOOKUP(M1153,{12.5,15,20,30,45,60,75,105,115,150,200,225,250,600,1000},{50,55,60,62,65,68,70,72,75,80,82,85,87,90,95})+(M1153-LOOKUP(M1153,{12.5,15,20,30,45,60,75,105,115,150,200,225,250,600},{12.5,15,20,30,45,60,75,105,115,150,200,225,250,600}))/(LOOKUP(M1153,{12.5,15,20,30,45,60,75,105,115,150,200,225,250,600,1000},{15,20,30,45,60,75,105,115,150,200,225,250,600,1000,1000})-LOOKUP(M1153,{12.5,15,20,30,45,60,75,105,115,150,200,225,250,600},{12.5,15,20,30,45,60,75,105,115,150,200,225,250,600}))*(LOOKUP(M1153,{12.5,15,20,30,45,60,75,105,115,150,200,225,250,600,1000},{55,60,62,65,68,70,72,75,80,82,85,87,90,95,95})-LOOKUP(M1153,{12.5,15,20,30,45,60,75,105,115,150,200,225,250,600,1000},{50,55,60,62,65,68,70,72,75,80,82,85,87,90,95})))))</f>
        <v>62</v>
      </c>
      <c r="P1153" s="2">
        <f t="shared" si="88"/>
        <v>-6</v>
      </c>
      <c r="Q1153" s="2">
        <f t="shared" si="89"/>
        <v>-3</v>
      </c>
    </row>
    <row r="1154" customHeight="1" spans="1:17">
      <c r="B1154" s="2">
        <v>1153</v>
      </c>
      <c r="C1154" s="3">
        <f t="shared" si="90"/>
        <v>52.06</v>
      </c>
      <c r="D1154" s="2" t="s">
        <v>1583</v>
      </c>
      <c r="E1154" s="2">
        <v>58</v>
      </c>
      <c r="F1154" s="12">
        <v>65</v>
      </c>
      <c r="G1154" s="2">
        <v>58</v>
      </c>
      <c r="H1154" s="2" t="s">
        <v>37</v>
      </c>
      <c r="I1154" s="2" t="s">
        <v>104</v>
      </c>
      <c r="J1154" s="4" t="s">
        <v>148</v>
      </c>
      <c r="M1154" s="2">
        <f t="shared" ref="M1154:M1217" si="91">IF(J1154="1000+",1000,(LEFT(J1154,FIND("-",J1154)-1)+RIGHT(J1154,LEN(J1154)-FIND("-",J1154)))/2)</f>
        <v>115</v>
      </c>
      <c r="N1154" s="2">
        <f t="shared" ref="N1154:N1217" si="92">ROUND(E1154*0.7+F1154*0.2+G1154*0.1,2)</f>
        <v>59.4</v>
      </c>
      <c r="O1154" s="2">
        <f>IF(M1154="","",IF(M1154&gt;=1000,95,IF(M1154&lt;=12.5,50,LOOKUP(M1154,{12.5,15,20,30,45,60,75,105,115,150,200,225,250,600,1000},{50,55,60,62,65,68,70,72,75,80,82,85,87,90,95})+(M1154-LOOKUP(M1154,{12.5,15,20,30,45,60,75,105,115,150,200,225,250,600},{12.5,15,20,30,45,60,75,105,115,150,200,225,250,600}))/(LOOKUP(M1154,{12.5,15,20,30,45,60,75,105,115,150,200,225,250,600,1000},{15,20,30,45,60,75,105,115,150,200,225,250,600,1000,1000})-LOOKUP(M1154,{12.5,15,20,30,45,60,75,105,115,150,200,225,250,600},{12.5,15,20,30,45,60,75,105,115,150,200,225,250,600}))*(LOOKUP(M1154,{12.5,15,20,30,45,60,75,105,115,150,200,225,250,600,1000},{55,60,62,65,68,70,72,75,80,82,85,87,90,95,95})-LOOKUP(M1154,{12.5,15,20,30,45,60,75,105,115,150,200,225,250,600,1000},{50,55,60,62,65,68,70,72,75,80,82,85,87,90,95})))))</f>
        <v>75</v>
      </c>
      <c r="P1154" s="2">
        <f t="shared" si="88"/>
        <v>-17</v>
      </c>
      <c r="Q1154" s="2">
        <f t="shared" si="89"/>
        <v>-7.34</v>
      </c>
    </row>
    <row r="1155" customHeight="1" spans="1:17">
      <c r="B1155" s="2">
        <v>1154</v>
      </c>
      <c r="C1155" s="3">
        <f t="shared" si="90"/>
        <v>51.96</v>
      </c>
      <c r="D1155" s="2" t="s">
        <v>1584</v>
      </c>
      <c r="E1155" s="2">
        <v>58</v>
      </c>
      <c r="F1155" s="12">
        <v>65</v>
      </c>
      <c r="G1155" s="2">
        <v>57</v>
      </c>
      <c r="H1155" s="2" t="s">
        <v>41</v>
      </c>
      <c r="I1155" s="2" t="s">
        <v>586</v>
      </c>
      <c r="J1155" s="4" t="s">
        <v>148</v>
      </c>
      <c r="M1155" s="2">
        <f t="shared" si="91"/>
        <v>115</v>
      </c>
      <c r="N1155" s="2">
        <f t="shared" si="92"/>
        <v>59.3</v>
      </c>
      <c r="O1155" s="2">
        <f>IF(M1155="","",IF(M1155&gt;=1000,95,IF(M1155&lt;=12.5,50,LOOKUP(M1155,{12.5,15,20,30,45,60,75,105,115,150,200,225,250,600,1000},{50,55,60,62,65,68,70,72,75,80,82,85,87,90,95})+(M1155-LOOKUP(M1155,{12.5,15,20,30,45,60,75,105,115,150,200,225,250,600},{12.5,15,20,30,45,60,75,105,115,150,200,225,250,600}))/(LOOKUP(M1155,{12.5,15,20,30,45,60,75,105,115,150,200,225,250,600,1000},{15,20,30,45,60,75,105,115,150,200,225,250,600,1000,1000})-LOOKUP(M1155,{12.5,15,20,30,45,60,75,105,115,150,200,225,250,600},{12.5,15,20,30,45,60,75,105,115,150,200,225,250,600}))*(LOOKUP(M1155,{12.5,15,20,30,45,60,75,105,115,150,200,225,250,600,1000},{55,60,62,65,68,70,72,75,80,82,85,87,90,95,95})-LOOKUP(M1155,{12.5,15,20,30,45,60,75,105,115,150,200,225,250,600,1000},{50,55,60,62,65,68,70,72,75,80,82,85,87,90,95})))))</f>
        <v>75</v>
      </c>
      <c r="P1155" s="2">
        <f t="shared" si="88"/>
        <v>-17</v>
      </c>
      <c r="Q1155" s="2">
        <f t="shared" si="89"/>
        <v>-7.34</v>
      </c>
    </row>
    <row r="1156" customHeight="1" spans="1:17">
      <c r="B1156" s="2">
        <v>1155</v>
      </c>
      <c r="C1156" s="3">
        <f t="shared" si="90"/>
        <v>51.9</v>
      </c>
      <c r="D1156" s="2" t="s">
        <v>1585</v>
      </c>
      <c r="E1156" s="2">
        <v>55</v>
      </c>
      <c r="F1156" s="9">
        <v>70</v>
      </c>
      <c r="G1156" s="2">
        <v>54</v>
      </c>
      <c r="H1156" s="2" t="s">
        <v>66</v>
      </c>
      <c r="I1156" s="2" t="s">
        <v>33</v>
      </c>
      <c r="J1156" s="4" t="s">
        <v>34</v>
      </c>
      <c r="M1156" s="2">
        <f t="shared" si="91"/>
        <v>60</v>
      </c>
      <c r="N1156" s="2">
        <f t="shared" si="92"/>
        <v>57.9</v>
      </c>
      <c r="O1156" s="2">
        <f>IF(M1156="","",IF(M1156&gt;=1000,95,IF(M1156&lt;=12.5,50,LOOKUP(M1156,{12.5,15,20,30,45,60,75,105,115,150,200,225,250,600,1000},{50,55,60,62,65,68,70,72,75,80,82,85,87,90,95})+(M1156-LOOKUP(M1156,{12.5,15,20,30,45,60,75,105,115,150,200,225,250,600},{12.5,15,20,30,45,60,75,105,115,150,200,225,250,600}))/(LOOKUP(M1156,{12.5,15,20,30,45,60,75,105,115,150,200,225,250,600,1000},{15,20,30,45,60,75,105,115,150,200,225,250,600,1000,1000})-LOOKUP(M1156,{12.5,15,20,30,45,60,75,105,115,150,200,225,250,600},{12.5,15,20,30,45,60,75,105,115,150,200,225,250,600}))*(LOOKUP(M1156,{12.5,15,20,30,45,60,75,105,115,150,200,225,250,600,1000},{55,60,62,65,68,70,72,75,80,82,85,87,90,95,95})-LOOKUP(M1156,{12.5,15,20,30,45,60,75,105,115,150,200,225,250,600,1000},{50,55,60,62,65,68,70,72,75,80,82,85,87,90,95})))))</f>
        <v>68</v>
      </c>
      <c r="P1156" s="2">
        <f t="shared" si="88"/>
        <v>-13</v>
      </c>
      <c r="Q1156" s="2">
        <f t="shared" si="89"/>
        <v>-6</v>
      </c>
    </row>
    <row r="1157" customHeight="1" spans="1:17">
      <c r="B1157" s="2">
        <v>1156</v>
      </c>
      <c r="C1157" s="3">
        <f t="shared" si="90"/>
        <v>51.7</v>
      </c>
      <c r="D1157" s="2" t="s">
        <v>1586</v>
      </c>
      <c r="E1157" s="2">
        <v>55</v>
      </c>
      <c r="F1157" s="9">
        <v>75</v>
      </c>
      <c r="G1157" s="10">
        <v>82</v>
      </c>
      <c r="H1157" s="2" t="s">
        <v>1113</v>
      </c>
      <c r="I1157" s="2" t="s">
        <v>239</v>
      </c>
      <c r="J1157" s="4" t="s">
        <v>59</v>
      </c>
      <c r="M1157" s="2">
        <f t="shared" si="91"/>
        <v>150</v>
      </c>
      <c r="N1157" s="2">
        <f t="shared" si="92"/>
        <v>61.7</v>
      </c>
      <c r="O1157" s="2">
        <f>IF(M1157="","",IF(M1157&gt;=1000,95,IF(M1157&lt;=12.5,50,LOOKUP(M1157,{12.5,15,20,30,45,60,75,105,115,150,200,225,250,600,1000},{50,55,60,62,65,68,70,72,75,80,82,85,87,90,95})+(M1157-LOOKUP(M1157,{12.5,15,20,30,45,60,75,105,115,150,200,225,250,600},{12.5,15,20,30,45,60,75,105,115,150,200,225,250,600}))/(LOOKUP(M1157,{12.5,15,20,30,45,60,75,105,115,150,200,225,250,600,1000},{15,20,30,45,60,75,105,115,150,200,225,250,600,1000,1000})-LOOKUP(M1157,{12.5,15,20,30,45,60,75,105,115,150,200,225,250,600},{12.5,15,20,30,45,60,75,105,115,150,200,225,250,600}))*(LOOKUP(M1157,{12.5,15,20,30,45,60,75,105,115,150,200,225,250,600,1000},{55,60,62,65,68,70,72,75,80,82,85,87,90,95,95})-LOOKUP(M1157,{12.5,15,20,30,45,60,75,105,115,150,200,225,250,600,1000},{50,55,60,62,65,68,70,72,75,80,82,85,87,90,95})))))</f>
        <v>80</v>
      </c>
      <c r="P1157" s="2">
        <f t="shared" si="88"/>
        <v>-25</v>
      </c>
      <c r="Q1157" s="2">
        <f t="shared" si="89"/>
        <v>-10</v>
      </c>
    </row>
    <row r="1158" customHeight="1" spans="1:17">
      <c r="B1158" s="2">
        <v>1157</v>
      </c>
      <c r="C1158" s="3">
        <f t="shared" si="90"/>
        <v>51.7</v>
      </c>
      <c r="D1158" s="2" t="s">
        <v>1587</v>
      </c>
      <c r="E1158" s="2">
        <v>56</v>
      </c>
      <c r="F1158" s="12">
        <v>65</v>
      </c>
      <c r="G1158" s="2">
        <v>40</v>
      </c>
      <c r="H1158" s="2" t="s">
        <v>347</v>
      </c>
      <c r="I1158" s="2" t="s">
        <v>63</v>
      </c>
      <c r="J1158" s="4" t="s">
        <v>38</v>
      </c>
      <c r="M1158" s="2">
        <f t="shared" si="91"/>
        <v>45</v>
      </c>
      <c r="N1158" s="2">
        <f t="shared" si="92"/>
        <v>56.2</v>
      </c>
      <c r="O1158" s="2">
        <f>IF(M1158="","",IF(M1158&gt;=1000,95,IF(M1158&lt;=12.5,50,LOOKUP(M1158,{12.5,15,20,30,45,60,75,105,115,150,200,225,250,600,1000},{50,55,60,62,65,68,70,72,75,80,82,85,87,90,95})+(M1158-LOOKUP(M1158,{12.5,15,20,30,45,60,75,105,115,150,200,225,250,600},{12.5,15,20,30,45,60,75,105,115,150,200,225,250,600}))/(LOOKUP(M1158,{12.5,15,20,30,45,60,75,105,115,150,200,225,250,600,1000},{15,20,30,45,60,75,105,115,150,200,225,250,600,1000,1000})-LOOKUP(M1158,{12.5,15,20,30,45,60,75,105,115,150,200,225,250,600},{12.5,15,20,30,45,60,75,105,115,150,200,225,250,600}))*(LOOKUP(M1158,{12.5,15,20,30,45,60,75,105,115,150,200,225,250,600,1000},{55,60,62,65,68,70,72,75,80,82,85,87,90,95,95})-LOOKUP(M1158,{12.5,15,20,30,45,60,75,105,115,150,200,225,250,600,1000},{50,55,60,62,65,68,70,72,75,80,82,85,87,90,95})))))</f>
        <v>65</v>
      </c>
      <c r="P1158" s="2">
        <f t="shared" ref="P1158:P1221" si="93">E1158-O1158</f>
        <v>-9</v>
      </c>
      <c r="Q1158" s="2">
        <f t="shared" ref="Q1158:Q1221" si="94">ROUND(SIGN(P1158)*IF(ABS(P1158)&lt;=10,ABS(P1158)*0.5,IF(ABS(P1158)&lt;=15,5+(ABS(P1158)-10)*(1.67/5),6.67+(ABS(P1158)-15)*0.333)),2)</f>
        <v>-4.5</v>
      </c>
    </row>
    <row r="1159" customHeight="1" spans="1:17">
      <c r="B1159" s="2">
        <v>1158</v>
      </c>
      <c r="C1159" s="3">
        <f t="shared" si="90"/>
        <v>51.7</v>
      </c>
      <c r="D1159" s="2" t="s">
        <v>1588</v>
      </c>
      <c r="E1159" s="2">
        <v>58</v>
      </c>
      <c r="F1159" s="2">
        <v>52</v>
      </c>
      <c r="G1159" s="2">
        <v>42</v>
      </c>
      <c r="H1159" s="2" t="s">
        <v>339</v>
      </c>
      <c r="I1159" s="2" t="s">
        <v>28</v>
      </c>
      <c r="J1159" s="4" t="s">
        <v>38</v>
      </c>
      <c r="M1159" s="2">
        <f t="shared" si="91"/>
        <v>45</v>
      </c>
      <c r="N1159" s="2">
        <f t="shared" si="92"/>
        <v>55.2</v>
      </c>
      <c r="O1159" s="2">
        <f>IF(M1159="","",IF(M1159&gt;=1000,95,IF(M1159&lt;=12.5,50,LOOKUP(M1159,{12.5,15,20,30,45,60,75,105,115,150,200,225,250,600,1000},{50,55,60,62,65,68,70,72,75,80,82,85,87,90,95})+(M1159-LOOKUP(M1159,{12.5,15,20,30,45,60,75,105,115,150,200,225,250,600},{12.5,15,20,30,45,60,75,105,115,150,200,225,250,600}))/(LOOKUP(M1159,{12.5,15,20,30,45,60,75,105,115,150,200,225,250,600,1000},{15,20,30,45,60,75,105,115,150,200,225,250,600,1000,1000})-LOOKUP(M1159,{12.5,15,20,30,45,60,75,105,115,150,200,225,250,600},{12.5,15,20,30,45,60,75,105,115,150,200,225,250,600}))*(LOOKUP(M1159,{12.5,15,20,30,45,60,75,105,115,150,200,225,250,600,1000},{55,60,62,65,68,70,72,75,80,82,85,87,90,95,95})-LOOKUP(M1159,{12.5,15,20,30,45,60,75,105,115,150,200,225,250,600,1000},{50,55,60,62,65,68,70,72,75,80,82,85,87,90,95})))))</f>
        <v>65</v>
      </c>
      <c r="P1159" s="2">
        <f t="shared" si="93"/>
        <v>-7</v>
      </c>
      <c r="Q1159" s="2">
        <f t="shared" si="94"/>
        <v>-3.5</v>
      </c>
    </row>
    <row r="1160" customHeight="1" spans="1:17">
      <c r="B1160" s="2">
        <v>1159</v>
      </c>
      <c r="C1160" s="3">
        <f t="shared" si="90"/>
        <v>51.67</v>
      </c>
      <c r="D1160" s="2" t="s">
        <v>1589</v>
      </c>
      <c r="E1160" s="12">
        <v>62</v>
      </c>
      <c r="F1160" s="2">
        <v>59</v>
      </c>
      <c r="G1160" s="2">
        <v>58</v>
      </c>
      <c r="H1160" s="2" t="s">
        <v>244</v>
      </c>
      <c r="I1160" s="2" t="s">
        <v>23</v>
      </c>
      <c r="J1160" s="4" t="s">
        <v>19</v>
      </c>
      <c r="M1160" s="2">
        <f t="shared" si="91"/>
        <v>225</v>
      </c>
      <c r="N1160" s="2">
        <f t="shared" si="92"/>
        <v>61</v>
      </c>
      <c r="O1160" s="2">
        <f>IF(M1160="","",IF(M1160&gt;=1000,95,IF(M1160&lt;=12.5,50,LOOKUP(M1160,{12.5,15,20,30,45,60,75,105,115,150,200,225,250,600,1000},{50,55,60,62,65,68,70,72,75,80,82,85,87,90,95})+(M1160-LOOKUP(M1160,{12.5,15,20,30,45,60,75,105,115,150,200,225,250,600},{12.5,15,20,30,45,60,75,105,115,150,200,225,250,600}))/(LOOKUP(M1160,{12.5,15,20,30,45,60,75,105,115,150,200,225,250,600,1000},{15,20,30,45,60,75,105,115,150,200,225,250,600,1000,1000})-LOOKUP(M1160,{12.5,15,20,30,45,60,75,105,115,150,200,225,250,600},{12.5,15,20,30,45,60,75,105,115,150,200,225,250,600}))*(LOOKUP(M1160,{12.5,15,20,30,45,60,75,105,115,150,200,225,250,600,1000},{55,60,62,65,68,70,72,75,80,82,85,87,90,95,95})-LOOKUP(M1160,{12.5,15,20,30,45,60,75,105,115,150,200,225,250,600,1000},{50,55,60,62,65,68,70,72,75,80,82,85,87,90,95})))))</f>
        <v>85</v>
      </c>
      <c r="P1160" s="2">
        <f t="shared" si="93"/>
        <v>-23</v>
      </c>
      <c r="Q1160" s="2">
        <f t="shared" si="94"/>
        <v>-9.33</v>
      </c>
    </row>
    <row r="1161" customHeight="1" spans="1:17">
      <c r="B1161" s="2">
        <v>1160</v>
      </c>
      <c r="C1161" s="3">
        <f t="shared" si="90"/>
        <v>51.6</v>
      </c>
      <c r="D1161" s="2" t="s">
        <v>1590</v>
      </c>
      <c r="E1161" s="12">
        <v>60</v>
      </c>
      <c r="F1161" s="12">
        <v>65</v>
      </c>
      <c r="G1161" s="2">
        <v>56</v>
      </c>
      <c r="H1161" s="2" t="s">
        <v>1344</v>
      </c>
      <c r="I1161" s="2" t="s">
        <v>23</v>
      </c>
      <c r="J1161" s="4" t="s">
        <v>51</v>
      </c>
      <c r="M1161" s="2">
        <f t="shared" si="91"/>
        <v>200</v>
      </c>
      <c r="N1161" s="2">
        <f t="shared" si="92"/>
        <v>60.6</v>
      </c>
      <c r="O1161" s="2">
        <f>IF(M1161="","",IF(M1161&gt;=1000,95,IF(M1161&lt;=12.5,50,LOOKUP(M1161,{12.5,15,20,30,45,60,75,105,115,150,200,225,250,600,1000},{50,55,60,62,65,68,70,72,75,80,82,85,87,90,95})+(M1161-LOOKUP(M1161,{12.5,15,20,30,45,60,75,105,115,150,200,225,250,600},{12.5,15,20,30,45,60,75,105,115,150,200,225,250,600}))/(LOOKUP(M1161,{12.5,15,20,30,45,60,75,105,115,150,200,225,250,600,1000},{15,20,30,45,60,75,105,115,150,200,225,250,600,1000,1000})-LOOKUP(M1161,{12.5,15,20,30,45,60,75,105,115,150,200,225,250,600},{12.5,15,20,30,45,60,75,105,115,150,200,225,250,600}))*(LOOKUP(M1161,{12.5,15,20,30,45,60,75,105,115,150,200,225,250,600,1000},{55,60,62,65,68,70,72,75,80,82,85,87,90,95,95})-LOOKUP(M1161,{12.5,15,20,30,45,60,75,105,115,150,200,225,250,600,1000},{50,55,60,62,65,68,70,72,75,80,82,85,87,90,95})))))</f>
        <v>82</v>
      </c>
      <c r="P1161" s="2">
        <f t="shared" si="93"/>
        <v>-22</v>
      </c>
      <c r="Q1161" s="2">
        <f t="shared" si="94"/>
        <v>-9</v>
      </c>
    </row>
    <row r="1162" customHeight="1" spans="1:17">
      <c r="B1162" s="2">
        <v>1161</v>
      </c>
      <c r="C1162" s="3">
        <f t="shared" si="90"/>
        <v>51.6</v>
      </c>
      <c r="D1162" s="2" t="s">
        <v>1591</v>
      </c>
      <c r="E1162" s="12">
        <v>64</v>
      </c>
      <c r="F1162" s="2">
        <v>50</v>
      </c>
      <c r="G1162" s="2">
        <v>38</v>
      </c>
      <c r="H1162" s="2" t="s">
        <v>848</v>
      </c>
      <c r="I1162" s="2" t="s">
        <v>28</v>
      </c>
      <c r="J1162" s="4" t="s">
        <v>59</v>
      </c>
      <c r="M1162" s="2">
        <f t="shared" si="91"/>
        <v>150</v>
      </c>
      <c r="N1162" s="2">
        <f t="shared" si="92"/>
        <v>58.6</v>
      </c>
      <c r="O1162" s="2">
        <f>IF(M1162="","",IF(M1162&gt;=1000,95,IF(M1162&lt;=12.5,50,LOOKUP(M1162,{12.5,15,20,30,45,60,75,105,115,150,200,225,250,600,1000},{50,55,60,62,65,68,70,72,75,80,82,85,87,90,95})+(M1162-LOOKUP(M1162,{12.5,15,20,30,45,60,75,105,115,150,200,225,250,600},{12.5,15,20,30,45,60,75,105,115,150,200,225,250,600}))/(LOOKUP(M1162,{12.5,15,20,30,45,60,75,105,115,150,200,225,250,600,1000},{15,20,30,45,60,75,105,115,150,200,225,250,600,1000,1000})-LOOKUP(M1162,{12.5,15,20,30,45,60,75,105,115,150,200,225,250,600},{12.5,15,20,30,45,60,75,105,115,150,200,225,250,600}))*(LOOKUP(M1162,{12.5,15,20,30,45,60,75,105,115,150,200,225,250,600,1000},{55,60,62,65,68,70,72,75,80,82,85,87,90,95,95})-LOOKUP(M1162,{12.5,15,20,30,45,60,75,105,115,150,200,225,250,600,1000},{50,55,60,62,65,68,70,72,75,80,82,85,87,90,95})))))</f>
        <v>80</v>
      </c>
      <c r="P1162" s="2">
        <f t="shared" si="93"/>
        <v>-16</v>
      </c>
      <c r="Q1162" s="2">
        <f t="shared" si="94"/>
        <v>-7</v>
      </c>
    </row>
    <row r="1163" customHeight="1" spans="1:17">
      <c r="B1163" s="2">
        <v>1162</v>
      </c>
      <c r="C1163" s="3">
        <f t="shared" si="90"/>
        <v>51.6</v>
      </c>
      <c r="D1163" s="2" t="s">
        <v>1592</v>
      </c>
      <c r="E1163" s="2">
        <v>58</v>
      </c>
      <c r="F1163" s="2">
        <v>50</v>
      </c>
      <c r="G1163" s="2">
        <v>30</v>
      </c>
      <c r="H1163" s="2" t="s">
        <v>37</v>
      </c>
      <c r="I1163" s="2" t="s">
        <v>28</v>
      </c>
      <c r="J1163" s="4" t="s">
        <v>88</v>
      </c>
      <c r="M1163" s="2">
        <f t="shared" si="91"/>
        <v>30</v>
      </c>
      <c r="N1163" s="2">
        <f t="shared" si="92"/>
        <v>53.6</v>
      </c>
      <c r="O1163" s="2">
        <f>IF(M1163="","",IF(M1163&gt;=1000,95,IF(M1163&lt;=12.5,50,LOOKUP(M1163,{12.5,15,20,30,45,60,75,105,115,150,200,225,250,600,1000},{50,55,60,62,65,68,70,72,75,80,82,85,87,90,95})+(M1163-LOOKUP(M1163,{12.5,15,20,30,45,60,75,105,115,150,200,225,250,600},{12.5,15,20,30,45,60,75,105,115,150,200,225,250,600}))/(LOOKUP(M1163,{12.5,15,20,30,45,60,75,105,115,150,200,225,250,600,1000},{15,20,30,45,60,75,105,115,150,200,225,250,600,1000,1000})-LOOKUP(M1163,{12.5,15,20,30,45,60,75,105,115,150,200,225,250,600},{12.5,15,20,30,45,60,75,105,115,150,200,225,250,600}))*(LOOKUP(M1163,{12.5,15,20,30,45,60,75,105,115,150,200,225,250,600,1000},{55,60,62,65,68,70,72,75,80,82,85,87,90,95,95})-LOOKUP(M1163,{12.5,15,20,30,45,60,75,105,115,150,200,225,250,600,1000},{50,55,60,62,65,68,70,72,75,80,82,85,87,90,95})))))</f>
        <v>62</v>
      </c>
      <c r="P1163" s="2">
        <f t="shared" si="93"/>
        <v>-4</v>
      </c>
      <c r="Q1163" s="2">
        <f t="shared" si="94"/>
        <v>-2</v>
      </c>
    </row>
    <row r="1164" customHeight="1" spans="1:17">
      <c r="A1164" s="2">
        <v>2026</v>
      </c>
      <c r="B1164" s="2">
        <v>1163</v>
      </c>
      <c r="C1164" s="3">
        <f t="shared" si="90"/>
        <v>51.57</v>
      </c>
      <c r="D1164" s="2" t="s">
        <v>1593</v>
      </c>
      <c r="E1164" s="12">
        <v>64</v>
      </c>
      <c r="F1164" s="2">
        <v>37</v>
      </c>
      <c r="G1164" s="2">
        <v>47</v>
      </c>
      <c r="H1164" s="2" t="s">
        <v>37</v>
      </c>
      <c r="I1164" s="2" t="s">
        <v>183</v>
      </c>
      <c r="J1164" s="4" t="s">
        <v>148</v>
      </c>
      <c r="M1164" s="2">
        <f t="shared" si="91"/>
        <v>115</v>
      </c>
      <c r="N1164" s="2">
        <f t="shared" si="92"/>
        <v>56.9</v>
      </c>
      <c r="O1164" s="2">
        <f>IF(M1164="","",IF(M1164&gt;=1000,95,IF(M1164&lt;=12.5,50,LOOKUP(M1164,{12.5,15,20,30,45,60,75,105,115,150,200,225,250,600,1000},{50,55,60,62,65,68,70,72,75,80,82,85,87,90,95})+(M1164-LOOKUP(M1164,{12.5,15,20,30,45,60,75,105,115,150,200,225,250,600},{12.5,15,20,30,45,60,75,105,115,150,200,225,250,600}))/(LOOKUP(M1164,{12.5,15,20,30,45,60,75,105,115,150,200,225,250,600,1000},{15,20,30,45,60,75,105,115,150,200,225,250,600,1000,1000})-LOOKUP(M1164,{12.5,15,20,30,45,60,75,105,115,150,200,225,250,600},{12.5,15,20,30,45,60,75,105,115,150,200,225,250,600}))*(LOOKUP(M1164,{12.5,15,20,30,45,60,75,105,115,150,200,225,250,600,1000},{55,60,62,65,68,70,72,75,80,82,85,87,90,95,95})-LOOKUP(M1164,{12.5,15,20,30,45,60,75,105,115,150,200,225,250,600,1000},{50,55,60,62,65,68,70,72,75,80,82,85,87,90,95})))))</f>
        <v>75</v>
      </c>
      <c r="P1164" s="2">
        <f t="shared" si="93"/>
        <v>-11</v>
      </c>
      <c r="Q1164" s="2">
        <f t="shared" si="94"/>
        <v>-5.33</v>
      </c>
    </row>
    <row r="1165" customHeight="1" spans="1:17">
      <c r="B1165" s="2">
        <v>1164</v>
      </c>
      <c r="C1165" s="3">
        <f t="shared" si="90"/>
        <v>51.37</v>
      </c>
      <c r="D1165" s="2" t="s">
        <v>1594</v>
      </c>
      <c r="E1165" s="12">
        <v>67</v>
      </c>
      <c r="F1165" s="2">
        <v>43</v>
      </c>
      <c r="G1165" s="2">
        <v>52</v>
      </c>
      <c r="H1165" s="2" t="s">
        <v>66</v>
      </c>
      <c r="I1165" s="2" t="s">
        <v>183</v>
      </c>
      <c r="J1165" s="4" t="s">
        <v>73</v>
      </c>
      <c r="M1165" s="2">
        <f t="shared" si="91"/>
        <v>600</v>
      </c>
      <c r="N1165" s="2">
        <f t="shared" si="92"/>
        <v>60.7</v>
      </c>
      <c r="O1165" s="2">
        <f>IF(M1165="","",IF(M1165&gt;=1000,95,IF(M1165&lt;=12.5,50,LOOKUP(M1165,{12.5,15,20,30,45,60,75,105,115,150,200,225,250,600,1000},{50,55,60,62,65,68,70,72,75,80,82,85,87,90,95})+(M1165-LOOKUP(M1165,{12.5,15,20,30,45,60,75,105,115,150,200,225,250,600},{12.5,15,20,30,45,60,75,105,115,150,200,225,250,600}))/(LOOKUP(M1165,{12.5,15,20,30,45,60,75,105,115,150,200,225,250,600,1000},{15,20,30,45,60,75,105,115,150,200,225,250,600,1000,1000})-LOOKUP(M1165,{12.5,15,20,30,45,60,75,105,115,150,200,225,250,600},{12.5,15,20,30,45,60,75,105,115,150,200,225,250,600}))*(LOOKUP(M1165,{12.5,15,20,30,45,60,75,105,115,150,200,225,250,600,1000},{55,60,62,65,68,70,72,75,80,82,85,87,90,95,95})-LOOKUP(M1165,{12.5,15,20,30,45,60,75,105,115,150,200,225,250,600,1000},{50,55,60,62,65,68,70,72,75,80,82,85,87,90,95})))))</f>
        <v>90</v>
      </c>
      <c r="P1165" s="2">
        <f t="shared" si="93"/>
        <v>-23</v>
      </c>
      <c r="Q1165" s="2">
        <f t="shared" si="94"/>
        <v>-9.33</v>
      </c>
    </row>
    <row r="1166" customHeight="1" spans="1:17">
      <c r="B1166" s="2">
        <v>1165</v>
      </c>
      <c r="C1166" s="3">
        <f t="shared" si="90"/>
        <v>51.33</v>
      </c>
      <c r="D1166" s="2" t="s">
        <v>1595</v>
      </c>
      <c r="E1166" s="2">
        <v>55</v>
      </c>
      <c r="F1166" s="9">
        <v>71</v>
      </c>
      <c r="G1166" s="2">
        <v>53</v>
      </c>
      <c r="H1166" s="2" t="s">
        <v>591</v>
      </c>
      <c r="I1166" s="2" t="s">
        <v>592</v>
      </c>
      <c r="J1166" s="4" t="s">
        <v>24</v>
      </c>
      <c r="M1166" s="2">
        <f t="shared" si="91"/>
        <v>75</v>
      </c>
      <c r="N1166" s="2">
        <f t="shared" si="92"/>
        <v>58</v>
      </c>
      <c r="O1166" s="2">
        <f>IF(M1166="","",IF(M1166&gt;=1000,95,IF(M1166&lt;=12.5,50,LOOKUP(M1166,{12.5,15,20,30,45,60,75,105,115,150,200,225,250,600,1000},{50,55,60,62,65,68,70,72,75,80,82,85,87,90,95})+(M1166-LOOKUP(M1166,{12.5,15,20,30,45,60,75,105,115,150,200,225,250,600},{12.5,15,20,30,45,60,75,105,115,150,200,225,250,600}))/(LOOKUP(M1166,{12.5,15,20,30,45,60,75,105,115,150,200,225,250,600,1000},{15,20,30,45,60,75,105,115,150,200,225,250,600,1000,1000})-LOOKUP(M1166,{12.5,15,20,30,45,60,75,105,115,150,200,225,250,600},{12.5,15,20,30,45,60,75,105,115,150,200,225,250,600}))*(LOOKUP(M1166,{12.5,15,20,30,45,60,75,105,115,150,200,225,250,600,1000},{55,60,62,65,68,70,72,75,80,82,85,87,90,95,95})-LOOKUP(M1166,{12.5,15,20,30,45,60,75,105,115,150,200,225,250,600,1000},{50,55,60,62,65,68,70,72,75,80,82,85,87,90,95})))))</f>
        <v>70</v>
      </c>
      <c r="P1166" s="2">
        <f t="shared" si="93"/>
        <v>-15</v>
      </c>
      <c r="Q1166" s="2">
        <f t="shared" si="94"/>
        <v>-6.67</v>
      </c>
    </row>
    <row r="1167" customHeight="1" spans="1:17">
      <c r="B1167" s="2">
        <v>1166</v>
      </c>
      <c r="C1167" s="3">
        <f t="shared" si="90"/>
        <v>51.3</v>
      </c>
      <c r="D1167" s="2" t="s">
        <v>1596</v>
      </c>
      <c r="E1167" s="2">
        <v>55</v>
      </c>
      <c r="F1167" s="12">
        <v>62</v>
      </c>
      <c r="G1167" s="2">
        <v>54</v>
      </c>
      <c r="H1167" s="2" t="s">
        <v>1000</v>
      </c>
      <c r="I1167" s="2" t="s">
        <v>33</v>
      </c>
      <c r="J1167" s="4" t="s">
        <v>38</v>
      </c>
      <c r="M1167" s="2">
        <f t="shared" si="91"/>
        <v>45</v>
      </c>
      <c r="N1167" s="2">
        <f t="shared" si="92"/>
        <v>56.3</v>
      </c>
      <c r="O1167" s="2">
        <f>IF(M1167="","",IF(M1167&gt;=1000,95,IF(M1167&lt;=12.5,50,LOOKUP(M1167,{12.5,15,20,30,45,60,75,105,115,150,200,225,250,600,1000},{50,55,60,62,65,68,70,72,75,80,82,85,87,90,95})+(M1167-LOOKUP(M1167,{12.5,15,20,30,45,60,75,105,115,150,200,225,250,600},{12.5,15,20,30,45,60,75,105,115,150,200,225,250,600}))/(LOOKUP(M1167,{12.5,15,20,30,45,60,75,105,115,150,200,225,250,600,1000},{15,20,30,45,60,75,105,115,150,200,225,250,600,1000,1000})-LOOKUP(M1167,{12.5,15,20,30,45,60,75,105,115,150,200,225,250,600},{12.5,15,20,30,45,60,75,105,115,150,200,225,250,600}))*(LOOKUP(M1167,{12.5,15,20,30,45,60,75,105,115,150,200,225,250,600,1000},{55,60,62,65,68,70,72,75,80,82,85,87,90,95,95})-LOOKUP(M1167,{12.5,15,20,30,45,60,75,105,115,150,200,225,250,600,1000},{50,55,60,62,65,68,70,72,75,80,82,85,87,90,95})))))</f>
        <v>65</v>
      </c>
      <c r="P1167" s="2">
        <f t="shared" si="93"/>
        <v>-10</v>
      </c>
      <c r="Q1167" s="2">
        <f t="shared" si="94"/>
        <v>-5</v>
      </c>
    </row>
    <row r="1168" customHeight="1" spans="1:17">
      <c r="A1168" s="2">
        <v>2026</v>
      </c>
      <c r="B1168" s="2">
        <v>1167</v>
      </c>
      <c r="C1168" s="3">
        <f t="shared" si="90"/>
        <v>51.23</v>
      </c>
      <c r="D1168" s="2" t="s">
        <v>1597</v>
      </c>
      <c r="E1168" s="12">
        <v>60</v>
      </c>
      <c r="F1168" s="9">
        <v>74</v>
      </c>
      <c r="G1168" s="2">
        <v>51</v>
      </c>
      <c r="H1168" s="2" t="s">
        <v>264</v>
      </c>
      <c r="I1168" s="2" t="s">
        <v>28</v>
      </c>
      <c r="J1168" s="4" t="s">
        <v>123</v>
      </c>
      <c r="M1168" s="2">
        <f t="shared" si="91"/>
        <v>250</v>
      </c>
      <c r="N1168" s="2">
        <f t="shared" si="92"/>
        <v>61.9</v>
      </c>
      <c r="O1168" s="2">
        <f>IF(M1168="","",IF(M1168&gt;=1000,95,IF(M1168&lt;=12.5,50,LOOKUP(M1168,{12.5,15,20,30,45,60,75,105,115,150,200,225,250,600,1000},{50,55,60,62,65,68,70,72,75,80,82,85,87,90,95})+(M1168-LOOKUP(M1168,{12.5,15,20,30,45,60,75,105,115,150,200,225,250,600},{12.5,15,20,30,45,60,75,105,115,150,200,225,250,600}))/(LOOKUP(M1168,{12.5,15,20,30,45,60,75,105,115,150,200,225,250,600,1000},{15,20,30,45,60,75,105,115,150,200,225,250,600,1000,1000})-LOOKUP(M1168,{12.5,15,20,30,45,60,75,105,115,150,200,225,250,600},{12.5,15,20,30,45,60,75,105,115,150,200,225,250,600}))*(LOOKUP(M1168,{12.5,15,20,30,45,60,75,105,115,150,200,225,250,600,1000},{55,60,62,65,68,70,72,75,80,82,85,87,90,95,95})-LOOKUP(M1168,{12.5,15,20,30,45,60,75,105,115,150,200,225,250,600,1000},{50,55,60,62,65,68,70,72,75,80,82,85,87,90,95})))))</f>
        <v>87</v>
      </c>
      <c r="P1168" s="2">
        <f t="shared" si="93"/>
        <v>-27</v>
      </c>
      <c r="Q1168" s="2">
        <f t="shared" si="94"/>
        <v>-10.67</v>
      </c>
    </row>
    <row r="1169" customHeight="1" spans="1:17">
      <c r="B1169" s="2">
        <v>1168</v>
      </c>
      <c r="C1169" s="3">
        <f t="shared" si="90"/>
        <v>51.23</v>
      </c>
      <c r="D1169" s="2" t="s">
        <v>1598</v>
      </c>
      <c r="E1169" s="2">
        <v>53</v>
      </c>
      <c r="F1169" s="12">
        <v>65</v>
      </c>
      <c r="G1169" s="12">
        <v>68</v>
      </c>
      <c r="H1169" s="2" t="s">
        <v>113</v>
      </c>
      <c r="I1169" s="2" t="s">
        <v>33</v>
      </c>
      <c r="J1169" s="4" t="s">
        <v>38</v>
      </c>
      <c r="M1169" s="2">
        <f t="shared" si="91"/>
        <v>45</v>
      </c>
      <c r="N1169" s="2">
        <f t="shared" si="92"/>
        <v>56.9</v>
      </c>
      <c r="O1169" s="2">
        <f>IF(M1169="","",IF(M1169&gt;=1000,95,IF(M1169&lt;=12.5,50,LOOKUP(M1169,{12.5,15,20,30,45,60,75,105,115,150,200,225,250,600,1000},{50,55,60,62,65,68,70,72,75,80,82,85,87,90,95})+(M1169-LOOKUP(M1169,{12.5,15,20,30,45,60,75,105,115,150,200,225,250,600},{12.5,15,20,30,45,60,75,105,115,150,200,225,250,600}))/(LOOKUP(M1169,{12.5,15,20,30,45,60,75,105,115,150,200,225,250,600,1000},{15,20,30,45,60,75,105,115,150,200,225,250,600,1000,1000})-LOOKUP(M1169,{12.5,15,20,30,45,60,75,105,115,150,200,225,250,600},{12.5,15,20,30,45,60,75,105,115,150,200,225,250,600}))*(LOOKUP(M1169,{12.5,15,20,30,45,60,75,105,115,150,200,225,250,600,1000},{55,60,62,65,68,70,72,75,80,82,85,87,90,95,95})-LOOKUP(M1169,{12.5,15,20,30,45,60,75,105,115,150,200,225,250,600,1000},{50,55,60,62,65,68,70,72,75,80,82,85,87,90,95})))))</f>
        <v>65</v>
      </c>
      <c r="P1169" s="2">
        <f t="shared" si="93"/>
        <v>-12</v>
      </c>
      <c r="Q1169" s="2">
        <f t="shared" si="94"/>
        <v>-5.67</v>
      </c>
    </row>
    <row r="1170" customHeight="1" spans="1:17">
      <c r="B1170" s="2">
        <v>1169</v>
      </c>
      <c r="C1170" s="3">
        <f t="shared" si="90"/>
        <v>51.13</v>
      </c>
      <c r="D1170" s="2" t="s">
        <v>1599</v>
      </c>
      <c r="E1170" s="2">
        <v>58</v>
      </c>
      <c r="F1170" s="2">
        <v>58</v>
      </c>
      <c r="G1170" s="2">
        <v>46</v>
      </c>
      <c r="H1170" s="2" t="s">
        <v>66</v>
      </c>
      <c r="I1170" s="2" t="s">
        <v>33</v>
      </c>
      <c r="J1170" s="4" t="s">
        <v>1600</v>
      </c>
      <c r="M1170" s="2">
        <f t="shared" si="91"/>
        <v>75</v>
      </c>
      <c r="N1170" s="2">
        <f t="shared" si="92"/>
        <v>56.8</v>
      </c>
      <c r="O1170" s="2">
        <f>IF(M1170="","",IF(M1170&gt;=1000,95,IF(M1170&lt;=12.5,50,LOOKUP(M1170,{12.5,15,20,30,45,60,75,105,115,150,200,225,250,600,1000},{50,55,60,62,65,68,70,72,75,80,82,85,87,90,95})+(M1170-LOOKUP(M1170,{12.5,15,20,30,45,60,75,105,115,150,200,225,250,600},{12.5,15,20,30,45,60,75,105,115,150,200,225,250,600}))/(LOOKUP(M1170,{12.5,15,20,30,45,60,75,105,115,150,200,225,250,600,1000},{15,20,30,45,60,75,105,115,150,200,225,250,600,1000,1000})-LOOKUP(M1170,{12.5,15,20,30,45,60,75,105,115,150,200,225,250,600},{12.5,15,20,30,45,60,75,105,115,150,200,225,250,600}))*(LOOKUP(M1170,{12.5,15,20,30,45,60,75,105,115,150,200,225,250,600,1000},{55,60,62,65,68,70,72,75,80,82,85,87,90,95,95})-LOOKUP(M1170,{12.5,15,20,30,45,60,75,105,115,150,200,225,250,600,1000},{50,55,60,62,65,68,70,72,75,80,82,85,87,90,95})))))</f>
        <v>70</v>
      </c>
      <c r="P1170" s="2">
        <f t="shared" si="93"/>
        <v>-12</v>
      </c>
      <c r="Q1170" s="2">
        <f t="shared" si="94"/>
        <v>-5.67</v>
      </c>
    </row>
    <row r="1171" customHeight="1" spans="1:17">
      <c r="B1171" s="2">
        <v>1170</v>
      </c>
      <c r="C1171" s="3">
        <f t="shared" si="90"/>
        <v>51.13</v>
      </c>
      <c r="D1171" s="2" t="s">
        <v>1601</v>
      </c>
      <c r="E1171" s="12">
        <v>69</v>
      </c>
      <c r="F1171" s="2">
        <v>36</v>
      </c>
      <c r="G1171" s="2">
        <v>43</v>
      </c>
      <c r="H1171" s="2" t="s">
        <v>640</v>
      </c>
      <c r="I1171" s="2" t="s">
        <v>1602</v>
      </c>
      <c r="J1171" s="4" t="s">
        <v>73</v>
      </c>
      <c r="M1171" s="2">
        <f t="shared" si="91"/>
        <v>600</v>
      </c>
      <c r="N1171" s="2">
        <f t="shared" si="92"/>
        <v>59.8</v>
      </c>
      <c r="O1171" s="2">
        <f>IF(M1171="","",IF(M1171&gt;=1000,95,IF(M1171&lt;=12.5,50,LOOKUP(M1171,{12.5,15,20,30,45,60,75,105,115,150,200,225,250,600,1000},{50,55,60,62,65,68,70,72,75,80,82,85,87,90,95})+(M1171-LOOKUP(M1171,{12.5,15,20,30,45,60,75,105,115,150,200,225,250,600},{12.5,15,20,30,45,60,75,105,115,150,200,225,250,600}))/(LOOKUP(M1171,{12.5,15,20,30,45,60,75,105,115,150,200,225,250,600,1000},{15,20,30,45,60,75,105,115,150,200,225,250,600,1000,1000})-LOOKUP(M1171,{12.5,15,20,30,45,60,75,105,115,150,200,225,250,600},{12.5,15,20,30,45,60,75,105,115,150,200,225,250,600}))*(LOOKUP(M1171,{12.5,15,20,30,45,60,75,105,115,150,200,225,250,600,1000},{55,60,62,65,68,70,72,75,80,82,85,87,90,95,95})-LOOKUP(M1171,{12.5,15,20,30,45,60,75,105,115,150,200,225,250,600,1000},{50,55,60,62,65,68,70,72,75,80,82,85,87,90,95})))))</f>
        <v>90</v>
      </c>
      <c r="P1171" s="2">
        <f t="shared" si="93"/>
        <v>-21</v>
      </c>
      <c r="Q1171" s="2">
        <f t="shared" si="94"/>
        <v>-8.67</v>
      </c>
    </row>
    <row r="1172" customHeight="1" spans="1:17">
      <c r="A1172" s="2">
        <v>2026</v>
      </c>
      <c r="B1172" s="2">
        <v>1171</v>
      </c>
      <c r="C1172" s="3">
        <f t="shared" ref="C1172:C1235" si="95">ROUND(MAX(MIN(N1172+Q1172,100),0),2)</f>
        <v>51.1</v>
      </c>
      <c r="D1172" s="2" t="s">
        <v>1603</v>
      </c>
      <c r="E1172" s="2">
        <v>57</v>
      </c>
      <c r="F1172" s="2">
        <v>50</v>
      </c>
      <c r="G1172" s="2">
        <v>52</v>
      </c>
      <c r="H1172" s="2" t="s">
        <v>41</v>
      </c>
      <c r="I1172" s="2" t="s">
        <v>28</v>
      </c>
      <c r="J1172" s="4" t="s">
        <v>38</v>
      </c>
      <c r="M1172" s="2">
        <f t="shared" si="91"/>
        <v>45</v>
      </c>
      <c r="N1172" s="2">
        <f t="shared" si="92"/>
        <v>55.1</v>
      </c>
      <c r="O1172" s="2">
        <f>IF(M1172="","",IF(M1172&gt;=1000,95,IF(M1172&lt;=12.5,50,LOOKUP(M1172,{12.5,15,20,30,45,60,75,105,115,150,200,225,250,600,1000},{50,55,60,62,65,68,70,72,75,80,82,85,87,90,95})+(M1172-LOOKUP(M1172,{12.5,15,20,30,45,60,75,105,115,150,200,225,250,600},{12.5,15,20,30,45,60,75,105,115,150,200,225,250,600}))/(LOOKUP(M1172,{12.5,15,20,30,45,60,75,105,115,150,200,225,250,600,1000},{15,20,30,45,60,75,105,115,150,200,225,250,600,1000,1000})-LOOKUP(M1172,{12.5,15,20,30,45,60,75,105,115,150,200,225,250,600},{12.5,15,20,30,45,60,75,105,115,150,200,225,250,600}))*(LOOKUP(M1172,{12.5,15,20,30,45,60,75,105,115,150,200,225,250,600,1000},{55,60,62,65,68,70,72,75,80,82,85,87,90,95,95})-LOOKUP(M1172,{12.5,15,20,30,45,60,75,105,115,150,200,225,250,600,1000},{50,55,60,62,65,68,70,72,75,80,82,85,87,90,95})))))</f>
        <v>65</v>
      </c>
      <c r="P1172" s="2">
        <f t="shared" si="93"/>
        <v>-8</v>
      </c>
      <c r="Q1172" s="2">
        <f t="shared" si="94"/>
        <v>-4</v>
      </c>
    </row>
    <row r="1173" customHeight="1" spans="1:17">
      <c r="B1173" s="2">
        <v>1172</v>
      </c>
      <c r="C1173" s="3">
        <f t="shared" si="95"/>
        <v>51.03</v>
      </c>
      <c r="D1173" s="2" t="s">
        <v>1604</v>
      </c>
      <c r="E1173" s="2">
        <v>56</v>
      </c>
      <c r="F1173" s="12">
        <v>62</v>
      </c>
      <c r="G1173" s="2">
        <v>51</v>
      </c>
      <c r="H1173" s="2" t="s">
        <v>84</v>
      </c>
      <c r="I1173" s="2" t="s">
        <v>33</v>
      </c>
      <c r="J1173" s="4" t="s">
        <v>34</v>
      </c>
      <c r="M1173" s="2">
        <f t="shared" si="91"/>
        <v>60</v>
      </c>
      <c r="N1173" s="2">
        <f t="shared" si="92"/>
        <v>56.7</v>
      </c>
      <c r="O1173" s="2">
        <f>IF(M1173="","",IF(M1173&gt;=1000,95,IF(M1173&lt;=12.5,50,LOOKUP(M1173,{12.5,15,20,30,45,60,75,105,115,150,200,225,250,600,1000},{50,55,60,62,65,68,70,72,75,80,82,85,87,90,95})+(M1173-LOOKUP(M1173,{12.5,15,20,30,45,60,75,105,115,150,200,225,250,600},{12.5,15,20,30,45,60,75,105,115,150,200,225,250,600}))/(LOOKUP(M1173,{12.5,15,20,30,45,60,75,105,115,150,200,225,250,600,1000},{15,20,30,45,60,75,105,115,150,200,225,250,600,1000,1000})-LOOKUP(M1173,{12.5,15,20,30,45,60,75,105,115,150,200,225,250,600},{12.5,15,20,30,45,60,75,105,115,150,200,225,250,600}))*(LOOKUP(M1173,{12.5,15,20,30,45,60,75,105,115,150,200,225,250,600,1000},{55,60,62,65,68,70,72,75,80,82,85,87,90,95,95})-LOOKUP(M1173,{12.5,15,20,30,45,60,75,105,115,150,200,225,250,600,1000},{50,55,60,62,65,68,70,72,75,80,82,85,87,90,95})))))</f>
        <v>68</v>
      </c>
      <c r="P1173" s="2">
        <f t="shared" si="93"/>
        <v>-12</v>
      </c>
      <c r="Q1173" s="2">
        <f t="shared" si="94"/>
        <v>-5.67</v>
      </c>
    </row>
    <row r="1174" customHeight="1" spans="1:17">
      <c r="B1174" s="2">
        <v>1173</v>
      </c>
      <c r="C1174" s="3">
        <f t="shared" si="95"/>
        <v>50.9</v>
      </c>
      <c r="D1174" s="2" t="s">
        <v>1605</v>
      </c>
      <c r="E1174" s="2">
        <v>56</v>
      </c>
      <c r="F1174" s="12">
        <v>65</v>
      </c>
      <c r="G1174" s="12">
        <v>67</v>
      </c>
      <c r="H1174" s="2" t="s">
        <v>32</v>
      </c>
      <c r="I1174" s="2" t="s">
        <v>717</v>
      </c>
      <c r="J1174" s="4" t="s">
        <v>148</v>
      </c>
      <c r="M1174" s="2">
        <f t="shared" si="91"/>
        <v>115</v>
      </c>
      <c r="N1174" s="2">
        <f t="shared" si="92"/>
        <v>58.9</v>
      </c>
      <c r="O1174" s="2">
        <f>IF(M1174="","",IF(M1174&gt;=1000,95,IF(M1174&lt;=12.5,50,LOOKUP(M1174,{12.5,15,20,30,45,60,75,105,115,150,200,225,250,600,1000},{50,55,60,62,65,68,70,72,75,80,82,85,87,90,95})+(M1174-LOOKUP(M1174,{12.5,15,20,30,45,60,75,105,115,150,200,225,250,600},{12.5,15,20,30,45,60,75,105,115,150,200,225,250,600}))/(LOOKUP(M1174,{12.5,15,20,30,45,60,75,105,115,150,200,225,250,600,1000},{15,20,30,45,60,75,105,115,150,200,225,250,600,1000,1000})-LOOKUP(M1174,{12.5,15,20,30,45,60,75,105,115,150,200,225,250,600},{12.5,15,20,30,45,60,75,105,115,150,200,225,250,600}))*(LOOKUP(M1174,{12.5,15,20,30,45,60,75,105,115,150,200,225,250,600,1000},{55,60,62,65,68,70,72,75,80,82,85,87,90,95,95})-LOOKUP(M1174,{12.5,15,20,30,45,60,75,105,115,150,200,225,250,600,1000},{50,55,60,62,65,68,70,72,75,80,82,85,87,90,95})))))</f>
        <v>75</v>
      </c>
      <c r="P1174" s="2">
        <f t="shared" si="93"/>
        <v>-19</v>
      </c>
      <c r="Q1174" s="2">
        <f t="shared" si="94"/>
        <v>-8</v>
      </c>
    </row>
    <row r="1175" customHeight="1" spans="1:17">
      <c r="B1175" s="2">
        <v>1174</v>
      </c>
      <c r="C1175" s="3">
        <f t="shared" si="95"/>
        <v>50.9</v>
      </c>
      <c r="D1175" s="2" t="s">
        <v>1606</v>
      </c>
      <c r="E1175" s="2">
        <v>57</v>
      </c>
      <c r="F1175" s="2">
        <v>56</v>
      </c>
      <c r="G1175" s="2">
        <v>58</v>
      </c>
      <c r="H1175" s="2" t="s">
        <v>37</v>
      </c>
      <c r="I1175" s="2" t="s">
        <v>33</v>
      </c>
      <c r="J1175" s="4" t="s">
        <v>24</v>
      </c>
      <c r="M1175" s="2">
        <f t="shared" si="91"/>
        <v>75</v>
      </c>
      <c r="N1175" s="2">
        <f t="shared" si="92"/>
        <v>56.9</v>
      </c>
      <c r="O1175" s="2">
        <f>IF(M1175="","",IF(M1175&gt;=1000,95,IF(M1175&lt;=12.5,50,LOOKUP(M1175,{12.5,15,20,30,45,60,75,105,115,150,200,225,250,600,1000},{50,55,60,62,65,68,70,72,75,80,82,85,87,90,95})+(M1175-LOOKUP(M1175,{12.5,15,20,30,45,60,75,105,115,150,200,225,250,600},{12.5,15,20,30,45,60,75,105,115,150,200,225,250,600}))/(LOOKUP(M1175,{12.5,15,20,30,45,60,75,105,115,150,200,225,250,600,1000},{15,20,30,45,60,75,105,115,150,200,225,250,600,1000,1000})-LOOKUP(M1175,{12.5,15,20,30,45,60,75,105,115,150,200,225,250,600},{12.5,15,20,30,45,60,75,105,115,150,200,225,250,600}))*(LOOKUP(M1175,{12.5,15,20,30,45,60,75,105,115,150,200,225,250,600,1000},{55,60,62,65,68,70,72,75,80,82,85,87,90,95,95})-LOOKUP(M1175,{12.5,15,20,30,45,60,75,105,115,150,200,225,250,600,1000},{50,55,60,62,65,68,70,72,75,80,82,85,87,90,95})))))</f>
        <v>70</v>
      </c>
      <c r="P1175" s="2">
        <f t="shared" si="93"/>
        <v>-13</v>
      </c>
      <c r="Q1175" s="2">
        <f t="shared" si="94"/>
        <v>-6</v>
      </c>
    </row>
    <row r="1176" customHeight="1" spans="1:17">
      <c r="B1176" s="2">
        <v>1175</v>
      </c>
      <c r="C1176" s="3">
        <f t="shared" si="95"/>
        <v>50.9</v>
      </c>
      <c r="D1176" s="2" t="s">
        <v>1607</v>
      </c>
      <c r="E1176" s="2">
        <v>56</v>
      </c>
      <c r="F1176" s="2">
        <v>52</v>
      </c>
      <c r="G1176" s="2">
        <v>58</v>
      </c>
      <c r="H1176" s="2" t="s">
        <v>41</v>
      </c>
      <c r="I1176" s="2" t="s">
        <v>63</v>
      </c>
      <c r="J1176" s="4" t="s">
        <v>38</v>
      </c>
      <c r="M1176" s="2">
        <f t="shared" si="91"/>
        <v>45</v>
      </c>
      <c r="N1176" s="2">
        <f t="shared" si="92"/>
        <v>55.4</v>
      </c>
      <c r="O1176" s="2">
        <f>IF(M1176="","",IF(M1176&gt;=1000,95,IF(M1176&lt;=12.5,50,LOOKUP(M1176,{12.5,15,20,30,45,60,75,105,115,150,200,225,250,600,1000},{50,55,60,62,65,68,70,72,75,80,82,85,87,90,95})+(M1176-LOOKUP(M1176,{12.5,15,20,30,45,60,75,105,115,150,200,225,250,600},{12.5,15,20,30,45,60,75,105,115,150,200,225,250,600}))/(LOOKUP(M1176,{12.5,15,20,30,45,60,75,105,115,150,200,225,250,600,1000},{15,20,30,45,60,75,105,115,150,200,225,250,600,1000,1000})-LOOKUP(M1176,{12.5,15,20,30,45,60,75,105,115,150,200,225,250,600},{12.5,15,20,30,45,60,75,105,115,150,200,225,250,600}))*(LOOKUP(M1176,{12.5,15,20,30,45,60,75,105,115,150,200,225,250,600,1000},{55,60,62,65,68,70,72,75,80,82,85,87,90,95,95})-LOOKUP(M1176,{12.5,15,20,30,45,60,75,105,115,150,200,225,250,600,1000},{50,55,60,62,65,68,70,72,75,80,82,85,87,90,95})))))</f>
        <v>65</v>
      </c>
      <c r="P1176" s="2">
        <f t="shared" si="93"/>
        <v>-9</v>
      </c>
      <c r="Q1176" s="2">
        <f t="shared" si="94"/>
        <v>-4.5</v>
      </c>
    </row>
    <row r="1177" customHeight="1" spans="1:17">
      <c r="B1177" s="2">
        <v>1176</v>
      </c>
      <c r="C1177" s="3">
        <f t="shared" si="95"/>
        <v>50.86</v>
      </c>
      <c r="D1177" s="2" t="s">
        <v>1608</v>
      </c>
      <c r="E1177" s="2">
        <v>55</v>
      </c>
      <c r="F1177" s="12">
        <v>69</v>
      </c>
      <c r="G1177" s="12">
        <v>69</v>
      </c>
      <c r="H1177" s="2" t="s">
        <v>37</v>
      </c>
      <c r="I1177" s="2" t="s">
        <v>33</v>
      </c>
      <c r="J1177" s="4" t="s">
        <v>148</v>
      </c>
      <c r="M1177" s="2">
        <f t="shared" si="91"/>
        <v>115</v>
      </c>
      <c r="N1177" s="2">
        <f t="shared" si="92"/>
        <v>59.2</v>
      </c>
      <c r="O1177" s="2">
        <f>IF(M1177="","",IF(M1177&gt;=1000,95,IF(M1177&lt;=12.5,50,LOOKUP(M1177,{12.5,15,20,30,45,60,75,105,115,150,200,225,250,600,1000},{50,55,60,62,65,68,70,72,75,80,82,85,87,90,95})+(M1177-LOOKUP(M1177,{12.5,15,20,30,45,60,75,105,115,150,200,225,250,600},{12.5,15,20,30,45,60,75,105,115,150,200,225,250,600}))/(LOOKUP(M1177,{12.5,15,20,30,45,60,75,105,115,150,200,225,250,600,1000},{15,20,30,45,60,75,105,115,150,200,225,250,600,1000,1000})-LOOKUP(M1177,{12.5,15,20,30,45,60,75,105,115,150,200,225,250,600},{12.5,15,20,30,45,60,75,105,115,150,200,225,250,600}))*(LOOKUP(M1177,{12.5,15,20,30,45,60,75,105,115,150,200,225,250,600,1000},{55,60,62,65,68,70,72,75,80,82,85,87,90,95,95})-LOOKUP(M1177,{12.5,15,20,30,45,60,75,105,115,150,200,225,250,600,1000},{50,55,60,62,65,68,70,72,75,80,82,85,87,90,95})))))</f>
        <v>75</v>
      </c>
      <c r="P1177" s="2">
        <f t="shared" si="93"/>
        <v>-20</v>
      </c>
      <c r="Q1177" s="2">
        <f t="shared" si="94"/>
        <v>-8.34</v>
      </c>
    </row>
    <row r="1178" customHeight="1" spans="1:17">
      <c r="A1178" s="2">
        <v>2026</v>
      </c>
      <c r="B1178" s="2">
        <v>1177</v>
      </c>
      <c r="C1178" s="3">
        <f t="shared" si="95"/>
        <v>50.7</v>
      </c>
      <c r="D1178" s="2" t="s">
        <v>1609</v>
      </c>
      <c r="E1178" s="2">
        <v>55</v>
      </c>
      <c r="F1178" s="12">
        <v>65</v>
      </c>
      <c r="G1178" s="2">
        <v>52</v>
      </c>
      <c r="H1178" s="2" t="s">
        <v>54</v>
      </c>
      <c r="I1178" s="2" t="s">
        <v>58</v>
      </c>
      <c r="J1178" s="4" t="s">
        <v>34</v>
      </c>
      <c r="M1178" s="2">
        <f t="shared" si="91"/>
        <v>60</v>
      </c>
      <c r="N1178" s="2">
        <f t="shared" si="92"/>
        <v>56.7</v>
      </c>
      <c r="O1178" s="2">
        <f>IF(M1178="","",IF(M1178&gt;=1000,95,IF(M1178&lt;=12.5,50,LOOKUP(M1178,{12.5,15,20,30,45,60,75,105,115,150,200,225,250,600,1000},{50,55,60,62,65,68,70,72,75,80,82,85,87,90,95})+(M1178-LOOKUP(M1178,{12.5,15,20,30,45,60,75,105,115,150,200,225,250,600},{12.5,15,20,30,45,60,75,105,115,150,200,225,250,600}))/(LOOKUP(M1178,{12.5,15,20,30,45,60,75,105,115,150,200,225,250,600,1000},{15,20,30,45,60,75,105,115,150,200,225,250,600,1000,1000})-LOOKUP(M1178,{12.5,15,20,30,45,60,75,105,115,150,200,225,250,600},{12.5,15,20,30,45,60,75,105,115,150,200,225,250,600}))*(LOOKUP(M1178,{12.5,15,20,30,45,60,75,105,115,150,200,225,250,600,1000},{55,60,62,65,68,70,72,75,80,82,85,87,90,95,95})-LOOKUP(M1178,{12.5,15,20,30,45,60,75,105,115,150,200,225,250,600,1000},{50,55,60,62,65,68,70,72,75,80,82,85,87,90,95})))))</f>
        <v>68</v>
      </c>
      <c r="P1178" s="2">
        <f t="shared" si="93"/>
        <v>-13</v>
      </c>
      <c r="Q1178" s="2">
        <f t="shared" si="94"/>
        <v>-6</v>
      </c>
    </row>
    <row r="1179" customHeight="1" spans="1:17">
      <c r="B1179" s="2">
        <v>1178</v>
      </c>
      <c r="C1179" s="3">
        <f t="shared" si="95"/>
        <v>50.7</v>
      </c>
      <c r="D1179" s="2" t="s">
        <v>1610</v>
      </c>
      <c r="E1179" s="2">
        <v>52</v>
      </c>
      <c r="F1179" s="12">
        <v>60</v>
      </c>
      <c r="G1179" s="2">
        <v>38</v>
      </c>
      <c r="H1179" s="2" t="s">
        <v>37</v>
      </c>
      <c r="I1179" s="2" t="s">
        <v>28</v>
      </c>
      <c r="J1179" s="4" t="s">
        <v>29</v>
      </c>
      <c r="M1179" s="2">
        <f t="shared" si="91"/>
        <v>15</v>
      </c>
      <c r="N1179" s="2">
        <f t="shared" si="92"/>
        <v>52.2</v>
      </c>
      <c r="O1179" s="2">
        <f>IF(M1179="","",IF(M1179&gt;=1000,95,IF(M1179&lt;=12.5,50,LOOKUP(M1179,{12.5,15,20,30,45,60,75,105,115,150,200,225,250,600,1000},{50,55,60,62,65,68,70,72,75,80,82,85,87,90,95})+(M1179-LOOKUP(M1179,{12.5,15,20,30,45,60,75,105,115,150,200,225,250,600},{12.5,15,20,30,45,60,75,105,115,150,200,225,250,600}))/(LOOKUP(M1179,{12.5,15,20,30,45,60,75,105,115,150,200,225,250,600,1000},{15,20,30,45,60,75,105,115,150,200,225,250,600,1000,1000})-LOOKUP(M1179,{12.5,15,20,30,45,60,75,105,115,150,200,225,250,600},{12.5,15,20,30,45,60,75,105,115,150,200,225,250,600}))*(LOOKUP(M1179,{12.5,15,20,30,45,60,75,105,115,150,200,225,250,600,1000},{55,60,62,65,68,70,72,75,80,82,85,87,90,95,95})-LOOKUP(M1179,{12.5,15,20,30,45,60,75,105,115,150,200,225,250,600,1000},{50,55,60,62,65,68,70,72,75,80,82,85,87,90,95})))))</f>
        <v>55</v>
      </c>
      <c r="P1179" s="2">
        <f t="shared" si="93"/>
        <v>-3</v>
      </c>
      <c r="Q1179" s="2">
        <f t="shared" si="94"/>
        <v>-1.5</v>
      </c>
    </row>
    <row r="1180" customHeight="1" spans="1:17">
      <c r="B1180" s="2">
        <v>1179</v>
      </c>
      <c r="C1180" s="3">
        <f t="shared" si="95"/>
        <v>50.67</v>
      </c>
      <c r="D1180" s="2" t="s">
        <v>1611</v>
      </c>
      <c r="E1180" s="2">
        <v>52</v>
      </c>
      <c r="F1180" s="9">
        <v>74</v>
      </c>
      <c r="G1180" s="10">
        <v>88</v>
      </c>
      <c r="H1180" s="2" t="s">
        <v>469</v>
      </c>
      <c r="I1180" s="2" t="s">
        <v>33</v>
      </c>
      <c r="J1180" s="4" t="s">
        <v>148</v>
      </c>
      <c r="M1180" s="2">
        <f t="shared" si="91"/>
        <v>115</v>
      </c>
      <c r="N1180" s="2">
        <f t="shared" si="92"/>
        <v>60</v>
      </c>
      <c r="O1180" s="2">
        <f>IF(M1180="","",IF(M1180&gt;=1000,95,IF(M1180&lt;=12.5,50,LOOKUP(M1180,{12.5,15,20,30,45,60,75,105,115,150,200,225,250,600,1000},{50,55,60,62,65,68,70,72,75,80,82,85,87,90,95})+(M1180-LOOKUP(M1180,{12.5,15,20,30,45,60,75,105,115,150,200,225,250,600},{12.5,15,20,30,45,60,75,105,115,150,200,225,250,600}))/(LOOKUP(M1180,{12.5,15,20,30,45,60,75,105,115,150,200,225,250,600,1000},{15,20,30,45,60,75,105,115,150,200,225,250,600,1000,1000})-LOOKUP(M1180,{12.5,15,20,30,45,60,75,105,115,150,200,225,250,600},{12.5,15,20,30,45,60,75,105,115,150,200,225,250,600}))*(LOOKUP(M1180,{12.5,15,20,30,45,60,75,105,115,150,200,225,250,600,1000},{55,60,62,65,68,70,72,75,80,82,85,87,90,95,95})-LOOKUP(M1180,{12.5,15,20,30,45,60,75,105,115,150,200,225,250,600,1000},{50,55,60,62,65,68,70,72,75,80,82,85,87,90,95})))))</f>
        <v>75</v>
      </c>
      <c r="P1180" s="2">
        <f t="shared" si="93"/>
        <v>-23</v>
      </c>
      <c r="Q1180" s="2">
        <f t="shared" si="94"/>
        <v>-9.33</v>
      </c>
    </row>
    <row r="1181" customHeight="1" spans="1:17">
      <c r="B1181" s="2">
        <v>1180</v>
      </c>
      <c r="C1181" s="3">
        <f t="shared" si="95"/>
        <v>50.6</v>
      </c>
      <c r="D1181" s="2" t="s">
        <v>1612</v>
      </c>
      <c r="E1181" s="2">
        <v>52</v>
      </c>
      <c r="F1181" s="10">
        <v>85</v>
      </c>
      <c r="G1181" s="10">
        <v>82</v>
      </c>
      <c r="H1181" s="2" t="s">
        <v>32</v>
      </c>
      <c r="I1181" s="2" t="s">
        <v>159</v>
      </c>
      <c r="J1181" s="4" t="s">
        <v>59</v>
      </c>
      <c r="M1181" s="2">
        <f t="shared" si="91"/>
        <v>150</v>
      </c>
      <c r="N1181" s="2">
        <f t="shared" si="92"/>
        <v>61.6</v>
      </c>
      <c r="O1181" s="2">
        <f>IF(M1181="","",IF(M1181&gt;=1000,95,IF(M1181&lt;=12.5,50,LOOKUP(M1181,{12.5,15,20,30,45,60,75,105,115,150,200,225,250,600,1000},{50,55,60,62,65,68,70,72,75,80,82,85,87,90,95})+(M1181-LOOKUP(M1181,{12.5,15,20,30,45,60,75,105,115,150,200,225,250,600},{12.5,15,20,30,45,60,75,105,115,150,200,225,250,600}))/(LOOKUP(M1181,{12.5,15,20,30,45,60,75,105,115,150,200,225,250,600,1000},{15,20,30,45,60,75,105,115,150,200,225,250,600,1000,1000})-LOOKUP(M1181,{12.5,15,20,30,45,60,75,105,115,150,200,225,250,600},{12.5,15,20,30,45,60,75,105,115,150,200,225,250,600}))*(LOOKUP(M1181,{12.5,15,20,30,45,60,75,105,115,150,200,225,250,600,1000},{55,60,62,65,68,70,72,75,80,82,85,87,90,95,95})-LOOKUP(M1181,{12.5,15,20,30,45,60,75,105,115,150,200,225,250,600,1000},{50,55,60,62,65,68,70,72,75,80,82,85,87,90,95})))))</f>
        <v>80</v>
      </c>
      <c r="P1181" s="2">
        <f t="shared" si="93"/>
        <v>-28</v>
      </c>
      <c r="Q1181" s="2">
        <f t="shared" si="94"/>
        <v>-11</v>
      </c>
    </row>
    <row r="1182" customHeight="1" spans="1:17">
      <c r="A1182" s="2">
        <v>2026</v>
      </c>
      <c r="B1182" s="2">
        <v>1181</v>
      </c>
      <c r="C1182" s="3">
        <f t="shared" si="95"/>
        <v>50.6</v>
      </c>
      <c r="D1182" s="2" t="s">
        <v>1613</v>
      </c>
      <c r="E1182" s="2">
        <v>54</v>
      </c>
      <c r="F1182" s="12">
        <v>64</v>
      </c>
      <c r="G1182" s="2">
        <v>40</v>
      </c>
      <c r="H1182" s="2" t="s">
        <v>54</v>
      </c>
      <c r="I1182" s="2" t="s">
        <v>28</v>
      </c>
      <c r="J1182" s="4" t="s">
        <v>88</v>
      </c>
      <c r="M1182" s="2">
        <f t="shared" si="91"/>
        <v>30</v>
      </c>
      <c r="N1182" s="2">
        <f t="shared" si="92"/>
        <v>54.6</v>
      </c>
      <c r="O1182" s="2">
        <f>IF(M1182="","",IF(M1182&gt;=1000,95,IF(M1182&lt;=12.5,50,LOOKUP(M1182,{12.5,15,20,30,45,60,75,105,115,150,200,225,250,600,1000},{50,55,60,62,65,68,70,72,75,80,82,85,87,90,95})+(M1182-LOOKUP(M1182,{12.5,15,20,30,45,60,75,105,115,150,200,225,250,600},{12.5,15,20,30,45,60,75,105,115,150,200,225,250,600}))/(LOOKUP(M1182,{12.5,15,20,30,45,60,75,105,115,150,200,225,250,600,1000},{15,20,30,45,60,75,105,115,150,200,225,250,600,1000,1000})-LOOKUP(M1182,{12.5,15,20,30,45,60,75,105,115,150,200,225,250,600},{12.5,15,20,30,45,60,75,105,115,150,200,225,250,600}))*(LOOKUP(M1182,{12.5,15,20,30,45,60,75,105,115,150,200,225,250,600,1000},{55,60,62,65,68,70,72,75,80,82,85,87,90,95,95})-LOOKUP(M1182,{12.5,15,20,30,45,60,75,105,115,150,200,225,250,600,1000},{50,55,60,62,65,68,70,72,75,80,82,85,87,90,95})))))</f>
        <v>62</v>
      </c>
      <c r="P1182" s="2">
        <f t="shared" si="93"/>
        <v>-8</v>
      </c>
      <c r="Q1182" s="2">
        <f t="shared" si="94"/>
        <v>-4</v>
      </c>
    </row>
    <row r="1183" customHeight="1" spans="1:17">
      <c r="B1183" s="2">
        <v>1182</v>
      </c>
      <c r="C1183" s="3">
        <f t="shared" si="95"/>
        <v>50.6</v>
      </c>
      <c r="D1183" s="2" t="s">
        <v>1614</v>
      </c>
      <c r="E1183" s="2">
        <v>52</v>
      </c>
      <c r="F1183" s="2">
        <v>55</v>
      </c>
      <c r="G1183" s="2">
        <v>47</v>
      </c>
      <c r="H1183" s="2" t="s">
        <v>37</v>
      </c>
      <c r="I1183" s="2" t="s">
        <v>28</v>
      </c>
      <c r="J1183" s="4" t="s">
        <v>29</v>
      </c>
      <c r="M1183" s="2">
        <f t="shared" si="91"/>
        <v>15</v>
      </c>
      <c r="N1183" s="2">
        <f t="shared" si="92"/>
        <v>52.1</v>
      </c>
      <c r="O1183" s="2">
        <f>IF(M1183="","",IF(M1183&gt;=1000,95,IF(M1183&lt;=12.5,50,LOOKUP(M1183,{12.5,15,20,30,45,60,75,105,115,150,200,225,250,600,1000},{50,55,60,62,65,68,70,72,75,80,82,85,87,90,95})+(M1183-LOOKUP(M1183,{12.5,15,20,30,45,60,75,105,115,150,200,225,250,600},{12.5,15,20,30,45,60,75,105,115,150,200,225,250,600}))/(LOOKUP(M1183,{12.5,15,20,30,45,60,75,105,115,150,200,225,250,600,1000},{15,20,30,45,60,75,105,115,150,200,225,250,600,1000,1000})-LOOKUP(M1183,{12.5,15,20,30,45,60,75,105,115,150,200,225,250,600},{12.5,15,20,30,45,60,75,105,115,150,200,225,250,600}))*(LOOKUP(M1183,{12.5,15,20,30,45,60,75,105,115,150,200,225,250,600,1000},{55,60,62,65,68,70,72,75,80,82,85,87,90,95,95})-LOOKUP(M1183,{12.5,15,20,30,45,60,75,105,115,150,200,225,250,600,1000},{50,55,60,62,65,68,70,72,75,80,82,85,87,90,95})))))</f>
        <v>55</v>
      </c>
      <c r="P1183" s="2">
        <f t="shared" si="93"/>
        <v>-3</v>
      </c>
      <c r="Q1183" s="2">
        <f t="shared" si="94"/>
        <v>-1.5</v>
      </c>
    </row>
    <row r="1184" customHeight="1" spans="1:17">
      <c r="B1184" s="2">
        <v>1183</v>
      </c>
      <c r="C1184" s="3">
        <f t="shared" si="95"/>
        <v>50.6</v>
      </c>
      <c r="D1184" s="2" t="s">
        <v>1615</v>
      </c>
      <c r="E1184" s="2">
        <v>57</v>
      </c>
      <c r="F1184" s="2">
        <v>55</v>
      </c>
      <c r="G1184" s="2">
        <v>37</v>
      </c>
      <c r="H1184" s="2" t="s">
        <v>175</v>
      </c>
      <c r="I1184" s="2" t="s">
        <v>63</v>
      </c>
      <c r="J1184" s="4" t="s">
        <v>38</v>
      </c>
      <c r="M1184" s="2">
        <f t="shared" si="91"/>
        <v>45</v>
      </c>
      <c r="N1184" s="2">
        <f t="shared" si="92"/>
        <v>54.6</v>
      </c>
      <c r="O1184" s="2">
        <f>IF(M1184="","",IF(M1184&gt;=1000,95,IF(M1184&lt;=12.5,50,LOOKUP(M1184,{12.5,15,20,30,45,60,75,105,115,150,200,225,250,600,1000},{50,55,60,62,65,68,70,72,75,80,82,85,87,90,95})+(M1184-LOOKUP(M1184,{12.5,15,20,30,45,60,75,105,115,150,200,225,250,600},{12.5,15,20,30,45,60,75,105,115,150,200,225,250,600}))/(LOOKUP(M1184,{12.5,15,20,30,45,60,75,105,115,150,200,225,250,600,1000},{15,20,30,45,60,75,105,115,150,200,225,250,600,1000,1000})-LOOKUP(M1184,{12.5,15,20,30,45,60,75,105,115,150,200,225,250,600},{12.5,15,20,30,45,60,75,105,115,150,200,225,250,600}))*(LOOKUP(M1184,{12.5,15,20,30,45,60,75,105,115,150,200,225,250,600,1000},{55,60,62,65,68,70,72,75,80,82,85,87,90,95,95})-LOOKUP(M1184,{12.5,15,20,30,45,60,75,105,115,150,200,225,250,600,1000},{50,55,60,62,65,68,70,72,75,80,82,85,87,90,95})))))</f>
        <v>65</v>
      </c>
      <c r="P1184" s="2">
        <f t="shared" si="93"/>
        <v>-8</v>
      </c>
      <c r="Q1184" s="2">
        <f t="shared" si="94"/>
        <v>-4</v>
      </c>
    </row>
    <row r="1185" customHeight="1" spans="1:17">
      <c r="B1185" s="2">
        <v>1184</v>
      </c>
      <c r="C1185" s="3">
        <f t="shared" si="95"/>
        <v>50.53</v>
      </c>
      <c r="D1185" s="2" t="s">
        <v>1616</v>
      </c>
      <c r="E1185" s="2">
        <v>58</v>
      </c>
      <c r="F1185" s="2">
        <v>53</v>
      </c>
      <c r="G1185" s="2">
        <v>50</v>
      </c>
      <c r="H1185" s="2" t="s">
        <v>444</v>
      </c>
      <c r="I1185" s="2" t="s">
        <v>63</v>
      </c>
      <c r="J1185" s="4" t="s">
        <v>24</v>
      </c>
      <c r="M1185" s="2">
        <f t="shared" si="91"/>
        <v>75</v>
      </c>
      <c r="N1185" s="2">
        <f t="shared" si="92"/>
        <v>56.2</v>
      </c>
      <c r="O1185" s="2">
        <f>IF(M1185="","",IF(M1185&gt;=1000,95,IF(M1185&lt;=12.5,50,LOOKUP(M1185,{12.5,15,20,30,45,60,75,105,115,150,200,225,250,600,1000},{50,55,60,62,65,68,70,72,75,80,82,85,87,90,95})+(M1185-LOOKUP(M1185,{12.5,15,20,30,45,60,75,105,115,150,200,225,250,600},{12.5,15,20,30,45,60,75,105,115,150,200,225,250,600}))/(LOOKUP(M1185,{12.5,15,20,30,45,60,75,105,115,150,200,225,250,600,1000},{15,20,30,45,60,75,105,115,150,200,225,250,600,1000,1000})-LOOKUP(M1185,{12.5,15,20,30,45,60,75,105,115,150,200,225,250,600},{12.5,15,20,30,45,60,75,105,115,150,200,225,250,600}))*(LOOKUP(M1185,{12.5,15,20,30,45,60,75,105,115,150,200,225,250,600,1000},{55,60,62,65,68,70,72,75,80,82,85,87,90,95,95})-LOOKUP(M1185,{12.5,15,20,30,45,60,75,105,115,150,200,225,250,600,1000},{50,55,60,62,65,68,70,72,75,80,82,85,87,90,95})))))</f>
        <v>70</v>
      </c>
      <c r="P1185" s="2">
        <f t="shared" si="93"/>
        <v>-12</v>
      </c>
      <c r="Q1185" s="2">
        <f t="shared" si="94"/>
        <v>-5.67</v>
      </c>
    </row>
    <row r="1186" customHeight="1" spans="1:17">
      <c r="A1186" s="2">
        <v>2026</v>
      </c>
      <c r="B1186" s="2">
        <v>1185</v>
      </c>
      <c r="C1186" s="3">
        <f t="shared" si="95"/>
        <v>50.5</v>
      </c>
      <c r="D1186" s="2" t="s">
        <v>1617</v>
      </c>
      <c r="E1186" s="2">
        <v>53</v>
      </c>
      <c r="F1186" s="2">
        <v>59</v>
      </c>
      <c r="G1186" s="2">
        <v>51</v>
      </c>
      <c r="H1186" s="2" t="s">
        <v>54</v>
      </c>
      <c r="I1186" s="2" t="s">
        <v>28</v>
      </c>
      <c r="J1186" s="4" t="s">
        <v>140</v>
      </c>
      <c r="M1186" s="2">
        <f t="shared" si="91"/>
        <v>20</v>
      </c>
      <c r="N1186" s="2">
        <f t="shared" si="92"/>
        <v>54</v>
      </c>
      <c r="O1186" s="2">
        <f>IF(M1186="","",IF(M1186&gt;=1000,95,IF(M1186&lt;=12.5,50,LOOKUP(M1186,{12.5,15,20,30,45,60,75,105,115,150,200,225,250,600,1000},{50,55,60,62,65,68,70,72,75,80,82,85,87,90,95})+(M1186-LOOKUP(M1186,{12.5,15,20,30,45,60,75,105,115,150,200,225,250,600},{12.5,15,20,30,45,60,75,105,115,150,200,225,250,600}))/(LOOKUP(M1186,{12.5,15,20,30,45,60,75,105,115,150,200,225,250,600,1000},{15,20,30,45,60,75,105,115,150,200,225,250,600,1000,1000})-LOOKUP(M1186,{12.5,15,20,30,45,60,75,105,115,150,200,225,250,600},{12.5,15,20,30,45,60,75,105,115,150,200,225,250,600}))*(LOOKUP(M1186,{12.5,15,20,30,45,60,75,105,115,150,200,225,250,600,1000},{55,60,62,65,68,70,72,75,80,82,85,87,90,95,95})-LOOKUP(M1186,{12.5,15,20,30,45,60,75,105,115,150,200,225,250,600,1000},{50,55,60,62,65,68,70,72,75,80,82,85,87,90,95})))))</f>
        <v>60</v>
      </c>
      <c r="P1186" s="2">
        <f t="shared" si="93"/>
        <v>-7</v>
      </c>
      <c r="Q1186" s="2">
        <f t="shared" si="94"/>
        <v>-3.5</v>
      </c>
    </row>
    <row r="1187" customHeight="1" spans="1:17">
      <c r="B1187" s="2">
        <v>1186</v>
      </c>
      <c r="C1187" s="3">
        <f t="shared" si="95"/>
        <v>50.5</v>
      </c>
      <c r="D1187" s="2" t="s">
        <v>1618</v>
      </c>
      <c r="E1187" s="2">
        <v>55</v>
      </c>
      <c r="F1187" s="2">
        <v>55</v>
      </c>
      <c r="G1187" s="12">
        <v>60</v>
      </c>
      <c r="H1187" s="2" t="s">
        <v>113</v>
      </c>
      <c r="I1187" s="2" t="s">
        <v>33</v>
      </c>
      <c r="J1187" s="4" t="s">
        <v>38</v>
      </c>
      <c r="M1187" s="2">
        <f t="shared" si="91"/>
        <v>45</v>
      </c>
      <c r="N1187" s="2">
        <f t="shared" si="92"/>
        <v>55.5</v>
      </c>
      <c r="O1187" s="2">
        <f>IF(M1187="","",IF(M1187&gt;=1000,95,IF(M1187&lt;=12.5,50,LOOKUP(M1187,{12.5,15,20,30,45,60,75,105,115,150,200,225,250,600,1000},{50,55,60,62,65,68,70,72,75,80,82,85,87,90,95})+(M1187-LOOKUP(M1187,{12.5,15,20,30,45,60,75,105,115,150,200,225,250,600},{12.5,15,20,30,45,60,75,105,115,150,200,225,250,600}))/(LOOKUP(M1187,{12.5,15,20,30,45,60,75,105,115,150,200,225,250,600,1000},{15,20,30,45,60,75,105,115,150,200,225,250,600,1000,1000})-LOOKUP(M1187,{12.5,15,20,30,45,60,75,105,115,150,200,225,250,600},{12.5,15,20,30,45,60,75,105,115,150,200,225,250,600}))*(LOOKUP(M1187,{12.5,15,20,30,45,60,75,105,115,150,200,225,250,600,1000},{55,60,62,65,68,70,72,75,80,82,85,87,90,95,95})-LOOKUP(M1187,{12.5,15,20,30,45,60,75,105,115,150,200,225,250,600,1000},{50,55,60,62,65,68,70,72,75,80,82,85,87,90,95})))))</f>
        <v>65</v>
      </c>
      <c r="P1187" s="2">
        <f t="shared" si="93"/>
        <v>-10</v>
      </c>
      <c r="Q1187" s="2">
        <f t="shared" si="94"/>
        <v>-5</v>
      </c>
    </row>
    <row r="1188" customHeight="1" spans="1:17">
      <c r="B1188" s="2">
        <v>1187</v>
      </c>
      <c r="C1188" s="3">
        <f t="shared" si="95"/>
        <v>50.5</v>
      </c>
      <c r="D1188" s="2" t="s">
        <v>1619</v>
      </c>
      <c r="E1188" s="12">
        <v>61</v>
      </c>
      <c r="F1188" s="2">
        <v>59</v>
      </c>
      <c r="G1188" s="2">
        <v>40</v>
      </c>
      <c r="H1188" s="2" t="s">
        <v>997</v>
      </c>
      <c r="I1188" s="2" t="s">
        <v>33</v>
      </c>
      <c r="J1188" s="4" t="s">
        <v>59</v>
      </c>
      <c r="M1188" s="2">
        <f t="shared" si="91"/>
        <v>150</v>
      </c>
      <c r="N1188" s="2">
        <f t="shared" si="92"/>
        <v>58.5</v>
      </c>
      <c r="O1188" s="2">
        <f>IF(M1188="","",IF(M1188&gt;=1000,95,IF(M1188&lt;=12.5,50,LOOKUP(M1188,{12.5,15,20,30,45,60,75,105,115,150,200,225,250,600,1000},{50,55,60,62,65,68,70,72,75,80,82,85,87,90,95})+(M1188-LOOKUP(M1188,{12.5,15,20,30,45,60,75,105,115,150,200,225,250,600},{12.5,15,20,30,45,60,75,105,115,150,200,225,250,600}))/(LOOKUP(M1188,{12.5,15,20,30,45,60,75,105,115,150,200,225,250,600,1000},{15,20,30,45,60,75,105,115,150,200,225,250,600,1000,1000})-LOOKUP(M1188,{12.5,15,20,30,45,60,75,105,115,150,200,225,250,600},{12.5,15,20,30,45,60,75,105,115,150,200,225,250,600}))*(LOOKUP(M1188,{12.5,15,20,30,45,60,75,105,115,150,200,225,250,600,1000},{55,60,62,65,68,70,72,75,80,82,85,87,90,95,95})-LOOKUP(M1188,{12.5,15,20,30,45,60,75,105,115,150,200,225,250,600,1000},{50,55,60,62,65,68,70,72,75,80,82,85,87,90,95})))))</f>
        <v>80</v>
      </c>
      <c r="P1188" s="2">
        <f t="shared" si="93"/>
        <v>-19</v>
      </c>
      <c r="Q1188" s="2">
        <f t="shared" si="94"/>
        <v>-8</v>
      </c>
    </row>
    <row r="1189" customHeight="1" spans="1:17">
      <c r="B1189" s="2">
        <v>1188</v>
      </c>
      <c r="C1189" s="3">
        <f t="shared" si="95"/>
        <v>50.5</v>
      </c>
      <c r="D1189" s="2" t="s">
        <v>1620</v>
      </c>
      <c r="E1189" s="2">
        <v>55</v>
      </c>
      <c r="F1189" s="2">
        <v>50</v>
      </c>
      <c r="G1189" s="2">
        <v>45</v>
      </c>
      <c r="H1189" s="2" t="s">
        <v>17</v>
      </c>
      <c r="I1189" s="2" t="s">
        <v>503</v>
      </c>
      <c r="J1189" s="4" t="s">
        <v>140</v>
      </c>
      <c r="M1189" s="2">
        <f t="shared" si="91"/>
        <v>20</v>
      </c>
      <c r="N1189" s="2">
        <f t="shared" si="92"/>
        <v>53</v>
      </c>
      <c r="O1189" s="2">
        <f>IF(M1189="","",IF(M1189&gt;=1000,95,IF(M1189&lt;=12.5,50,LOOKUP(M1189,{12.5,15,20,30,45,60,75,105,115,150,200,225,250,600,1000},{50,55,60,62,65,68,70,72,75,80,82,85,87,90,95})+(M1189-LOOKUP(M1189,{12.5,15,20,30,45,60,75,105,115,150,200,225,250,600},{12.5,15,20,30,45,60,75,105,115,150,200,225,250,600}))/(LOOKUP(M1189,{12.5,15,20,30,45,60,75,105,115,150,200,225,250,600,1000},{15,20,30,45,60,75,105,115,150,200,225,250,600,1000,1000})-LOOKUP(M1189,{12.5,15,20,30,45,60,75,105,115,150,200,225,250,600},{12.5,15,20,30,45,60,75,105,115,150,200,225,250,600}))*(LOOKUP(M1189,{12.5,15,20,30,45,60,75,105,115,150,200,225,250,600,1000},{55,60,62,65,68,70,72,75,80,82,85,87,90,95,95})-LOOKUP(M1189,{12.5,15,20,30,45,60,75,105,115,150,200,225,250,600,1000},{50,55,60,62,65,68,70,72,75,80,82,85,87,90,95})))))</f>
        <v>60</v>
      </c>
      <c r="P1189" s="2">
        <f t="shared" si="93"/>
        <v>-5</v>
      </c>
      <c r="Q1189" s="2">
        <f t="shared" si="94"/>
        <v>-2.5</v>
      </c>
    </row>
    <row r="1190" customHeight="1" spans="1:17">
      <c r="B1190" s="2">
        <v>1189</v>
      </c>
      <c r="C1190" s="3">
        <f t="shared" si="95"/>
        <v>50.5</v>
      </c>
      <c r="D1190" s="2" t="s">
        <v>1621</v>
      </c>
      <c r="E1190" s="2">
        <v>54</v>
      </c>
      <c r="F1190" s="2">
        <v>50</v>
      </c>
      <c r="G1190" s="2">
        <v>32</v>
      </c>
      <c r="H1190" s="2" t="s">
        <v>37</v>
      </c>
      <c r="I1190" s="2" t="s">
        <v>503</v>
      </c>
      <c r="J1190" s="4" t="s">
        <v>29</v>
      </c>
      <c r="M1190" s="2">
        <f t="shared" si="91"/>
        <v>15</v>
      </c>
      <c r="N1190" s="2">
        <f t="shared" si="92"/>
        <v>51</v>
      </c>
      <c r="O1190" s="2">
        <f>IF(M1190="","",IF(M1190&gt;=1000,95,IF(M1190&lt;=12.5,50,LOOKUP(M1190,{12.5,15,20,30,45,60,75,105,115,150,200,225,250,600,1000},{50,55,60,62,65,68,70,72,75,80,82,85,87,90,95})+(M1190-LOOKUP(M1190,{12.5,15,20,30,45,60,75,105,115,150,200,225,250,600},{12.5,15,20,30,45,60,75,105,115,150,200,225,250,600}))/(LOOKUP(M1190,{12.5,15,20,30,45,60,75,105,115,150,200,225,250,600,1000},{15,20,30,45,60,75,105,115,150,200,225,250,600,1000,1000})-LOOKUP(M1190,{12.5,15,20,30,45,60,75,105,115,150,200,225,250,600},{12.5,15,20,30,45,60,75,105,115,150,200,225,250,600}))*(LOOKUP(M1190,{12.5,15,20,30,45,60,75,105,115,150,200,225,250,600,1000},{55,60,62,65,68,70,72,75,80,82,85,87,90,95,95})-LOOKUP(M1190,{12.5,15,20,30,45,60,75,105,115,150,200,225,250,600,1000},{50,55,60,62,65,68,70,72,75,80,82,85,87,90,95})))))</f>
        <v>55</v>
      </c>
      <c r="P1190" s="2">
        <f t="shared" si="93"/>
        <v>-1</v>
      </c>
      <c r="Q1190" s="2">
        <f t="shared" si="94"/>
        <v>-0.5</v>
      </c>
    </row>
    <row r="1191" customHeight="1" spans="1:17">
      <c r="B1191" s="2">
        <v>1190</v>
      </c>
      <c r="C1191" s="3">
        <f t="shared" si="95"/>
        <v>50.46</v>
      </c>
      <c r="D1191" s="2" t="s">
        <v>1622</v>
      </c>
      <c r="E1191" s="12">
        <v>60</v>
      </c>
      <c r="F1191" s="2">
        <v>50</v>
      </c>
      <c r="G1191" s="12">
        <v>68</v>
      </c>
      <c r="H1191" s="2" t="s">
        <v>444</v>
      </c>
      <c r="I1191" s="2" t="s">
        <v>577</v>
      </c>
      <c r="J1191" s="4" t="s">
        <v>59</v>
      </c>
      <c r="M1191" s="2">
        <f t="shared" si="91"/>
        <v>150</v>
      </c>
      <c r="N1191" s="2">
        <f t="shared" si="92"/>
        <v>58.8</v>
      </c>
      <c r="O1191" s="2">
        <f>IF(M1191="","",IF(M1191&gt;=1000,95,IF(M1191&lt;=12.5,50,LOOKUP(M1191,{12.5,15,20,30,45,60,75,105,115,150,200,225,250,600,1000},{50,55,60,62,65,68,70,72,75,80,82,85,87,90,95})+(M1191-LOOKUP(M1191,{12.5,15,20,30,45,60,75,105,115,150,200,225,250,600},{12.5,15,20,30,45,60,75,105,115,150,200,225,250,600}))/(LOOKUP(M1191,{12.5,15,20,30,45,60,75,105,115,150,200,225,250,600,1000},{15,20,30,45,60,75,105,115,150,200,225,250,600,1000,1000})-LOOKUP(M1191,{12.5,15,20,30,45,60,75,105,115,150,200,225,250,600},{12.5,15,20,30,45,60,75,105,115,150,200,225,250,600}))*(LOOKUP(M1191,{12.5,15,20,30,45,60,75,105,115,150,200,225,250,600,1000},{55,60,62,65,68,70,72,75,80,82,85,87,90,95,95})-LOOKUP(M1191,{12.5,15,20,30,45,60,75,105,115,150,200,225,250,600,1000},{50,55,60,62,65,68,70,72,75,80,82,85,87,90,95})))))</f>
        <v>80</v>
      </c>
      <c r="P1191" s="2">
        <f t="shared" si="93"/>
        <v>-20</v>
      </c>
      <c r="Q1191" s="2">
        <f t="shared" si="94"/>
        <v>-8.34</v>
      </c>
    </row>
    <row r="1192" customHeight="1" spans="1:17">
      <c r="A1192" s="2">
        <v>2026</v>
      </c>
      <c r="B1192" s="2">
        <v>1191</v>
      </c>
      <c r="C1192" s="3">
        <f t="shared" si="95"/>
        <v>50.4</v>
      </c>
      <c r="D1192" s="2" t="s">
        <v>1623</v>
      </c>
      <c r="E1192" s="2">
        <v>52</v>
      </c>
      <c r="F1192" s="2">
        <v>55</v>
      </c>
      <c r="G1192" s="2">
        <v>45</v>
      </c>
      <c r="H1192" s="2" t="s">
        <v>41</v>
      </c>
      <c r="I1192" s="2" t="s">
        <v>33</v>
      </c>
      <c r="J1192" s="4" t="s">
        <v>29</v>
      </c>
      <c r="M1192" s="2">
        <f t="shared" si="91"/>
        <v>15</v>
      </c>
      <c r="N1192" s="2">
        <f t="shared" si="92"/>
        <v>51.9</v>
      </c>
      <c r="O1192" s="2">
        <f>IF(M1192="","",IF(M1192&gt;=1000,95,IF(M1192&lt;=12.5,50,LOOKUP(M1192,{12.5,15,20,30,45,60,75,105,115,150,200,225,250,600,1000},{50,55,60,62,65,68,70,72,75,80,82,85,87,90,95})+(M1192-LOOKUP(M1192,{12.5,15,20,30,45,60,75,105,115,150,200,225,250,600},{12.5,15,20,30,45,60,75,105,115,150,200,225,250,600}))/(LOOKUP(M1192,{12.5,15,20,30,45,60,75,105,115,150,200,225,250,600,1000},{15,20,30,45,60,75,105,115,150,200,225,250,600,1000,1000})-LOOKUP(M1192,{12.5,15,20,30,45,60,75,105,115,150,200,225,250,600},{12.5,15,20,30,45,60,75,105,115,150,200,225,250,600}))*(LOOKUP(M1192,{12.5,15,20,30,45,60,75,105,115,150,200,225,250,600,1000},{55,60,62,65,68,70,72,75,80,82,85,87,90,95,95})-LOOKUP(M1192,{12.5,15,20,30,45,60,75,105,115,150,200,225,250,600,1000},{50,55,60,62,65,68,70,72,75,80,82,85,87,90,95})))))</f>
        <v>55</v>
      </c>
      <c r="P1192" s="2">
        <f t="shared" si="93"/>
        <v>-3</v>
      </c>
      <c r="Q1192" s="2">
        <f t="shared" si="94"/>
        <v>-1.5</v>
      </c>
    </row>
    <row r="1193" customHeight="1" spans="1:17">
      <c r="B1193" s="2">
        <v>1192</v>
      </c>
      <c r="C1193" s="3">
        <f t="shared" si="95"/>
        <v>50.4</v>
      </c>
      <c r="D1193" s="2" t="s">
        <v>1624</v>
      </c>
      <c r="E1193" s="2">
        <v>58</v>
      </c>
      <c r="F1193" s="2">
        <v>50</v>
      </c>
      <c r="G1193" s="2">
        <v>48</v>
      </c>
      <c r="H1193" s="2" t="s">
        <v>66</v>
      </c>
      <c r="I1193" s="2" t="s">
        <v>33</v>
      </c>
      <c r="J1193" s="4" t="s">
        <v>34</v>
      </c>
      <c r="M1193" s="2">
        <f t="shared" si="91"/>
        <v>60</v>
      </c>
      <c r="N1193" s="2">
        <f t="shared" si="92"/>
        <v>55.4</v>
      </c>
      <c r="O1193" s="2">
        <f>IF(M1193="","",IF(M1193&gt;=1000,95,IF(M1193&lt;=12.5,50,LOOKUP(M1193,{12.5,15,20,30,45,60,75,105,115,150,200,225,250,600,1000},{50,55,60,62,65,68,70,72,75,80,82,85,87,90,95})+(M1193-LOOKUP(M1193,{12.5,15,20,30,45,60,75,105,115,150,200,225,250,600},{12.5,15,20,30,45,60,75,105,115,150,200,225,250,600}))/(LOOKUP(M1193,{12.5,15,20,30,45,60,75,105,115,150,200,225,250,600,1000},{15,20,30,45,60,75,105,115,150,200,225,250,600,1000,1000})-LOOKUP(M1193,{12.5,15,20,30,45,60,75,105,115,150,200,225,250,600},{12.5,15,20,30,45,60,75,105,115,150,200,225,250,600}))*(LOOKUP(M1193,{12.5,15,20,30,45,60,75,105,115,150,200,225,250,600,1000},{55,60,62,65,68,70,72,75,80,82,85,87,90,95,95})-LOOKUP(M1193,{12.5,15,20,30,45,60,75,105,115,150,200,225,250,600,1000},{50,55,60,62,65,68,70,72,75,80,82,85,87,90,95})))))</f>
        <v>68</v>
      </c>
      <c r="P1193" s="2">
        <f t="shared" si="93"/>
        <v>-10</v>
      </c>
      <c r="Q1193" s="2">
        <f t="shared" si="94"/>
        <v>-5</v>
      </c>
    </row>
    <row r="1194" customHeight="1" spans="1:17">
      <c r="B1194" s="2">
        <v>1193</v>
      </c>
      <c r="C1194" s="3">
        <f t="shared" si="95"/>
        <v>50.33</v>
      </c>
      <c r="D1194" s="2" t="s">
        <v>1625</v>
      </c>
      <c r="E1194" s="12">
        <v>61</v>
      </c>
      <c r="F1194" s="2">
        <v>57</v>
      </c>
      <c r="G1194" s="2">
        <v>49</v>
      </c>
      <c r="H1194" s="2" t="s">
        <v>524</v>
      </c>
      <c r="I1194" s="2" t="s">
        <v>803</v>
      </c>
      <c r="J1194" s="4" t="s">
        <v>51</v>
      </c>
      <c r="M1194" s="2">
        <f t="shared" si="91"/>
        <v>200</v>
      </c>
      <c r="N1194" s="2">
        <f t="shared" si="92"/>
        <v>59</v>
      </c>
      <c r="O1194" s="2">
        <f>IF(M1194="","",IF(M1194&gt;=1000,95,IF(M1194&lt;=12.5,50,LOOKUP(M1194,{12.5,15,20,30,45,60,75,105,115,150,200,225,250,600,1000},{50,55,60,62,65,68,70,72,75,80,82,85,87,90,95})+(M1194-LOOKUP(M1194,{12.5,15,20,30,45,60,75,105,115,150,200,225,250,600},{12.5,15,20,30,45,60,75,105,115,150,200,225,250,600}))/(LOOKUP(M1194,{12.5,15,20,30,45,60,75,105,115,150,200,225,250,600,1000},{15,20,30,45,60,75,105,115,150,200,225,250,600,1000,1000})-LOOKUP(M1194,{12.5,15,20,30,45,60,75,105,115,150,200,225,250,600},{12.5,15,20,30,45,60,75,105,115,150,200,225,250,600}))*(LOOKUP(M1194,{12.5,15,20,30,45,60,75,105,115,150,200,225,250,600,1000},{55,60,62,65,68,70,72,75,80,82,85,87,90,95,95})-LOOKUP(M1194,{12.5,15,20,30,45,60,75,105,115,150,200,225,250,600,1000},{50,55,60,62,65,68,70,72,75,80,82,85,87,90,95})))))</f>
        <v>82</v>
      </c>
      <c r="P1194" s="2">
        <f t="shared" si="93"/>
        <v>-21</v>
      </c>
      <c r="Q1194" s="2">
        <f t="shared" si="94"/>
        <v>-8.67</v>
      </c>
    </row>
    <row r="1195" customHeight="1" spans="1:17">
      <c r="A1195" s="2">
        <v>2026</v>
      </c>
      <c r="B1195" s="2">
        <v>1194</v>
      </c>
      <c r="C1195" s="3">
        <f t="shared" si="95"/>
        <v>50.3</v>
      </c>
      <c r="D1195" s="2" t="s">
        <v>1626</v>
      </c>
      <c r="E1195" s="2">
        <v>52</v>
      </c>
      <c r="F1195" s="12">
        <v>64</v>
      </c>
      <c r="G1195" s="2">
        <v>51</v>
      </c>
      <c r="H1195" s="2" t="s">
        <v>37</v>
      </c>
      <c r="I1195" s="2" t="s">
        <v>28</v>
      </c>
      <c r="J1195" s="4" t="s">
        <v>140</v>
      </c>
      <c r="M1195" s="2">
        <f t="shared" si="91"/>
        <v>20</v>
      </c>
      <c r="N1195" s="2">
        <f t="shared" si="92"/>
        <v>54.3</v>
      </c>
      <c r="O1195" s="2">
        <f>IF(M1195="","",IF(M1195&gt;=1000,95,IF(M1195&lt;=12.5,50,LOOKUP(M1195,{12.5,15,20,30,45,60,75,105,115,150,200,225,250,600,1000},{50,55,60,62,65,68,70,72,75,80,82,85,87,90,95})+(M1195-LOOKUP(M1195,{12.5,15,20,30,45,60,75,105,115,150,200,225,250,600},{12.5,15,20,30,45,60,75,105,115,150,200,225,250,600}))/(LOOKUP(M1195,{12.5,15,20,30,45,60,75,105,115,150,200,225,250,600,1000},{15,20,30,45,60,75,105,115,150,200,225,250,600,1000,1000})-LOOKUP(M1195,{12.5,15,20,30,45,60,75,105,115,150,200,225,250,600},{12.5,15,20,30,45,60,75,105,115,150,200,225,250,600}))*(LOOKUP(M1195,{12.5,15,20,30,45,60,75,105,115,150,200,225,250,600,1000},{55,60,62,65,68,70,72,75,80,82,85,87,90,95,95})-LOOKUP(M1195,{12.5,15,20,30,45,60,75,105,115,150,200,225,250,600,1000},{50,55,60,62,65,68,70,72,75,80,82,85,87,90,95})))))</f>
        <v>60</v>
      </c>
      <c r="P1195" s="2">
        <f t="shared" si="93"/>
        <v>-8</v>
      </c>
      <c r="Q1195" s="2">
        <f t="shared" si="94"/>
        <v>-4</v>
      </c>
    </row>
    <row r="1196" customHeight="1" spans="1:17">
      <c r="A1196" s="2">
        <v>2026</v>
      </c>
      <c r="B1196" s="2">
        <v>1195</v>
      </c>
      <c r="C1196" s="3">
        <f t="shared" si="95"/>
        <v>50.3</v>
      </c>
      <c r="D1196" s="2" t="s">
        <v>1627</v>
      </c>
      <c r="E1196" s="2">
        <v>52</v>
      </c>
      <c r="F1196" s="12">
        <v>68</v>
      </c>
      <c r="G1196" s="2">
        <v>43</v>
      </c>
      <c r="H1196" s="2" t="s">
        <v>54</v>
      </c>
      <c r="I1196" s="2" t="s">
        <v>28</v>
      </c>
      <c r="J1196" s="4" t="s">
        <v>140</v>
      </c>
      <c r="M1196" s="2">
        <f t="shared" si="91"/>
        <v>20</v>
      </c>
      <c r="N1196" s="2">
        <f t="shared" si="92"/>
        <v>54.3</v>
      </c>
      <c r="O1196" s="2">
        <f>IF(M1196="","",IF(M1196&gt;=1000,95,IF(M1196&lt;=12.5,50,LOOKUP(M1196,{12.5,15,20,30,45,60,75,105,115,150,200,225,250,600,1000},{50,55,60,62,65,68,70,72,75,80,82,85,87,90,95})+(M1196-LOOKUP(M1196,{12.5,15,20,30,45,60,75,105,115,150,200,225,250,600},{12.5,15,20,30,45,60,75,105,115,150,200,225,250,600}))/(LOOKUP(M1196,{12.5,15,20,30,45,60,75,105,115,150,200,225,250,600,1000},{15,20,30,45,60,75,105,115,150,200,225,250,600,1000,1000})-LOOKUP(M1196,{12.5,15,20,30,45,60,75,105,115,150,200,225,250,600},{12.5,15,20,30,45,60,75,105,115,150,200,225,250,600}))*(LOOKUP(M1196,{12.5,15,20,30,45,60,75,105,115,150,200,225,250,600,1000},{55,60,62,65,68,70,72,75,80,82,85,87,90,95,95})-LOOKUP(M1196,{12.5,15,20,30,45,60,75,105,115,150,200,225,250,600,1000},{50,55,60,62,65,68,70,72,75,80,82,85,87,90,95})))))</f>
        <v>60</v>
      </c>
      <c r="P1196" s="2">
        <f t="shared" si="93"/>
        <v>-8</v>
      </c>
      <c r="Q1196" s="2">
        <f t="shared" si="94"/>
        <v>-4</v>
      </c>
    </row>
    <row r="1197" customHeight="1" spans="1:17">
      <c r="B1197" s="2">
        <v>1196</v>
      </c>
      <c r="C1197" s="3">
        <f t="shared" si="95"/>
        <v>50.3</v>
      </c>
      <c r="D1197" s="2" t="s">
        <v>1628</v>
      </c>
      <c r="E1197" s="2">
        <v>55</v>
      </c>
      <c r="F1197" s="2">
        <v>55</v>
      </c>
      <c r="G1197" s="12">
        <v>68</v>
      </c>
      <c r="H1197" s="2" t="s">
        <v>66</v>
      </c>
      <c r="I1197" s="2" t="s">
        <v>33</v>
      </c>
      <c r="J1197" s="4" t="s">
        <v>34</v>
      </c>
      <c r="M1197" s="2">
        <f t="shared" si="91"/>
        <v>60</v>
      </c>
      <c r="N1197" s="2">
        <f t="shared" si="92"/>
        <v>56.3</v>
      </c>
      <c r="O1197" s="2">
        <f>IF(M1197="","",IF(M1197&gt;=1000,95,IF(M1197&lt;=12.5,50,LOOKUP(M1197,{12.5,15,20,30,45,60,75,105,115,150,200,225,250,600,1000},{50,55,60,62,65,68,70,72,75,80,82,85,87,90,95})+(M1197-LOOKUP(M1197,{12.5,15,20,30,45,60,75,105,115,150,200,225,250,600},{12.5,15,20,30,45,60,75,105,115,150,200,225,250,600}))/(LOOKUP(M1197,{12.5,15,20,30,45,60,75,105,115,150,200,225,250,600,1000},{15,20,30,45,60,75,105,115,150,200,225,250,600,1000,1000})-LOOKUP(M1197,{12.5,15,20,30,45,60,75,105,115,150,200,225,250,600},{12.5,15,20,30,45,60,75,105,115,150,200,225,250,600}))*(LOOKUP(M1197,{12.5,15,20,30,45,60,75,105,115,150,200,225,250,600,1000},{55,60,62,65,68,70,72,75,80,82,85,87,90,95,95})-LOOKUP(M1197,{12.5,15,20,30,45,60,75,105,115,150,200,225,250,600,1000},{50,55,60,62,65,68,70,72,75,80,82,85,87,90,95})))))</f>
        <v>68</v>
      </c>
      <c r="P1197" s="2">
        <f t="shared" si="93"/>
        <v>-13</v>
      </c>
      <c r="Q1197" s="2">
        <f t="shared" si="94"/>
        <v>-6</v>
      </c>
    </row>
    <row r="1198" customHeight="1" spans="1:17">
      <c r="B1198" s="2">
        <v>1197</v>
      </c>
      <c r="C1198" s="3">
        <f t="shared" si="95"/>
        <v>50.3</v>
      </c>
      <c r="D1198" s="2" t="s">
        <v>1629</v>
      </c>
      <c r="E1198" s="12">
        <v>62</v>
      </c>
      <c r="F1198" s="12">
        <v>63</v>
      </c>
      <c r="G1198" s="2">
        <v>53</v>
      </c>
      <c r="H1198" s="2" t="s">
        <v>421</v>
      </c>
      <c r="I1198" s="2" t="s">
        <v>1195</v>
      </c>
      <c r="J1198" s="4" t="s">
        <v>73</v>
      </c>
      <c r="M1198" s="2">
        <f t="shared" si="91"/>
        <v>600</v>
      </c>
      <c r="N1198" s="2">
        <f t="shared" si="92"/>
        <v>61.3</v>
      </c>
      <c r="O1198" s="2">
        <f>IF(M1198="","",IF(M1198&gt;=1000,95,IF(M1198&lt;=12.5,50,LOOKUP(M1198,{12.5,15,20,30,45,60,75,105,115,150,200,225,250,600,1000},{50,55,60,62,65,68,70,72,75,80,82,85,87,90,95})+(M1198-LOOKUP(M1198,{12.5,15,20,30,45,60,75,105,115,150,200,225,250,600},{12.5,15,20,30,45,60,75,105,115,150,200,225,250,600}))/(LOOKUP(M1198,{12.5,15,20,30,45,60,75,105,115,150,200,225,250,600,1000},{15,20,30,45,60,75,105,115,150,200,225,250,600,1000,1000})-LOOKUP(M1198,{12.5,15,20,30,45,60,75,105,115,150,200,225,250,600},{12.5,15,20,30,45,60,75,105,115,150,200,225,250,600}))*(LOOKUP(M1198,{12.5,15,20,30,45,60,75,105,115,150,200,225,250,600,1000},{55,60,62,65,68,70,72,75,80,82,85,87,90,95,95})-LOOKUP(M1198,{12.5,15,20,30,45,60,75,105,115,150,200,225,250,600,1000},{50,55,60,62,65,68,70,72,75,80,82,85,87,90,95})))))</f>
        <v>90</v>
      </c>
      <c r="P1198" s="2">
        <f t="shared" si="93"/>
        <v>-28</v>
      </c>
      <c r="Q1198" s="2">
        <f t="shared" si="94"/>
        <v>-11</v>
      </c>
    </row>
    <row r="1199" customHeight="1" spans="1:17">
      <c r="B1199" s="2">
        <v>1198</v>
      </c>
      <c r="C1199" s="3">
        <f t="shared" si="95"/>
        <v>50.3</v>
      </c>
      <c r="D1199" s="2" t="s">
        <v>1630</v>
      </c>
      <c r="E1199" s="2">
        <v>53</v>
      </c>
      <c r="F1199" s="2">
        <v>55</v>
      </c>
      <c r="G1199" s="2">
        <v>32</v>
      </c>
      <c r="H1199" s="2" t="s">
        <v>1631</v>
      </c>
      <c r="I1199" s="2" t="s">
        <v>28</v>
      </c>
      <c r="J1199" s="4" t="s">
        <v>29</v>
      </c>
      <c r="M1199" s="2">
        <f t="shared" si="91"/>
        <v>15</v>
      </c>
      <c r="N1199" s="2">
        <f t="shared" si="92"/>
        <v>51.3</v>
      </c>
      <c r="O1199" s="2">
        <f>IF(M1199="","",IF(M1199&gt;=1000,95,IF(M1199&lt;=12.5,50,LOOKUP(M1199,{12.5,15,20,30,45,60,75,105,115,150,200,225,250,600,1000},{50,55,60,62,65,68,70,72,75,80,82,85,87,90,95})+(M1199-LOOKUP(M1199,{12.5,15,20,30,45,60,75,105,115,150,200,225,250,600},{12.5,15,20,30,45,60,75,105,115,150,200,225,250,600}))/(LOOKUP(M1199,{12.5,15,20,30,45,60,75,105,115,150,200,225,250,600,1000},{15,20,30,45,60,75,105,115,150,200,225,250,600,1000,1000})-LOOKUP(M1199,{12.5,15,20,30,45,60,75,105,115,150,200,225,250,600},{12.5,15,20,30,45,60,75,105,115,150,200,225,250,600}))*(LOOKUP(M1199,{12.5,15,20,30,45,60,75,105,115,150,200,225,250,600,1000},{55,60,62,65,68,70,72,75,80,82,85,87,90,95,95})-LOOKUP(M1199,{12.5,15,20,30,45,60,75,105,115,150,200,225,250,600,1000},{50,55,60,62,65,68,70,72,75,80,82,85,87,90,95})))))</f>
        <v>55</v>
      </c>
      <c r="P1199" s="2">
        <f t="shared" si="93"/>
        <v>-2</v>
      </c>
      <c r="Q1199" s="2">
        <f t="shared" si="94"/>
        <v>-1</v>
      </c>
    </row>
    <row r="1200" customHeight="1" spans="1:17">
      <c r="A1200" s="2">
        <v>2026</v>
      </c>
      <c r="B1200" s="2">
        <v>1199</v>
      </c>
      <c r="C1200" s="3">
        <f t="shared" si="95"/>
        <v>50.3</v>
      </c>
      <c r="D1200" s="2" t="s">
        <v>1632</v>
      </c>
      <c r="E1200" s="2">
        <v>57</v>
      </c>
      <c r="F1200" s="2">
        <v>40</v>
      </c>
      <c r="G1200" s="2">
        <v>49</v>
      </c>
      <c r="H1200" s="2" t="s">
        <v>54</v>
      </c>
      <c r="I1200" s="2" t="s">
        <v>28</v>
      </c>
      <c r="J1200" s="4" t="s">
        <v>88</v>
      </c>
      <c r="M1200" s="2">
        <f t="shared" si="91"/>
        <v>30</v>
      </c>
      <c r="N1200" s="2">
        <f t="shared" si="92"/>
        <v>52.8</v>
      </c>
      <c r="O1200" s="2">
        <f>IF(M1200="","",IF(M1200&gt;=1000,95,IF(M1200&lt;=12.5,50,LOOKUP(M1200,{12.5,15,20,30,45,60,75,105,115,150,200,225,250,600,1000},{50,55,60,62,65,68,70,72,75,80,82,85,87,90,95})+(M1200-LOOKUP(M1200,{12.5,15,20,30,45,60,75,105,115,150,200,225,250,600},{12.5,15,20,30,45,60,75,105,115,150,200,225,250,600}))/(LOOKUP(M1200,{12.5,15,20,30,45,60,75,105,115,150,200,225,250,600,1000},{15,20,30,45,60,75,105,115,150,200,225,250,600,1000,1000})-LOOKUP(M1200,{12.5,15,20,30,45,60,75,105,115,150,200,225,250,600},{12.5,15,20,30,45,60,75,105,115,150,200,225,250,600}))*(LOOKUP(M1200,{12.5,15,20,30,45,60,75,105,115,150,200,225,250,600,1000},{55,60,62,65,68,70,72,75,80,82,85,87,90,95,95})-LOOKUP(M1200,{12.5,15,20,30,45,60,75,105,115,150,200,225,250,600,1000},{50,55,60,62,65,68,70,72,75,80,82,85,87,90,95})))))</f>
        <v>62</v>
      </c>
      <c r="P1200" s="2">
        <f t="shared" si="93"/>
        <v>-5</v>
      </c>
      <c r="Q1200" s="2">
        <f t="shared" si="94"/>
        <v>-2.5</v>
      </c>
    </row>
    <row r="1201" customHeight="1" spans="1:17">
      <c r="A1201" s="2">
        <v>2026</v>
      </c>
      <c r="B1201" s="2">
        <v>1200</v>
      </c>
      <c r="C1201" s="3">
        <f t="shared" si="95"/>
        <v>50.1</v>
      </c>
      <c r="D1201" s="2" t="s">
        <v>1633</v>
      </c>
      <c r="E1201" s="12">
        <v>62</v>
      </c>
      <c r="F1201" s="2">
        <v>45</v>
      </c>
      <c r="G1201" s="2">
        <v>37</v>
      </c>
      <c r="H1201" s="2" t="s">
        <v>62</v>
      </c>
      <c r="I1201" s="2" t="s">
        <v>183</v>
      </c>
      <c r="J1201" s="4" t="s">
        <v>148</v>
      </c>
      <c r="M1201" s="2">
        <f t="shared" si="91"/>
        <v>115</v>
      </c>
      <c r="N1201" s="2">
        <f t="shared" si="92"/>
        <v>56.1</v>
      </c>
      <c r="O1201" s="2">
        <f>IF(M1201="","",IF(M1201&gt;=1000,95,IF(M1201&lt;=12.5,50,LOOKUP(M1201,{12.5,15,20,30,45,60,75,105,115,150,200,225,250,600,1000},{50,55,60,62,65,68,70,72,75,80,82,85,87,90,95})+(M1201-LOOKUP(M1201,{12.5,15,20,30,45,60,75,105,115,150,200,225,250,600},{12.5,15,20,30,45,60,75,105,115,150,200,225,250,600}))/(LOOKUP(M1201,{12.5,15,20,30,45,60,75,105,115,150,200,225,250,600,1000},{15,20,30,45,60,75,105,115,150,200,225,250,600,1000,1000})-LOOKUP(M1201,{12.5,15,20,30,45,60,75,105,115,150,200,225,250,600},{12.5,15,20,30,45,60,75,105,115,150,200,225,250,600}))*(LOOKUP(M1201,{12.5,15,20,30,45,60,75,105,115,150,200,225,250,600,1000},{55,60,62,65,68,70,72,75,80,82,85,87,90,95,95})-LOOKUP(M1201,{12.5,15,20,30,45,60,75,105,115,150,200,225,250,600,1000},{50,55,60,62,65,68,70,72,75,80,82,85,87,90,95})))))</f>
        <v>75</v>
      </c>
      <c r="P1201" s="2">
        <f t="shared" si="93"/>
        <v>-13</v>
      </c>
      <c r="Q1201" s="2">
        <f t="shared" si="94"/>
        <v>-6</v>
      </c>
    </row>
    <row r="1202" customHeight="1" spans="1:17">
      <c r="A1202" s="2">
        <v>2026</v>
      </c>
      <c r="B1202" s="2">
        <v>1201</v>
      </c>
      <c r="C1202" s="3">
        <f t="shared" si="95"/>
        <v>50.1</v>
      </c>
      <c r="D1202" s="2" t="s">
        <v>1634</v>
      </c>
      <c r="E1202" s="2">
        <v>53</v>
      </c>
      <c r="F1202" s="2">
        <v>55</v>
      </c>
      <c r="G1202" s="12">
        <v>65</v>
      </c>
      <c r="H1202" s="2" t="s">
        <v>41</v>
      </c>
      <c r="I1202" s="2" t="s">
        <v>577</v>
      </c>
      <c r="J1202" s="4" t="s">
        <v>88</v>
      </c>
      <c r="M1202" s="2">
        <f t="shared" si="91"/>
        <v>30</v>
      </c>
      <c r="N1202" s="2">
        <f t="shared" si="92"/>
        <v>54.6</v>
      </c>
      <c r="O1202" s="2">
        <f>IF(M1202="","",IF(M1202&gt;=1000,95,IF(M1202&lt;=12.5,50,LOOKUP(M1202,{12.5,15,20,30,45,60,75,105,115,150,200,225,250,600,1000},{50,55,60,62,65,68,70,72,75,80,82,85,87,90,95})+(M1202-LOOKUP(M1202,{12.5,15,20,30,45,60,75,105,115,150,200,225,250,600},{12.5,15,20,30,45,60,75,105,115,150,200,225,250,600}))/(LOOKUP(M1202,{12.5,15,20,30,45,60,75,105,115,150,200,225,250,600,1000},{15,20,30,45,60,75,105,115,150,200,225,250,600,1000,1000})-LOOKUP(M1202,{12.5,15,20,30,45,60,75,105,115,150,200,225,250,600},{12.5,15,20,30,45,60,75,105,115,150,200,225,250,600}))*(LOOKUP(M1202,{12.5,15,20,30,45,60,75,105,115,150,200,225,250,600,1000},{55,60,62,65,68,70,72,75,80,82,85,87,90,95,95})-LOOKUP(M1202,{12.5,15,20,30,45,60,75,105,115,150,200,225,250,600,1000},{50,55,60,62,65,68,70,72,75,80,82,85,87,90,95})))))</f>
        <v>62</v>
      </c>
      <c r="P1202" s="2">
        <f t="shared" si="93"/>
        <v>-9</v>
      </c>
      <c r="Q1202" s="2">
        <f t="shared" si="94"/>
        <v>-4.5</v>
      </c>
    </row>
    <row r="1203" customHeight="1" spans="1:17">
      <c r="B1203" s="2">
        <v>1202</v>
      </c>
      <c r="C1203" s="3">
        <f t="shared" si="95"/>
        <v>50.1</v>
      </c>
      <c r="D1203" s="2" t="s">
        <v>1635</v>
      </c>
      <c r="E1203" s="2">
        <v>58</v>
      </c>
      <c r="F1203" s="2">
        <v>50</v>
      </c>
      <c r="G1203" s="2">
        <v>45</v>
      </c>
      <c r="H1203" s="2" t="s">
        <v>41</v>
      </c>
      <c r="I1203" s="2" t="s">
        <v>63</v>
      </c>
      <c r="J1203" s="4" t="s">
        <v>34</v>
      </c>
      <c r="M1203" s="2">
        <f t="shared" si="91"/>
        <v>60</v>
      </c>
      <c r="N1203" s="2">
        <f t="shared" si="92"/>
        <v>55.1</v>
      </c>
      <c r="O1203" s="2">
        <f>IF(M1203="","",IF(M1203&gt;=1000,95,IF(M1203&lt;=12.5,50,LOOKUP(M1203,{12.5,15,20,30,45,60,75,105,115,150,200,225,250,600,1000},{50,55,60,62,65,68,70,72,75,80,82,85,87,90,95})+(M1203-LOOKUP(M1203,{12.5,15,20,30,45,60,75,105,115,150,200,225,250,600},{12.5,15,20,30,45,60,75,105,115,150,200,225,250,600}))/(LOOKUP(M1203,{12.5,15,20,30,45,60,75,105,115,150,200,225,250,600,1000},{15,20,30,45,60,75,105,115,150,200,225,250,600,1000,1000})-LOOKUP(M1203,{12.5,15,20,30,45,60,75,105,115,150,200,225,250,600},{12.5,15,20,30,45,60,75,105,115,150,200,225,250,600}))*(LOOKUP(M1203,{12.5,15,20,30,45,60,75,105,115,150,200,225,250,600,1000},{55,60,62,65,68,70,72,75,80,82,85,87,90,95,95})-LOOKUP(M1203,{12.5,15,20,30,45,60,75,105,115,150,200,225,250,600,1000},{50,55,60,62,65,68,70,72,75,80,82,85,87,90,95})))))</f>
        <v>68</v>
      </c>
      <c r="P1203" s="2">
        <f t="shared" si="93"/>
        <v>-10</v>
      </c>
      <c r="Q1203" s="2">
        <f t="shared" si="94"/>
        <v>-5</v>
      </c>
    </row>
    <row r="1204" customHeight="1" spans="1:17">
      <c r="B1204" s="2">
        <v>1203</v>
      </c>
      <c r="C1204" s="3">
        <f t="shared" si="95"/>
        <v>50.03</v>
      </c>
      <c r="D1204" s="2" t="s">
        <v>1636</v>
      </c>
      <c r="E1204" s="12">
        <v>60</v>
      </c>
      <c r="F1204" s="12">
        <v>66</v>
      </c>
      <c r="G1204" s="12">
        <v>65</v>
      </c>
      <c r="H1204" s="2" t="s">
        <v>515</v>
      </c>
      <c r="I1204" s="2" t="s">
        <v>305</v>
      </c>
      <c r="J1204" s="4" t="s">
        <v>73</v>
      </c>
      <c r="M1204" s="2">
        <f t="shared" si="91"/>
        <v>600</v>
      </c>
      <c r="N1204" s="2">
        <f t="shared" si="92"/>
        <v>61.7</v>
      </c>
      <c r="O1204" s="2">
        <f>IF(M1204="","",IF(M1204&gt;=1000,95,IF(M1204&lt;=12.5,50,LOOKUP(M1204,{12.5,15,20,30,45,60,75,105,115,150,200,225,250,600,1000},{50,55,60,62,65,68,70,72,75,80,82,85,87,90,95})+(M1204-LOOKUP(M1204,{12.5,15,20,30,45,60,75,105,115,150,200,225,250,600},{12.5,15,20,30,45,60,75,105,115,150,200,225,250,600}))/(LOOKUP(M1204,{12.5,15,20,30,45,60,75,105,115,150,200,225,250,600,1000},{15,20,30,45,60,75,105,115,150,200,225,250,600,1000,1000})-LOOKUP(M1204,{12.5,15,20,30,45,60,75,105,115,150,200,225,250,600},{12.5,15,20,30,45,60,75,105,115,150,200,225,250,600}))*(LOOKUP(M1204,{12.5,15,20,30,45,60,75,105,115,150,200,225,250,600,1000},{55,60,62,65,68,70,72,75,80,82,85,87,90,95,95})-LOOKUP(M1204,{12.5,15,20,30,45,60,75,105,115,150,200,225,250,600,1000},{50,55,60,62,65,68,70,72,75,80,82,85,87,90,95})))))</f>
        <v>90</v>
      </c>
      <c r="P1204" s="2">
        <f t="shared" si="93"/>
        <v>-30</v>
      </c>
      <c r="Q1204" s="2">
        <f t="shared" si="94"/>
        <v>-11.67</v>
      </c>
    </row>
    <row r="1205" customHeight="1" spans="1:17">
      <c r="B1205" s="2">
        <v>1204</v>
      </c>
      <c r="C1205" s="3">
        <f t="shared" si="95"/>
        <v>50</v>
      </c>
      <c r="D1205" s="2" t="s">
        <v>1637</v>
      </c>
      <c r="E1205" s="2">
        <v>54</v>
      </c>
      <c r="F1205" s="2">
        <v>56</v>
      </c>
      <c r="G1205" s="2">
        <v>50</v>
      </c>
      <c r="H1205" s="2" t="s">
        <v>41</v>
      </c>
      <c r="I1205" s="2" t="s">
        <v>63</v>
      </c>
      <c r="J1205" s="4" t="s">
        <v>88</v>
      </c>
      <c r="M1205" s="2">
        <f t="shared" si="91"/>
        <v>30</v>
      </c>
      <c r="N1205" s="2">
        <f t="shared" si="92"/>
        <v>54</v>
      </c>
      <c r="O1205" s="2">
        <f>IF(M1205="","",IF(M1205&gt;=1000,95,IF(M1205&lt;=12.5,50,LOOKUP(M1205,{12.5,15,20,30,45,60,75,105,115,150,200,225,250,600,1000},{50,55,60,62,65,68,70,72,75,80,82,85,87,90,95})+(M1205-LOOKUP(M1205,{12.5,15,20,30,45,60,75,105,115,150,200,225,250,600},{12.5,15,20,30,45,60,75,105,115,150,200,225,250,600}))/(LOOKUP(M1205,{12.5,15,20,30,45,60,75,105,115,150,200,225,250,600,1000},{15,20,30,45,60,75,105,115,150,200,225,250,600,1000,1000})-LOOKUP(M1205,{12.5,15,20,30,45,60,75,105,115,150,200,225,250,600},{12.5,15,20,30,45,60,75,105,115,150,200,225,250,600}))*(LOOKUP(M1205,{12.5,15,20,30,45,60,75,105,115,150,200,225,250,600,1000},{55,60,62,65,68,70,72,75,80,82,85,87,90,95,95})-LOOKUP(M1205,{12.5,15,20,30,45,60,75,105,115,150,200,225,250,600,1000},{50,55,60,62,65,68,70,72,75,80,82,85,87,90,95})))))</f>
        <v>62</v>
      </c>
      <c r="P1205" s="2">
        <f t="shared" si="93"/>
        <v>-8</v>
      </c>
      <c r="Q1205" s="2">
        <f t="shared" si="94"/>
        <v>-4</v>
      </c>
    </row>
    <row r="1206" customHeight="1" spans="1:17">
      <c r="B1206" s="2">
        <v>1205</v>
      </c>
      <c r="C1206" s="3">
        <f t="shared" si="95"/>
        <v>49.93</v>
      </c>
      <c r="D1206" s="2" t="s">
        <v>1638</v>
      </c>
      <c r="E1206" s="2">
        <v>50</v>
      </c>
      <c r="F1206" s="9">
        <v>77</v>
      </c>
      <c r="G1206" s="12">
        <v>62</v>
      </c>
      <c r="H1206" s="2" t="s">
        <v>421</v>
      </c>
      <c r="I1206" s="2" t="s">
        <v>63</v>
      </c>
      <c r="J1206" s="4" t="s">
        <v>38</v>
      </c>
      <c r="M1206" s="2">
        <f t="shared" si="91"/>
        <v>45</v>
      </c>
      <c r="N1206" s="2">
        <f t="shared" si="92"/>
        <v>56.6</v>
      </c>
      <c r="O1206" s="2">
        <f>IF(M1206="","",IF(M1206&gt;=1000,95,IF(M1206&lt;=12.5,50,LOOKUP(M1206,{12.5,15,20,30,45,60,75,105,115,150,200,225,250,600,1000},{50,55,60,62,65,68,70,72,75,80,82,85,87,90,95})+(M1206-LOOKUP(M1206,{12.5,15,20,30,45,60,75,105,115,150,200,225,250,600},{12.5,15,20,30,45,60,75,105,115,150,200,225,250,600}))/(LOOKUP(M1206,{12.5,15,20,30,45,60,75,105,115,150,200,225,250,600,1000},{15,20,30,45,60,75,105,115,150,200,225,250,600,1000,1000})-LOOKUP(M1206,{12.5,15,20,30,45,60,75,105,115,150,200,225,250,600},{12.5,15,20,30,45,60,75,105,115,150,200,225,250,600}))*(LOOKUP(M1206,{12.5,15,20,30,45,60,75,105,115,150,200,225,250,600,1000},{55,60,62,65,68,70,72,75,80,82,85,87,90,95,95})-LOOKUP(M1206,{12.5,15,20,30,45,60,75,105,115,150,200,225,250,600,1000},{50,55,60,62,65,68,70,72,75,80,82,85,87,90,95})))))</f>
        <v>65</v>
      </c>
      <c r="P1206" s="2">
        <f t="shared" si="93"/>
        <v>-15</v>
      </c>
      <c r="Q1206" s="2">
        <f t="shared" si="94"/>
        <v>-6.67</v>
      </c>
    </row>
    <row r="1207" customHeight="1" spans="1:17">
      <c r="B1207" s="2">
        <v>1206</v>
      </c>
      <c r="C1207" s="3">
        <f t="shared" si="95"/>
        <v>49.93</v>
      </c>
      <c r="D1207" s="2" t="s">
        <v>1639</v>
      </c>
      <c r="E1207" s="2">
        <v>53</v>
      </c>
      <c r="F1207" s="9">
        <v>74</v>
      </c>
      <c r="G1207" s="2">
        <v>47</v>
      </c>
      <c r="H1207" s="2" t="s">
        <v>1640</v>
      </c>
      <c r="I1207" s="2" t="s">
        <v>23</v>
      </c>
      <c r="J1207" s="4" t="s">
        <v>34</v>
      </c>
      <c r="M1207" s="2">
        <f t="shared" si="91"/>
        <v>60</v>
      </c>
      <c r="N1207" s="2">
        <f t="shared" si="92"/>
        <v>56.6</v>
      </c>
      <c r="O1207" s="2">
        <f>IF(M1207="","",IF(M1207&gt;=1000,95,IF(M1207&lt;=12.5,50,LOOKUP(M1207,{12.5,15,20,30,45,60,75,105,115,150,200,225,250,600,1000},{50,55,60,62,65,68,70,72,75,80,82,85,87,90,95})+(M1207-LOOKUP(M1207,{12.5,15,20,30,45,60,75,105,115,150,200,225,250,600},{12.5,15,20,30,45,60,75,105,115,150,200,225,250,600}))/(LOOKUP(M1207,{12.5,15,20,30,45,60,75,105,115,150,200,225,250,600,1000},{15,20,30,45,60,75,105,115,150,200,225,250,600,1000,1000})-LOOKUP(M1207,{12.5,15,20,30,45,60,75,105,115,150,200,225,250,600},{12.5,15,20,30,45,60,75,105,115,150,200,225,250,600}))*(LOOKUP(M1207,{12.5,15,20,30,45,60,75,105,115,150,200,225,250,600,1000},{55,60,62,65,68,70,72,75,80,82,85,87,90,95,95})-LOOKUP(M1207,{12.5,15,20,30,45,60,75,105,115,150,200,225,250,600,1000},{50,55,60,62,65,68,70,72,75,80,82,85,87,90,95})))))</f>
        <v>68</v>
      </c>
      <c r="P1207" s="2">
        <f t="shared" si="93"/>
        <v>-15</v>
      </c>
      <c r="Q1207" s="2">
        <f t="shared" si="94"/>
        <v>-6.67</v>
      </c>
    </row>
    <row r="1208" customHeight="1" spans="1:17">
      <c r="B1208" s="2">
        <v>1207</v>
      </c>
      <c r="C1208" s="3">
        <f t="shared" si="95"/>
        <v>49.9</v>
      </c>
      <c r="D1208" s="2" t="s">
        <v>1641</v>
      </c>
      <c r="E1208" s="2">
        <v>59</v>
      </c>
      <c r="F1208" s="12">
        <v>60</v>
      </c>
      <c r="G1208" s="2">
        <v>36</v>
      </c>
      <c r="H1208" s="2" t="s">
        <v>37</v>
      </c>
      <c r="I1208" s="2" t="s">
        <v>435</v>
      </c>
      <c r="J1208" s="4" t="s">
        <v>148</v>
      </c>
      <c r="M1208" s="2">
        <f t="shared" si="91"/>
        <v>115</v>
      </c>
      <c r="N1208" s="2">
        <f t="shared" si="92"/>
        <v>56.9</v>
      </c>
      <c r="O1208" s="2">
        <f>IF(M1208="","",IF(M1208&gt;=1000,95,IF(M1208&lt;=12.5,50,LOOKUP(M1208,{12.5,15,20,30,45,60,75,105,115,150,200,225,250,600,1000},{50,55,60,62,65,68,70,72,75,80,82,85,87,90,95})+(M1208-LOOKUP(M1208,{12.5,15,20,30,45,60,75,105,115,150,200,225,250,600},{12.5,15,20,30,45,60,75,105,115,150,200,225,250,600}))/(LOOKUP(M1208,{12.5,15,20,30,45,60,75,105,115,150,200,225,250,600,1000},{15,20,30,45,60,75,105,115,150,200,225,250,600,1000,1000})-LOOKUP(M1208,{12.5,15,20,30,45,60,75,105,115,150,200,225,250,600},{12.5,15,20,30,45,60,75,105,115,150,200,225,250,600}))*(LOOKUP(M1208,{12.5,15,20,30,45,60,75,105,115,150,200,225,250,600,1000},{55,60,62,65,68,70,72,75,80,82,85,87,90,95,95})-LOOKUP(M1208,{12.5,15,20,30,45,60,75,105,115,150,200,225,250,600,1000},{50,55,60,62,65,68,70,72,75,80,82,85,87,90,95})))))</f>
        <v>75</v>
      </c>
      <c r="P1208" s="2">
        <f t="shared" si="93"/>
        <v>-16</v>
      </c>
      <c r="Q1208" s="2">
        <f t="shared" si="94"/>
        <v>-7</v>
      </c>
    </row>
    <row r="1209" customHeight="1" spans="1:17">
      <c r="B1209" s="2">
        <v>1208</v>
      </c>
      <c r="C1209" s="3">
        <f t="shared" si="95"/>
        <v>49.8</v>
      </c>
      <c r="D1209" s="2" t="s">
        <v>1642</v>
      </c>
      <c r="E1209" s="2">
        <v>57</v>
      </c>
      <c r="F1209" s="2">
        <v>57</v>
      </c>
      <c r="G1209" s="2">
        <v>45</v>
      </c>
      <c r="H1209" s="2" t="s">
        <v>94</v>
      </c>
      <c r="I1209" s="2" t="s">
        <v>33</v>
      </c>
      <c r="J1209" s="4" t="s">
        <v>24</v>
      </c>
      <c r="M1209" s="2">
        <f t="shared" si="91"/>
        <v>75</v>
      </c>
      <c r="N1209" s="2">
        <f t="shared" si="92"/>
        <v>55.8</v>
      </c>
      <c r="O1209" s="2">
        <f>IF(M1209="","",IF(M1209&gt;=1000,95,IF(M1209&lt;=12.5,50,LOOKUP(M1209,{12.5,15,20,30,45,60,75,105,115,150,200,225,250,600,1000},{50,55,60,62,65,68,70,72,75,80,82,85,87,90,95})+(M1209-LOOKUP(M1209,{12.5,15,20,30,45,60,75,105,115,150,200,225,250,600},{12.5,15,20,30,45,60,75,105,115,150,200,225,250,600}))/(LOOKUP(M1209,{12.5,15,20,30,45,60,75,105,115,150,200,225,250,600,1000},{15,20,30,45,60,75,105,115,150,200,225,250,600,1000,1000})-LOOKUP(M1209,{12.5,15,20,30,45,60,75,105,115,150,200,225,250,600},{12.5,15,20,30,45,60,75,105,115,150,200,225,250,600}))*(LOOKUP(M1209,{12.5,15,20,30,45,60,75,105,115,150,200,225,250,600,1000},{55,60,62,65,68,70,72,75,80,82,85,87,90,95,95})-LOOKUP(M1209,{12.5,15,20,30,45,60,75,105,115,150,200,225,250,600,1000},{50,55,60,62,65,68,70,72,75,80,82,85,87,90,95})))))</f>
        <v>70</v>
      </c>
      <c r="P1209" s="2">
        <f t="shared" si="93"/>
        <v>-13</v>
      </c>
      <c r="Q1209" s="2">
        <f t="shared" si="94"/>
        <v>-6</v>
      </c>
    </row>
    <row r="1210" customHeight="1" spans="1:17">
      <c r="B1210" s="2">
        <v>1209</v>
      </c>
      <c r="C1210" s="3">
        <f t="shared" si="95"/>
        <v>49.7</v>
      </c>
      <c r="D1210" s="2" t="s">
        <v>1643</v>
      </c>
      <c r="E1210" s="2">
        <v>52</v>
      </c>
      <c r="F1210" s="12">
        <v>65</v>
      </c>
      <c r="G1210" s="12">
        <v>63</v>
      </c>
      <c r="H1210" s="2" t="s">
        <v>41</v>
      </c>
      <c r="I1210" s="2" t="s">
        <v>852</v>
      </c>
      <c r="J1210" s="4" t="s">
        <v>38</v>
      </c>
      <c r="M1210" s="2">
        <f t="shared" si="91"/>
        <v>45</v>
      </c>
      <c r="N1210" s="2">
        <f t="shared" si="92"/>
        <v>55.7</v>
      </c>
      <c r="O1210" s="2">
        <f>IF(M1210="","",IF(M1210&gt;=1000,95,IF(M1210&lt;=12.5,50,LOOKUP(M1210,{12.5,15,20,30,45,60,75,105,115,150,200,225,250,600,1000},{50,55,60,62,65,68,70,72,75,80,82,85,87,90,95})+(M1210-LOOKUP(M1210,{12.5,15,20,30,45,60,75,105,115,150,200,225,250,600},{12.5,15,20,30,45,60,75,105,115,150,200,225,250,600}))/(LOOKUP(M1210,{12.5,15,20,30,45,60,75,105,115,150,200,225,250,600,1000},{15,20,30,45,60,75,105,115,150,200,225,250,600,1000,1000})-LOOKUP(M1210,{12.5,15,20,30,45,60,75,105,115,150,200,225,250,600},{12.5,15,20,30,45,60,75,105,115,150,200,225,250,600}))*(LOOKUP(M1210,{12.5,15,20,30,45,60,75,105,115,150,200,225,250,600,1000},{55,60,62,65,68,70,72,75,80,82,85,87,90,95,95})-LOOKUP(M1210,{12.5,15,20,30,45,60,75,105,115,150,200,225,250,600,1000},{50,55,60,62,65,68,70,72,75,80,82,85,87,90,95})))))</f>
        <v>65</v>
      </c>
      <c r="P1210" s="2">
        <f t="shared" si="93"/>
        <v>-13</v>
      </c>
      <c r="Q1210" s="2">
        <f t="shared" si="94"/>
        <v>-6</v>
      </c>
    </row>
    <row r="1211" customHeight="1" spans="1:17">
      <c r="B1211" s="2">
        <v>1210</v>
      </c>
      <c r="C1211" s="3">
        <f t="shared" si="95"/>
        <v>49.67</v>
      </c>
      <c r="D1211" s="2" t="s">
        <v>1644</v>
      </c>
      <c r="E1211" s="2">
        <v>54</v>
      </c>
      <c r="F1211" s="2">
        <v>57</v>
      </c>
      <c r="G1211" s="2">
        <v>58</v>
      </c>
      <c r="H1211" s="2" t="s">
        <v>41</v>
      </c>
      <c r="I1211" s="2" t="s">
        <v>229</v>
      </c>
      <c r="J1211" s="4" t="s">
        <v>38</v>
      </c>
      <c r="M1211" s="2">
        <f t="shared" si="91"/>
        <v>45</v>
      </c>
      <c r="N1211" s="2">
        <f t="shared" si="92"/>
        <v>55</v>
      </c>
      <c r="O1211" s="2">
        <f>IF(M1211="","",IF(M1211&gt;=1000,95,IF(M1211&lt;=12.5,50,LOOKUP(M1211,{12.5,15,20,30,45,60,75,105,115,150,200,225,250,600,1000},{50,55,60,62,65,68,70,72,75,80,82,85,87,90,95})+(M1211-LOOKUP(M1211,{12.5,15,20,30,45,60,75,105,115,150,200,225,250,600},{12.5,15,20,30,45,60,75,105,115,150,200,225,250,600}))/(LOOKUP(M1211,{12.5,15,20,30,45,60,75,105,115,150,200,225,250,600,1000},{15,20,30,45,60,75,105,115,150,200,225,250,600,1000,1000})-LOOKUP(M1211,{12.5,15,20,30,45,60,75,105,115,150,200,225,250,600},{12.5,15,20,30,45,60,75,105,115,150,200,225,250,600}))*(LOOKUP(M1211,{12.5,15,20,30,45,60,75,105,115,150,200,225,250,600,1000},{55,60,62,65,68,70,72,75,80,82,85,87,90,95,95})-LOOKUP(M1211,{12.5,15,20,30,45,60,75,105,115,150,200,225,250,600,1000},{50,55,60,62,65,68,70,72,75,80,82,85,87,90,95})))))</f>
        <v>65</v>
      </c>
      <c r="P1211" s="2">
        <f t="shared" si="93"/>
        <v>-11</v>
      </c>
      <c r="Q1211" s="2">
        <f t="shared" si="94"/>
        <v>-5.33</v>
      </c>
    </row>
    <row r="1212" customHeight="1" spans="1:17">
      <c r="B1212" s="2">
        <v>1211</v>
      </c>
      <c r="C1212" s="3">
        <f t="shared" si="95"/>
        <v>49.63</v>
      </c>
      <c r="D1212" s="2" t="s">
        <v>1645</v>
      </c>
      <c r="E1212" s="2">
        <v>54</v>
      </c>
      <c r="F1212" s="12">
        <v>65</v>
      </c>
      <c r="G1212" s="12">
        <v>65</v>
      </c>
      <c r="H1212" s="2" t="s">
        <v>600</v>
      </c>
      <c r="I1212" s="2" t="s">
        <v>33</v>
      </c>
      <c r="J1212" s="4" t="s">
        <v>105</v>
      </c>
      <c r="M1212" s="2">
        <f t="shared" si="91"/>
        <v>105</v>
      </c>
      <c r="N1212" s="2">
        <f t="shared" si="92"/>
        <v>57.3</v>
      </c>
      <c r="O1212" s="2">
        <f>IF(M1212="","",IF(M1212&gt;=1000,95,IF(M1212&lt;=12.5,50,LOOKUP(M1212,{12.5,15,20,30,45,60,75,105,115,150,200,225,250,600,1000},{50,55,60,62,65,68,70,72,75,80,82,85,87,90,95})+(M1212-LOOKUP(M1212,{12.5,15,20,30,45,60,75,105,115,150,200,225,250,600},{12.5,15,20,30,45,60,75,105,115,150,200,225,250,600}))/(LOOKUP(M1212,{12.5,15,20,30,45,60,75,105,115,150,200,225,250,600,1000},{15,20,30,45,60,75,105,115,150,200,225,250,600,1000,1000})-LOOKUP(M1212,{12.5,15,20,30,45,60,75,105,115,150,200,225,250,600},{12.5,15,20,30,45,60,75,105,115,150,200,225,250,600}))*(LOOKUP(M1212,{12.5,15,20,30,45,60,75,105,115,150,200,225,250,600,1000},{55,60,62,65,68,70,72,75,80,82,85,87,90,95,95})-LOOKUP(M1212,{12.5,15,20,30,45,60,75,105,115,150,200,225,250,600,1000},{50,55,60,62,65,68,70,72,75,80,82,85,87,90,95})))))</f>
        <v>72</v>
      </c>
      <c r="P1212" s="2">
        <f t="shared" si="93"/>
        <v>-18</v>
      </c>
      <c r="Q1212" s="2">
        <f t="shared" si="94"/>
        <v>-7.67</v>
      </c>
    </row>
    <row r="1213" customHeight="1" spans="1:17">
      <c r="B1213" s="2">
        <v>1212</v>
      </c>
      <c r="C1213" s="3">
        <f t="shared" si="95"/>
        <v>49.53</v>
      </c>
      <c r="D1213" s="2" t="s">
        <v>1646</v>
      </c>
      <c r="E1213" s="2">
        <v>58</v>
      </c>
      <c r="F1213" s="12">
        <v>62</v>
      </c>
      <c r="G1213" s="12">
        <v>62</v>
      </c>
      <c r="H1213" s="2" t="s">
        <v>1279</v>
      </c>
      <c r="I1213" s="2" t="s">
        <v>717</v>
      </c>
      <c r="J1213" s="4" t="s">
        <v>51</v>
      </c>
      <c r="M1213" s="2">
        <f t="shared" si="91"/>
        <v>200</v>
      </c>
      <c r="N1213" s="2">
        <f t="shared" si="92"/>
        <v>59.2</v>
      </c>
      <c r="O1213" s="2">
        <f>IF(M1213="","",IF(M1213&gt;=1000,95,IF(M1213&lt;=12.5,50,LOOKUP(M1213,{12.5,15,20,30,45,60,75,105,115,150,200,225,250,600,1000},{50,55,60,62,65,68,70,72,75,80,82,85,87,90,95})+(M1213-LOOKUP(M1213,{12.5,15,20,30,45,60,75,105,115,150,200,225,250,600},{12.5,15,20,30,45,60,75,105,115,150,200,225,250,600}))/(LOOKUP(M1213,{12.5,15,20,30,45,60,75,105,115,150,200,225,250,600,1000},{15,20,30,45,60,75,105,115,150,200,225,250,600,1000,1000})-LOOKUP(M1213,{12.5,15,20,30,45,60,75,105,115,150,200,225,250,600},{12.5,15,20,30,45,60,75,105,115,150,200,225,250,600}))*(LOOKUP(M1213,{12.5,15,20,30,45,60,75,105,115,150,200,225,250,600,1000},{55,60,62,65,68,70,72,75,80,82,85,87,90,95,95})-LOOKUP(M1213,{12.5,15,20,30,45,60,75,105,115,150,200,225,250,600,1000},{50,55,60,62,65,68,70,72,75,80,82,85,87,90,95})))))</f>
        <v>82</v>
      </c>
      <c r="P1213" s="2">
        <f t="shared" si="93"/>
        <v>-24</v>
      </c>
      <c r="Q1213" s="2">
        <f t="shared" si="94"/>
        <v>-9.67</v>
      </c>
    </row>
    <row r="1214" customHeight="1" spans="1:17">
      <c r="B1214" s="2">
        <v>1213</v>
      </c>
      <c r="C1214" s="3">
        <f t="shared" si="95"/>
        <v>49.5</v>
      </c>
      <c r="D1214" s="2" t="s">
        <v>1647</v>
      </c>
      <c r="E1214" s="2">
        <v>55</v>
      </c>
      <c r="F1214" s="2">
        <v>55</v>
      </c>
      <c r="G1214" s="2">
        <v>50</v>
      </c>
      <c r="H1214" s="2" t="s">
        <v>41</v>
      </c>
      <c r="I1214" s="2" t="s">
        <v>28</v>
      </c>
      <c r="J1214" s="4" t="s">
        <v>38</v>
      </c>
      <c r="M1214" s="2">
        <f t="shared" si="91"/>
        <v>45</v>
      </c>
      <c r="N1214" s="2">
        <f t="shared" si="92"/>
        <v>54.5</v>
      </c>
      <c r="O1214" s="2">
        <f>IF(M1214="","",IF(M1214&gt;=1000,95,IF(M1214&lt;=12.5,50,LOOKUP(M1214,{12.5,15,20,30,45,60,75,105,115,150,200,225,250,600,1000},{50,55,60,62,65,68,70,72,75,80,82,85,87,90,95})+(M1214-LOOKUP(M1214,{12.5,15,20,30,45,60,75,105,115,150,200,225,250,600},{12.5,15,20,30,45,60,75,105,115,150,200,225,250,600}))/(LOOKUP(M1214,{12.5,15,20,30,45,60,75,105,115,150,200,225,250,600,1000},{15,20,30,45,60,75,105,115,150,200,225,250,600,1000,1000})-LOOKUP(M1214,{12.5,15,20,30,45,60,75,105,115,150,200,225,250,600},{12.5,15,20,30,45,60,75,105,115,150,200,225,250,600}))*(LOOKUP(M1214,{12.5,15,20,30,45,60,75,105,115,150,200,225,250,600,1000},{55,60,62,65,68,70,72,75,80,82,85,87,90,95,95})-LOOKUP(M1214,{12.5,15,20,30,45,60,75,105,115,150,200,225,250,600,1000},{50,55,60,62,65,68,70,72,75,80,82,85,87,90,95})))))</f>
        <v>65</v>
      </c>
      <c r="P1214" s="2">
        <f t="shared" si="93"/>
        <v>-10</v>
      </c>
      <c r="Q1214" s="2">
        <f t="shared" si="94"/>
        <v>-5</v>
      </c>
    </row>
    <row r="1215" customHeight="1" spans="1:17">
      <c r="B1215" s="2">
        <v>1214</v>
      </c>
      <c r="C1215" s="3">
        <f t="shared" si="95"/>
        <v>49.5</v>
      </c>
      <c r="D1215" s="2" t="s">
        <v>1648</v>
      </c>
      <c r="E1215" s="12">
        <v>60</v>
      </c>
      <c r="F1215" s="2">
        <v>45</v>
      </c>
      <c r="G1215" s="2">
        <v>35</v>
      </c>
      <c r="H1215" s="2" t="s">
        <v>41</v>
      </c>
      <c r="I1215" s="2" t="s">
        <v>1195</v>
      </c>
      <c r="J1215" s="4" t="s">
        <v>24</v>
      </c>
      <c r="M1215" s="2">
        <f t="shared" si="91"/>
        <v>75</v>
      </c>
      <c r="N1215" s="2">
        <f t="shared" si="92"/>
        <v>54.5</v>
      </c>
      <c r="O1215" s="2">
        <f>IF(M1215="","",IF(M1215&gt;=1000,95,IF(M1215&lt;=12.5,50,LOOKUP(M1215,{12.5,15,20,30,45,60,75,105,115,150,200,225,250,600,1000},{50,55,60,62,65,68,70,72,75,80,82,85,87,90,95})+(M1215-LOOKUP(M1215,{12.5,15,20,30,45,60,75,105,115,150,200,225,250,600},{12.5,15,20,30,45,60,75,105,115,150,200,225,250,600}))/(LOOKUP(M1215,{12.5,15,20,30,45,60,75,105,115,150,200,225,250,600,1000},{15,20,30,45,60,75,105,115,150,200,225,250,600,1000,1000})-LOOKUP(M1215,{12.5,15,20,30,45,60,75,105,115,150,200,225,250,600},{12.5,15,20,30,45,60,75,105,115,150,200,225,250,600}))*(LOOKUP(M1215,{12.5,15,20,30,45,60,75,105,115,150,200,225,250,600,1000},{55,60,62,65,68,70,72,75,80,82,85,87,90,95,95})-LOOKUP(M1215,{12.5,15,20,30,45,60,75,105,115,150,200,225,250,600,1000},{50,55,60,62,65,68,70,72,75,80,82,85,87,90,95})))))</f>
        <v>70</v>
      </c>
      <c r="P1215" s="2">
        <f t="shared" si="93"/>
        <v>-10</v>
      </c>
      <c r="Q1215" s="2">
        <f t="shared" si="94"/>
        <v>-5</v>
      </c>
    </row>
    <row r="1216" customHeight="1" spans="1:17">
      <c r="B1216" s="2">
        <v>1215</v>
      </c>
      <c r="C1216" s="3">
        <f t="shared" si="95"/>
        <v>49.43</v>
      </c>
      <c r="D1216" s="2" t="s">
        <v>1649</v>
      </c>
      <c r="E1216" s="2">
        <v>52</v>
      </c>
      <c r="F1216" s="9">
        <v>72</v>
      </c>
      <c r="G1216" s="12">
        <v>63</v>
      </c>
      <c r="H1216" s="2" t="s">
        <v>189</v>
      </c>
      <c r="I1216" s="2" t="s">
        <v>42</v>
      </c>
      <c r="J1216" s="4" t="s">
        <v>24</v>
      </c>
      <c r="M1216" s="2">
        <f t="shared" si="91"/>
        <v>75</v>
      </c>
      <c r="N1216" s="2">
        <f t="shared" si="92"/>
        <v>57.1</v>
      </c>
      <c r="O1216" s="2">
        <f>IF(M1216="","",IF(M1216&gt;=1000,95,IF(M1216&lt;=12.5,50,LOOKUP(M1216,{12.5,15,20,30,45,60,75,105,115,150,200,225,250,600,1000},{50,55,60,62,65,68,70,72,75,80,82,85,87,90,95})+(M1216-LOOKUP(M1216,{12.5,15,20,30,45,60,75,105,115,150,200,225,250,600},{12.5,15,20,30,45,60,75,105,115,150,200,225,250,600}))/(LOOKUP(M1216,{12.5,15,20,30,45,60,75,105,115,150,200,225,250,600,1000},{15,20,30,45,60,75,105,115,150,200,225,250,600,1000,1000})-LOOKUP(M1216,{12.5,15,20,30,45,60,75,105,115,150,200,225,250,600},{12.5,15,20,30,45,60,75,105,115,150,200,225,250,600}))*(LOOKUP(M1216,{12.5,15,20,30,45,60,75,105,115,150,200,225,250,600,1000},{55,60,62,65,68,70,72,75,80,82,85,87,90,95,95})-LOOKUP(M1216,{12.5,15,20,30,45,60,75,105,115,150,200,225,250,600,1000},{50,55,60,62,65,68,70,72,75,80,82,85,87,90,95})))))</f>
        <v>70</v>
      </c>
      <c r="P1216" s="2">
        <f t="shared" si="93"/>
        <v>-18</v>
      </c>
      <c r="Q1216" s="2">
        <f t="shared" si="94"/>
        <v>-7.67</v>
      </c>
    </row>
    <row r="1217" customHeight="1" spans="1:17">
      <c r="B1217" s="2">
        <v>1216</v>
      </c>
      <c r="C1217" s="3">
        <f t="shared" si="95"/>
        <v>49.4</v>
      </c>
      <c r="D1217" s="2" t="s">
        <v>1650</v>
      </c>
      <c r="E1217" s="2">
        <v>55</v>
      </c>
      <c r="F1217" s="10">
        <v>86</v>
      </c>
      <c r="G1217" s="10">
        <v>87</v>
      </c>
      <c r="H1217" s="2" t="s">
        <v>37</v>
      </c>
      <c r="I1217" s="2" t="s">
        <v>159</v>
      </c>
      <c r="J1217" s="4" t="s">
        <v>43</v>
      </c>
      <c r="M1217" s="2">
        <f t="shared" si="91"/>
        <v>1000</v>
      </c>
      <c r="N1217" s="2">
        <f t="shared" si="92"/>
        <v>64.4</v>
      </c>
      <c r="O1217" s="2">
        <f>IF(M1217="","",IF(M1217&gt;=1000,95,IF(M1217&lt;=12.5,50,LOOKUP(M1217,{12.5,15,20,30,45,60,75,105,115,150,200,225,250,600,1000},{50,55,60,62,65,68,70,72,75,80,82,85,87,90,95})+(M1217-LOOKUP(M1217,{12.5,15,20,30,45,60,75,105,115,150,200,225,250,600},{12.5,15,20,30,45,60,75,105,115,150,200,225,250,600}))/(LOOKUP(M1217,{12.5,15,20,30,45,60,75,105,115,150,200,225,250,600,1000},{15,20,30,45,60,75,105,115,150,200,225,250,600,1000,1000})-LOOKUP(M1217,{12.5,15,20,30,45,60,75,105,115,150,200,225,250,600},{12.5,15,20,30,45,60,75,105,115,150,200,225,250,600}))*(LOOKUP(M1217,{12.5,15,20,30,45,60,75,105,115,150,200,225,250,600,1000},{55,60,62,65,68,70,72,75,80,82,85,87,90,95,95})-LOOKUP(M1217,{12.5,15,20,30,45,60,75,105,115,150,200,225,250,600,1000},{50,55,60,62,65,68,70,72,75,80,82,85,87,90,95})))))</f>
        <v>95</v>
      </c>
      <c r="P1217" s="2">
        <f t="shared" si="93"/>
        <v>-40</v>
      </c>
      <c r="Q1217" s="2">
        <f t="shared" si="94"/>
        <v>-15</v>
      </c>
    </row>
    <row r="1218" customHeight="1" spans="1:17">
      <c r="B1218" s="2">
        <v>1217</v>
      </c>
      <c r="C1218" s="3">
        <f t="shared" si="95"/>
        <v>49.34</v>
      </c>
      <c r="D1218" s="2" t="s">
        <v>1651</v>
      </c>
      <c r="E1218" s="2">
        <v>57</v>
      </c>
      <c r="F1218" s="9">
        <v>75</v>
      </c>
      <c r="G1218" s="9">
        <v>71</v>
      </c>
      <c r="H1218" s="2" t="s">
        <v>66</v>
      </c>
      <c r="I1218" s="2" t="s">
        <v>159</v>
      </c>
      <c r="J1218" s="4" t="s">
        <v>73</v>
      </c>
      <c r="M1218" s="2">
        <f t="shared" ref="M1218:M1281" si="96">IF(J1218="1000+",1000,(LEFT(J1218,FIND("-",J1218)-1)+RIGHT(J1218,LEN(J1218)-FIND("-",J1218)))/2)</f>
        <v>600</v>
      </c>
      <c r="N1218" s="2">
        <f t="shared" ref="N1218:N1281" si="97">ROUND(E1218*0.7+F1218*0.2+G1218*0.1,2)</f>
        <v>62</v>
      </c>
      <c r="O1218" s="2">
        <f>IF(M1218="","",IF(M1218&gt;=1000,95,IF(M1218&lt;=12.5,50,LOOKUP(M1218,{12.5,15,20,30,45,60,75,105,115,150,200,225,250,600,1000},{50,55,60,62,65,68,70,72,75,80,82,85,87,90,95})+(M1218-LOOKUP(M1218,{12.5,15,20,30,45,60,75,105,115,150,200,225,250,600},{12.5,15,20,30,45,60,75,105,115,150,200,225,250,600}))/(LOOKUP(M1218,{12.5,15,20,30,45,60,75,105,115,150,200,225,250,600,1000},{15,20,30,45,60,75,105,115,150,200,225,250,600,1000,1000})-LOOKUP(M1218,{12.5,15,20,30,45,60,75,105,115,150,200,225,250,600},{12.5,15,20,30,45,60,75,105,115,150,200,225,250,600}))*(LOOKUP(M1218,{12.5,15,20,30,45,60,75,105,115,150,200,225,250,600,1000},{55,60,62,65,68,70,72,75,80,82,85,87,90,95,95})-LOOKUP(M1218,{12.5,15,20,30,45,60,75,105,115,150,200,225,250,600,1000},{50,55,60,62,65,68,70,72,75,80,82,85,87,90,95})))))</f>
        <v>90</v>
      </c>
      <c r="P1218" s="2">
        <f t="shared" si="93"/>
        <v>-33</v>
      </c>
      <c r="Q1218" s="2">
        <f t="shared" si="94"/>
        <v>-12.66</v>
      </c>
    </row>
    <row r="1219" customHeight="1" spans="1:17">
      <c r="B1219" s="2">
        <v>1218</v>
      </c>
      <c r="C1219" s="3">
        <f t="shared" si="95"/>
        <v>49.3</v>
      </c>
      <c r="D1219" s="2" t="s">
        <v>1652</v>
      </c>
      <c r="E1219" s="2">
        <v>50</v>
      </c>
      <c r="F1219" s="2">
        <v>50</v>
      </c>
      <c r="G1219" s="2">
        <v>43</v>
      </c>
      <c r="H1219" s="2" t="s">
        <v>91</v>
      </c>
      <c r="I1219" s="2" t="s">
        <v>503</v>
      </c>
      <c r="J1219" s="4" t="s">
        <v>77</v>
      </c>
      <c r="M1219" s="2">
        <f t="shared" si="96"/>
        <v>12.5</v>
      </c>
      <c r="N1219" s="2">
        <f t="shared" si="97"/>
        <v>49.3</v>
      </c>
      <c r="O1219" s="2">
        <f>IF(M1219="","",IF(M1219&gt;=1000,95,IF(M1219&lt;=12.5,50,LOOKUP(M1219,{12.5,15,20,30,45,60,75,105,115,150,200,225,250,600,1000},{50,55,60,62,65,68,70,72,75,80,82,85,87,90,95})+(M1219-LOOKUP(M1219,{12.5,15,20,30,45,60,75,105,115,150,200,225,250,600},{12.5,15,20,30,45,60,75,105,115,150,200,225,250,600}))/(LOOKUP(M1219,{12.5,15,20,30,45,60,75,105,115,150,200,225,250,600,1000},{15,20,30,45,60,75,105,115,150,200,225,250,600,1000,1000})-LOOKUP(M1219,{12.5,15,20,30,45,60,75,105,115,150,200,225,250,600},{12.5,15,20,30,45,60,75,105,115,150,200,225,250,600}))*(LOOKUP(M1219,{12.5,15,20,30,45,60,75,105,115,150,200,225,250,600,1000},{55,60,62,65,68,70,72,75,80,82,85,87,90,95,95})-LOOKUP(M1219,{12.5,15,20,30,45,60,75,105,115,150,200,225,250,600,1000},{50,55,60,62,65,68,70,72,75,80,82,85,87,90,95})))))</f>
        <v>50</v>
      </c>
      <c r="P1219" s="2">
        <f t="shared" si="93"/>
        <v>0</v>
      </c>
      <c r="Q1219" s="2">
        <f t="shared" si="94"/>
        <v>0</v>
      </c>
    </row>
    <row r="1220" customHeight="1" spans="1:17">
      <c r="B1220" s="2">
        <v>1219</v>
      </c>
      <c r="C1220" s="3">
        <f t="shared" si="95"/>
        <v>49.26</v>
      </c>
      <c r="D1220" s="2" t="s">
        <v>1653</v>
      </c>
      <c r="E1220" s="2">
        <v>56</v>
      </c>
      <c r="F1220" s="2">
        <v>56</v>
      </c>
      <c r="G1220" s="2">
        <v>52</v>
      </c>
      <c r="H1220" s="2" t="s">
        <v>46</v>
      </c>
      <c r="I1220" s="2" t="s">
        <v>33</v>
      </c>
      <c r="J1220" s="4" t="s">
        <v>24</v>
      </c>
      <c r="M1220" s="2">
        <f t="shared" si="96"/>
        <v>75</v>
      </c>
      <c r="N1220" s="2">
        <f t="shared" si="97"/>
        <v>55.6</v>
      </c>
      <c r="O1220" s="2">
        <f>IF(M1220="","",IF(M1220&gt;=1000,95,IF(M1220&lt;=12.5,50,LOOKUP(M1220,{12.5,15,20,30,45,60,75,105,115,150,200,225,250,600,1000},{50,55,60,62,65,68,70,72,75,80,82,85,87,90,95})+(M1220-LOOKUP(M1220,{12.5,15,20,30,45,60,75,105,115,150,200,225,250,600},{12.5,15,20,30,45,60,75,105,115,150,200,225,250,600}))/(LOOKUP(M1220,{12.5,15,20,30,45,60,75,105,115,150,200,225,250,600,1000},{15,20,30,45,60,75,105,115,150,200,225,250,600,1000,1000})-LOOKUP(M1220,{12.5,15,20,30,45,60,75,105,115,150,200,225,250,600},{12.5,15,20,30,45,60,75,105,115,150,200,225,250,600}))*(LOOKUP(M1220,{12.5,15,20,30,45,60,75,105,115,150,200,225,250,600,1000},{55,60,62,65,68,70,72,75,80,82,85,87,90,95,95})-LOOKUP(M1220,{12.5,15,20,30,45,60,75,105,115,150,200,225,250,600,1000},{50,55,60,62,65,68,70,72,75,80,82,85,87,90,95})))))</f>
        <v>70</v>
      </c>
      <c r="P1220" s="2">
        <f t="shared" si="93"/>
        <v>-14</v>
      </c>
      <c r="Q1220" s="2">
        <f t="shared" si="94"/>
        <v>-6.34</v>
      </c>
    </row>
    <row r="1221" customHeight="1" spans="1:17">
      <c r="B1221" s="2">
        <v>1220</v>
      </c>
      <c r="C1221" s="3">
        <f t="shared" si="95"/>
        <v>49.23</v>
      </c>
      <c r="D1221" s="2" t="s">
        <v>1654</v>
      </c>
      <c r="E1221" s="2">
        <v>55</v>
      </c>
      <c r="F1221" s="2">
        <v>58</v>
      </c>
      <c r="G1221" s="2">
        <v>58</v>
      </c>
      <c r="H1221" s="2" t="s">
        <v>175</v>
      </c>
      <c r="I1221" s="2" t="s">
        <v>503</v>
      </c>
      <c r="J1221" s="4" t="s">
        <v>24</v>
      </c>
      <c r="M1221" s="2">
        <f t="shared" si="96"/>
        <v>75</v>
      </c>
      <c r="N1221" s="2">
        <f t="shared" si="97"/>
        <v>55.9</v>
      </c>
      <c r="O1221" s="2">
        <f>IF(M1221="","",IF(M1221&gt;=1000,95,IF(M1221&lt;=12.5,50,LOOKUP(M1221,{12.5,15,20,30,45,60,75,105,115,150,200,225,250,600,1000},{50,55,60,62,65,68,70,72,75,80,82,85,87,90,95})+(M1221-LOOKUP(M1221,{12.5,15,20,30,45,60,75,105,115,150,200,225,250,600},{12.5,15,20,30,45,60,75,105,115,150,200,225,250,600}))/(LOOKUP(M1221,{12.5,15,20,30,45,60,75,105,115,150,200,225,250,600,1000},{15,20,30,45,60,75,105,115,150,200,225,250,600,1000,1000})-LOOKUP(M1221,{12.5,15,20,30,45,60,75,105,115,150,200,225,250,600},{12.5,15,20,30,45,60,75,105,115,150,200,225,250,600}))*(LOOKUP(M1221,{12.5,15,20,30,45,60,75,105,115,150,200,225,250,600,1000},{55,60,62,65,68,70,72,75,80,82,85,87,90,95,95})-LOOKUP(M1221,{12.5,15,20,30,45,60,75,105,115,150,200,225,250,600,1000},{50,55,60,62,65,68,70,72,75,80,82,85,87,90,95})))))</f>
        <v>70</v>
      </c>
      <c r="P1221" s="2">
        <f t="shared" si="93"/>
        <v>-15</v>
      </c>
      <c r="Q1221" s="2">
        <f t="shared" si="94"/>
        <v>-6.67</v>
      </c>
    </row>
    <row r="1222" customHeight="1" spans="1:17">
      <c r="A1222" s="2">
        <v>2026</v>
      </c>
      <c r="B1222" s="2">
        <v>1221</v>
      </c>
      <c r="C1222" s="3">
        <f t="shared" si="95"/>
        <v>49.2</v>
      </c>
      <c r="D1222" s="2" t="s">
        <v>1655</v>
      </c>
      <c r="E1222" s="2">
        <v>52</v>
      </c>
      <c r="F1222" s="2">
        <v>58</v>
      </c>
      <c r="G1222" s="2">
        <v>52</v>
      </c>
      <c r="H1222" s="2" t="s">
        <v>378</v>
      </c>
      <c r="I1222" s="2" t="s">
        <v>28</v>
      </c>
      <c r="J1222" s="4" t="s">
        <v>140</v>
      </c>
      <c r="M1222" s="2">
        <f t="shared" si="96"/>
        <v>20</v>
      </c>
      <c r="N1222" s="2">
        <f t="shared" si="97"/>
        <v>53.2</v>
      </c>
      <c r="O1222" s="2">
        <f>IF(M1222="","",IF(M1222&gt;=1000,95,IF(M1222&lt;=12.5,50,LOOKUP(M1222,{12.5,15,20,30,45,60,75,105,115,150,200,225,250,600,1000},{50,55,60,62,65,68,70,72,75,80,82,85,87,90,95})+(M1222-LOOKUP(M1222,{12.5,15,20,30,45,60,75,105,115,150,200,225,250,600},{12.5,15,20,30,45,60,75,105,115,150,200,225,250,600}))/(LOOKUP(M1222,{12.5,15,20,30,45,60,75,105,115,150,200,225,250,600,1000},{15,20,30,45,60,75,105,115,150,200,225,250,600,1000,1000})-LOOKUP(M1222,{12.5,15,20,30,45,60,75,105,115,150,200,225,250,600},{12.5,15,20,30,45,60,75,105,115,150,200,225,250,600}))*(LOOKUP(M1222,{12.5,15,20,30,45,60,75,105,115,150,200,225,250,600,1000},{55,60,62,65,68,70,72,75,80,82,85,87,90,95,95})-LOOKUP(M1222,{12.5,15,20,30,45,60,75,105,115,150,200,225,250,600,1000},{50,55,60,62,65,68,70,72,75,80,82,85,87,90,95})))))</f>
        <v>60</v>
      </c>
      <c r="P1222" s="2">
        <f t="shared" ref="P1222:P1285" si="98">E1222-O1222</f>
        <v>-8</v>
      </c>
      <c r="Q1222" s="2">
        <f t="shared" ref="Q1222:Q1285" si="99">ROUND(SIGN(P1222)*IF(ABS(P1222)&lt;=10,ABS(P1222)*0.5,IF(ABS(P1222)&lt;=15,5+(ABS(P1222)-10)*(1.67/5),6.67+(ABS(P1222)-15)*0.333)),2)</f>
        <v>-4</v>
      </c>
    </row>
    <row r="1223" customHeight="1" spans="1:17">
      <c r="B1223" s="2">
        <v>1222</v>
      </c>
      <c r="C1223" s="3">
        <f t="shared" si="95"/>
        <v>49.2</v>
      </c>
      <c r="D1223" s="2" t="s">
        <v>1656</v>
      </c>
      <c r="E1223" s="2">
        <v>54</v>
      </c>
      <c r="F1223" s="2">
        <v>50</v>
      </c>
      <c r="G1223" s="2">
        <v>44</v>
      </c>
      <c r="H1223" s="2" t="s">
        <v>17</v>
      </c>
      <c r="I1223" s="2" t="s">
        <v>503</v>
      </c>
      <c r="J1223" s="4" t="s">
        <v>140</v>
      </c>
      <c r="M1223" s="2">
        <f t="shared" si="96"/>
        <v>20</v>
      </c>
      <c r="N1223" s="2">
        <f t="shared" si="97"/>
        <v>52.2</v>
      </c>
      <c r="O1223" s="2">
        <f>IF(M1223="","",IF(M1223&gt;=1000,95,IF(M1223&lt;=12.5,50,LOOKUP(M1223,{12.5,15,20,30,45,60,75,105,115,150,200,225,250,600,1000},{50,55,60,62,65,68,70,72,75,80,82,85,87,90,95})+(M1223-LOOKUP(M1223,{12.5,15,20,30,45,60,75,105,115,150,200,225,250,600},{12.5,15,20,30,45,60,75,105,115,150,200,225,250,600}))/(LOOKUP(M1223,{12.5,15,20,30,45,60,75,105,115,150,200,225,250,600,1000},{15,20,30,45,60,75,105,115,150,200,225,250,600,1000,1000})-LOOKUP(M1223,{12.5,15,20,30,45,60,75,105,115,150,200,225,250,600},{12.5,15,20,30,45,60,75,105,115,150,200,225,250,600}))*(LOOKUP(M1223,{12.5,15,20,30,45,60,75,105,115,150,200,225,250,600,1000},{55,60,62,65,68,70,72,75,80,82,85,87,90,95,95})-LOOKUP(M1223,{12.5,15,20,30,45,60,75,105,115,150,200,225,250,600,1000},{50,55,60,62,65,68,70,72,75,80,82,85,87,90,95})))))</f>
        <v>60</v>
      </c>
      <c r="P1223" s="2">
        <f t="shared" si="98"/>
        <v>-6</v>
      </c>
      <c r="Q1223" s="2">
        <f t="shared" si="99"/>
        <v>-3</v>
      </c>
    </row>
    <row r="1224" customHeight="1" spans="1:17">
      <c r="A1224" s="2">
        <v>2026</v>
      </c>
      <c r="B1224" s="2">
        <v>1223</v>
      </c>
      <c r="C1224" s="3">
        <f t="shared" si="95"/>
        <v>49.03</v>
      </c>
      <c r="D1224" s="2" t="s">
        <v>1657</v>
      </c>
      <c r="E1224" s="2">
        <v>56</v>
      </c>
      <c r="F1224" s="2">
        <v>58</v>
      </c>
      <c r="G1224" s="2">
        <v>39</v>
      </c>
      <c r="H1224" s="2" t="s">
        <v>135</v>
      </c>
      <c r="I1224" s="2" t="s">
        <v>104</v>
      </c>
      <c r="J1224" s="4" t="s">
        <v>34</v>
      </c>
      <c r="M1224" s="2">
        <f t="shared" si="96"/>
        <v>60</v>
      </c>
      <c r="N1224" s="2">
        <f t="shared" si="97"/>
        <v>54.7</v>
      </c>
      <c r="O1224" s="2">
        <f>IF(M1224="","",IF(M1224&gt;=1000,95,IF(M1224&lt;=12.5,50,LOOKUP(M1224,{12.5,15,20,30,45,60,75,105,115,150,200,225,250,600,1000},{50,55,60,62,65,68,70,72,75,80,82,85,87,90,95})+(M1224-LOOKUP(M1224,{12.5,15,20,30,45,60,75,105,115,150,200,225,250,600},{12.5,15,20,30,45,60,75,105,115,150,200,225,250,600}))/(LOOKUP(M1224,{12.5,15,20,30,45,60,75,105,115,150,200,225,250,600,1000},{15,20,30,45,60,75,105,115,150,200,225,250,600,1000,1000})-LOOKUP(M1224,{12.5,15,20,30,45,60,75,105,115,150,200,225,250,600},{12.5,15,20,30,45,60,75,105,115,150,200,225,250,600}))*(LOOKUP(M1224,{12.5,15,20,30,45,60,75,105,115,150,200,225,250,600,1000},{55,60,62,65,68,70,72,75,80,82,85,87,90,95,95})-LOOKUP(M1224,{12.5,15,20,30,45,60,75,105,115,150,200,225,250,600,1000},{50,55,60,62,65,68,70,72,75,80,82,85,87,90,95})))))</f>
        <v>68</v>
      </c>
      <c r="P1224" s="2">
        <f t="shared" si="98"/>
        <v>-12</v>
      </c>
      <c r="Q1224" s="2">
        <f t="shared" si="99"/>
        <v>-5.67</v>
      </c>
    </row>
    <row r="1225" customHeight="1" spans="1:17">
      <c r="A1225" s="2">
        <v>2026</v>
      </c>
      <c r="B1225" s="2">
        <v>1224</v>
      </c>
      <c r="C1225" s="3">
        <f t="shared" si="95"/>
        <v>49</v>
      </c>
      <c r="D1225" s="2" t="s">
        <v>1658</v>
      </c>
      <c r="E1225" s="2">
        <v>53</v>
      </c>
      <c r="F1225" s="2">
        <v>57</v>
      </c>
      <c r="G1225" s="2">
        <v>50</v>
      </c>
      <c r="H1225" s="2" t="s">
        <v>54</v>
      </c>
      <c r="I1225" s="2" t="s">
        <v>28</v>
      </c>
      <c r="J1225" s="4" t="s">
        <v>88</v>
      </c>
      <c r="M1225" s="2">
        <f t="shared" si="96"/>
        <v>30</v>
      </c>
      <c r="N1225" s="2">
        <f t="shared" si="97"/>
        <v>53.5</v>
      </c>
      <c r="O1225" s="2">
        <f>IF(M1225="","",IF(M1225&gt;=1000,95,IF(M1225&lt;=12.5,50,LOOKUP(M1225,{12.5,15,20,30,45,60,75,105,115,150,200,225,250,600,1000},{50,55,60,62,65,68,70,72,75,80,82,85,87,90,95})+(M1225-LOOKUP(M1225,{12.5,15,20,30,45,60,75,105,115,150,200,225,250,600},{12.5,15,20,30,45,60,75,105,115,150,200,225,250,600}))/(LOOKUP(M1225,{12.5,15,20,30,45,60,75,105,115,150,200,225,250,600,1000},{15,20,30,45,60,75,105,115,150,200,225,250,600,1000,1000})-LOOKUP(M1225,{12.5,15,20,30,45,60,75,105,115,150,200,225,250,600},{12.5,15,20,30,45,60,75,105,115,150,200,225,250,600}))*(LOOKUP(M1225,{12.5,15,20,30,45,60,75,105,115,150,200,225,250,600,1000},{55,60,62,65,68,70,72,75,80,82,85,87,90,95,95})-LOOKUP(M1225,{12.5,15,20,30,45,60,75,105,115,150,200,225,250,600,1000},{50,55,60,62,65,68,70,72,75,80,82,85,87,90,95})))))</f>
        <v>62</v>
      </c>
      <c r="P1225" s="2">
        <f t="shared" si="98"/>
        <v>-9</v>
      </c>
      <c r="Q1225" s="2">
        <f t="shared" si="99"/>
        <v>-4.5</v>
      </c>
    </row>
    <row r="1226" customHeight="1" spans="1:17">
      <c r="A1226" s="2">
        <v>2026</v>
      </c>
      <c r="B1226" s="2">
        <v>1225</v>
      </c>
      <c r="C1226" s="3">
        <f t="shared" si="95"/>
        <v>49</v>
      </c>
      <c r="D1226" s="2" t="s">
        <v>1659</v>
      </c>
      <c r="E1226" s="2">
        <v>52</v>
      </c>
      <c r="F1226" s="12">
        <v>62</v>
      </c>
      <c r="G1226" s="2">
        <v>52</v>
      </c>
      <c r="H1226" s="2" t="s">
        <v>54</v>
      </c>
      <c r="I1226" s="2" t="s">
        <v>28</v>
      </c>
      <c r="J1226" s="4" t="s">
        <v>88</v>
      </c>
      <c r="M1226" s="2">
        <f t="shared" si="96"/>
        <v>30</v>
      </c>
      <c r="N1226" s="2">
        <f t="shared" si="97"/>
        <v>54</v>
      </c>
      <c r="O1226" s="2">
        <f>IF(M1226="","",IF(M1226&gt;=1000,95,IF(M1226&lt;=12.5,50,LOOKUP(M1226,{12.5,15,20,30,45,60,75,105,115,150,200,225,250,600,1000},{50,55,60,62,65,68,70,72,75,80,82,85,87,90,95})+(M1226-LOOKUP(M1226,{12.5,15,20,30,45,60,75,105,115,150,200,225,250,600},{12.5,15,20,30,45,60,75,105,115,150,200,225,250,600}))/(LOOKUP(M1226,{12.5,15,20,30,45,60,75,105,115,150,200,225,250,600,1000},{15,20,30,45,60,75,105,115,150,200,225,250,600,1000,1000})-LOOKUP(M1226,{12.5,15,20,30,45,60,75,105,115,150,200,225,250,600},{12.5,15,20,30,45,60,75,105,115,150,200,225,250,600}))*(LOOKUP(M1226,{12.5,15,20,30,45,60,75,105,115,150,200,225,250,600,1000},{55,60,62,65,68,70,72,75,80,82,85,87,90,95,95})-LOOKUP(M1226,{12.5,15,20,30,45,60,75,105,115,150,200,225,250,600,1000},{50,55,60,62,65,68,70,72,75,80,82,85,87,90,95})))))</f>
        <v>62</v>
      </c>
      <c r="P1226" s="2">
        <f t="shared" si="98"/>
        <v>-10</v>
      </c>
      <c r="Q1226" s="2">
        <f t="shared" si="99"/>
        <v>-5</v>
      </c>
    </row>
    <row r="1227" customHeight="1" spans="1:17">
      <c r="B1227" s="2">
        <v>1226</v>
      </c>
      <c r="C1227" s="3">
        <f t="shared" si="95"/>
        <v>49</v>
      </c>
      <c r="D1227" s="2" t="s">
        <v>1660</v>
      </c>
      <c r="E1227" s="12">
        <v>61</v>
      </c>
      <c r="F1227" s="2">
        <v>54</v>
      </c>
      <c r="G1227" s="2">
        <v>35</v>
      </c>
      <c r="H1227" s="2" t="s">
        <v>421</v>
      </c>
      <c r="I1227" s="2" t="s">
        <v>1661</v>
      </c>
      <c r="J1227" s="4" t="s">
        <v>59</v>
      </c>
      <c r="M1227" s="2">
        <f t="shared" si="96"/>
        <v>150</v>
      </c>
      <c r="N1227" s="2">
        <f t="shared" si="97"/>
        <v>57</v>
      </c>
      <c r="O1227" s="2">
        <f>IF(M1227="","",IF(M1227&gt;=1000,95,IF(M1227&lt;=12.5,50,LOOKUP(M1227,{12.5,15,20,30,45,60,75,105,115,150,200,225,250,600,1000},{50,55,60,62,65,68,70,72,75,80,82,85,87,90,95})+(M1227-LOOKUP(M1227,{12.5,15,20,30,45,60,75,105,115,150,200,225,250,600},{12.5,15,20,30,45,60,75,105,115,150,200,225,250,600}))/(LOOKUP(M1227,{12.5,15,20,30,45,60,75,105,115,150,200,225,250,600,1000},{15,20,30,45,60,75,105,115,150,200,225,250,600,1000,1000})-LOOKUP(M1227,{12.5,15,20,30,45,60,75,105,115,150,200,225,250,600},{12.5,15,20,30,45,60,75,105,115,150,200,225,250,600}))*(LOOKUP(M1227,{12.5,15,20,30,45,60,75,105,115,150,200,225,250,600,1000},{55,60,62,65,68,70,72,75,80,82,85,87,90,95,95})-LOOKUP(M1227,{12.5,15,20,30,45,60,75,105,115,150,200,225,250,600,1000},{50,55,60,62,65,68,70,72,75,80,82,85,87,90,95})))))</f>
        <v>80</v>
      </c>
      <c r="P1227" s="2">
        <f t="shared" si="98"/>
        <v>-19</v>
      </c>
      <c r="Q1227" s="2">
        <f t="shared" si="99"/>
        <v>-8</v>
      </c>
    </row>
    <row r="1228" customHeight="1" spans="1:17">
      <c r="B1228" s="2">
        <v>1227</v>
      </c>
      <c r="C1228" s="3">
        <f t="shared" si="95"/>
        <v>48.96</v>
      </c>
      <c r="D1228" s="2" t="s">
        <v>1662</v>
      </c>
      <c r="E1228" s="12">
        <v>60</v>
      </c>
      <c r="F1228" s="2">
        <v>59</v>
      </c>
      <c r="G1228" s="2">
        <v>35</v>
      </c>
      <c r="H1228" s="2" t="s">
        <v>573</v>
      </c>
      <c r="I1228" s="2" t="s">
        <v>63</v>
      </c>
      <c r="J1228" s="4" t="s">
        <v>59</v>
      </c>
      <c r="M1228" s="2">
        <f t="shared" si="96"/>
        <v>150</v>
      </c>
      <c r="N1228" s="2">
        <f t="shared" si="97"/>
        <v>57.3</v>
      </c>
      <c r="O1228" s="2">
        <f>IF(M1228="","",IF(M1228&gt;=1000,95,IF(M1228&lt;=12.5,50,LOOKUP(M1228,{12.5,15,20,30,45,60,75,105,115,150,200,225,250,600,1000},{50,55,60,62,65,68,70,72,75,80,82,85,87,90,95})+(M1228-LOOKUP(M1228,{12.5,15,20,30,45,60,75,105,115,150,200,225,250,600},{12.5,15,20,30,45,60,75,105,115,150,200,225,250,600}))/(LOOKUP(M1228,{12.5,15,20,30,45,60,75,105,115,150,200,225,250,600,1000},{15,20,30,45,60,75,105,115,150,200,225,250,600,1000,1000})-LOOKUP(M1228,{12.5,15,20,30,45,60,75,105,115,150,200,225,250,600},{12.5,15,20,30,45,60,75,105,115,150,200,225,250,600}))*(LOOKUP(M1228,{12.5,15,20,30,45,60,75,105,115,150,200,225,250,600,1000},{55,60,62,65,68,70,72,75,80,82,85,87,90,95,95})-LOOKUP(M1228,{12.5,15,20,30,45,60,75,105,115,150,200,225,250,600,1000},{50,55,60,62,65,68,70,72,75,80,82,85,87,90,95})))))</f>
        <v>80</v>
      </c>
      <c r="P1228" s="2">
        <f t="shared" si="98"/>
        <v>-20</v>
      </c>
      <c r="Q1228" s="2">
        <f t="shared" si="99"/>
        <v>-8.34</v>
      </c>
    </row>
    <row r="1229" customHeight="1" spans="1:17">
      <c r="B1229" s="2">
        <v>1228</v>
      </c>
      <c r="C1229" s="3">
        <f t="shared" si="95"/>
        <v>48.9</v>
      </c>
      <c r="D1229" s="2" t="s">
        <v>1663</v>
      </c>
      <c r="E1229" s="2">
        <v>51</v>
      </c>
      <c r="F1229" s="10">
        <v>89</v>
      </c>
      <c r="G1229" s="9">
        <v>74</v>
      </c>
      <c r="H1229" s="2" t="s">
        <v>32</v>
      </c>
      <c r="I1229" s="2" t="s">
        <v>159</v>
      </c>
      <c r="J1229" s="4" t="s">
        <v>51</v>
      </c>
      <c r="M1229" s="2">
        <f t="shared" si="96"/>
        <v>200</v>
      </c>
      <c r="N1229" s="2">
        <f t="shared" si="97"/>
        <v>60.9</v>
      </c>
      <c r="O1229" s="2">
        <f>IF(M1229="","",IF(M1229&gt;=1000,95,IF(M1229&lt;=12.5,50,LOOKUP(M1229,{12.5,15,20,30,45,60,75,105,115,150,200,225,250,600,1000},{50,55,60,62,65,68,70,72,75,80,82,85,87,90,95})+(M1229-LOOKUP(M1229,{12.5,15,20,30,45,60,75,105,115,150,200,225,250,600},{12.5,15,20,30,45,60,75,105,115,150,200,225,250,600}))/(LOOKUP(M1229,{12.5,15,20,30,45,60,75,105,115,150,200,225,250,600,1000},{15,20,30,45,60,75,105,115,150,200,225,250,600,1000,1000})-LOOKUP(M1229,{12.5,15,20,30,45,60,75,105,115,150,200,225,250,600},{12.5,15,20,30,45,60,75,105,115,150,200,225,250,600}))*(LOOKUP(M1229,{12.5,15,20,30,45,60,75,105,115,150,200,225,250,600,1000},{55,60,62,65,68,70,72,75,80,82,85,87,90,95,95})-LOOKUP(M1229,{12.5,15,20,30,45,60,75,105,115,150,200,225,250,600,1000},{50,55,60,62,65,68,70,72,75,80,82,85,87,90,95})))))</f>
        <v>82</v>
      </c>
      <c r="P1229" s="2">
        <f t="shared" si="98"/>
        <v>-31</v>
      </c>
      <c r="Q1229" s="2">
        <f t="shared" si="99"/>
        <v>-12</v>
      </c>
    </row>
    <row r="1230" customHeight="1" spans="1:17">
      <c r="B1230" s="2">
        <v>1229</v>
      </c>
      <c r="C1230" s="3">
        <f t="shared" si="95"/>
        <v>48.9</v>
      </c>
      <c r="D1230" s="2" t="s">
        <v>1664</v>
      </c>
      <c r="E1230" s="2">
        <v>50</v>
      </c>
      <c r="F1230" s="2">
        <v>55</v>
      </c>
      <c r="G1230" s="2">
        <v>54</v>
      </c>
      <c r="H1230" s="2" t="s">
        <v>480</v>
      </c>
      <c r="I1230" s="2" t="s">
        <v>28</v>
      </c>
      <c r="J1230" s="4" t="s">
        <v>29</v>
      </c>
      <c r="M1230" s="2">
        <f t="shared" si="96"/>
        <v>15</v>
      </c>
      <c r="N1230" s="2">
        <f t="shared" si="97"/>
        <v>51.4</v>
      </c>
      <c r="O1230" s="2">
        <f>IF(M1230="","",IF(M1230&gt;=1000,95,IF(M1230&lt;=12.5,50,LOOKUP(M1230,{12.5,15,20,30,45,60,75,105,115,150,200,225,250,600,1000},{50,55,60,62,65,68,70,72,75,80,82,85,87,90,95})+(M1230-LOOKUP(M1230,{12.5,15,20,30,45,60,75,105,115,150,200,225,250,600},{12.5,15,20,30,45,60,75,105,115,150,200,225,250,600}))/(LOOKUP(M1230,{12.5,15,20,30,45,60,75,105,115,150,200,225,250,600,1000},{15,20,30,45,60,75,105,115,150,200,225,250,600,1000,1000})-LOOKUP(M1230,{12.5,15,20,30,45,60,75,105,115,150,200,225,250,600},{12.5,15,20,30,45,60,75,105,115,150,200,225,250,600}))*(LOOKUP(M1230,{12.5,15,20,30,45,60,75,105,115,150,200,225,250,600,1000},{55,60,62,65,68,70,72,75,80,82,85,87,90,95,95})-LOOKUP(M1230,{12.5,15,20,30,45,60,75,105,115,150,200,225,250,600,1000},{50,55,60,62,65,68,70,72,75,80,82,85,87,90,95})))))</f>
        <v>55</v>
      </c>
      <c r="P1230" s="2">
        <f t="shared" si="98"/>
        <v>-5</v>
      </c>
      <c r="Q1230" s="2">
        <f t="shared" si="99"/>
        <v>-2.5</v>
      </c>
    </row>
    <row r="1231" customHeight="1" spans="1:17">
      <c r="A1231" s="2">
        <v>2026</v>
      </c>
      <c r="B1231" s="2">
        <v>1230</v>
      </c>
      <c r="C1231" s="3">
        <f t="shared" si="95"/>
        <v>48.8</v>
      </c>
      <c r="D1231" s="2" t="s">
        <v>1665</v>
      </c>
      <c r="E1231" s="2">
        <v>57</v>
      </c>
      <c r="F1231" s="2">
        <v>57</v>
      </c>
      <c r="G1231" s="2">
        <v>35</v>
      </c>
      <c r="H1231" s="2" t="s">
        <v>135</v>
      </c>
      <c r="I1231" s="2" t="s">
        <v>104</v>
      </c>
      <c r="J1231" s="4" t="s">
        <v>24</v>
      </c>
      <c r="M1231" s="2">
        <f t="shared" si="96"/>
        <v>75</v>
      </c>
      <c r="N1231" s="2">
        <f t="shared" si="97"/>
        <v>54.8</v>
      </c>
      <c r="O1231" s="2">
        <f>IF(M1231="","",IF(M1231&gt;=1000,95,IF(M1231&lt;=12.5,50,LOOKUP(M1231,{12.5,15,20,30,45,60,75,105,115,150,200,225,250,600,1000},{50,55,60,62,65,68,70,72,75,80,82,85,87,90,95})+(M1231-LOOKUP(M1231,{12.5,15,20,30,45,60,75,105,115,150,200,225,250,600},{12.5,15,20,30,45,60,75,105,115,150,200,225,250,600}))/(LOOKUP(M1231,{12.5,15,20,30,45,60,75,105,115,150,200,225,250,600,1000},{15,20,30,45,60,75,105,115,150,200,225,250,600,1000,1000})-LOOKUP(M1231,{12.5,15,20,30,45,60,75,105,115,150,200,225,250,600},{12.5,15,20,30,45,60,75,105,115,150,200,225,250,600}))*(LOOKUP(M1231,{12.5,15,20,30,45,60,75,105,115,150,200,225,250,600,1000},{55,60,62,65,68,70,72,75,80,82,85,87,90,95,95})-LOOKUP(M1231,{12.5,15,20,30,45,60,75,105,115,150,200,225,250,600,1000},{50,55,60,62,65,68,70,72,75,80,82,85,87,90,95})))))</f>
        <v>70</v>
      </c>
      <c r="P1231" s="2">
        <f t="shared" si="98"/>
        <v>-13</v>
      </c>
      <c r="Q1231" s="2">
        <f t="shared" si="99"/>
        <v>-6</v>
      </c>
    </row>
    <row r="1232" customHeight="1" spans="1:17">
      <c r="B1232" s="2">
        <v>1231</v>
      </c>
      <c r="C1232" s="3">
        <f t="shared" si="95"/>
        <v>48.77</v>
      </c>
      <c r="D1232" s="2" t="s">
        <v>1666</v>
      </c>
      <c r="E1232" s="2">
        <v>53</v>
      </c>
      <c r="F1232" s="9">
        <v>75</v>
      </c>
      <c r="G1232" s="10">
        <v>80</v>
      </c>
      <c r="H1232" s="2" t="s">
        <v>1631</v>
      </c>
      <c r="I1232" s="2" t="s">
        <v>592</v>
      </c>
      <c r="J1232" s="4" t="s">
        <v>51</v>
      </c>
      <c r="M1232" s="2">
        <f t="shared" si="96"/>
        <v>200</v>
      </c>
      <c r="N1232" s="2">
        <f t="shared" si="97"/>
        <v>60.1</v>
      </c>
      <c r="O1232" s="2">
        <f>IF(M1232="","",IF(M1232&gt;=1000,95,IF(M1232&lt;=12.5,50,LOOKUP(M1232,{12.5,15,20,30,45,60,75,105,115,150,200,225,250,600,1000},{50,55,60,62,65,68,70,72,75,80,82,85,87,90,95})+(M1232-LOOKUP(M1232,{12.5,15,20,30,45,60,75,105,115,150,200,225,250,600},{12.5,15,20,30,45,60,75,105,115,150,200,225,250,600}))/(LOOKUP(M1232,{12.5,15,20,30,45,60,75,105,115,150,200,225,250,600,1000},{15,20,30,45,60,75,105,115,150,200,225,250,600,1000,1000})-LOOKUP(M1232,{12.5,15,20,30,45,60,75,105,115,150,200,225,250,600},{12.5,15,20,30,45,60,75,105,115,150,200,225,250,600}))*(LOOKUP(M1232,{12.5,15,20,30,45,60,75,105,115,150,200,225,250,600,1000},{55,60,62,65,68,70,72,75,80,82,85,87,90,95,95})-LOOKUP(M1232,{12.5,15,20,30,45,60,75,105,115,150,200,225,250,600,1000},{50,55,60,62,65,68,70,72,75,80,82,85,87,90,95})))))</f>
        <v>82</v>
      </c>
      <c r="P1232" s="2">
        <f t="shared" si="98"/>
        <v>-29</v>
      </c>
      <c r="Q1232" s="2">
        <f t="shared" si="99"/>
        <v>-11.33</v>
      </c>
    </row>
    <row r="1233" customHeight="1" spans="1:17">
      <c r="B1233" s="2">
        <v>1232</v>
      </c>
      <c r="C1233" s="3">
        <f t="shared" si="95"/>
        <v>48.7</v>
      </c>
      <c r="D1233" s="2" t="s">
        <v>1667</v>
      </c>
      <c r="E1233" s="2">
        <v>53</v>
      </c>
      <c r="F1233" s="2">
        <v>58</v>
      </c>
      <c r="G1233" s="8">
        <v>90</v>
      </c>
      <c r="H1233" s="2" t="s">
        <v>175</v>
      </c>
      <c r="I1233" s="2" t="s">
        <v>63</v>
      </c>
      <c r="J1233" s="4" t="s">
        <v>148</v>
      </c>
      <c r="M1233" s="2">
        <f t="shared" si="96"/>
        <v>115</v>
      </c>
      <c r="N1233" s="2">
        <f t="shared" si="97"/>
        <v>57.7</v>
      </c>
      <c r="O1233" s="2">
        <f>IF(M1233="","",IF(M1233&gt;=1000,95,IF(M1233&lt;=12.5,50,LOOKUP(M1233,{12.5,15,20,30,45,60,75,105,115,150,200,225,250,600,1000},{50,55,60,62,65,68,70,72,75,80,82,85,87,90,95})+(M1233-LOOKUP(M1233,{12.5,15,20,30,45,60,75,105,115,150,200,225,250,600},{12.5,15,20,30,45,60,75,105,115,150,200,225,250,600}))/(LOOKUP(M1233,{12.5,15,20,30,45,60,75,105,115,150,200,225,250,600,1000},{15,20,30,45,60,75,105,115,150,200,225,250,600,1000,1000})-LOOKUP(M1233,{12.5,15,20,30,45,60,75,105,115,150,200,225,250,600},{12.5,15,20,30,45,60,75,105,115,150,200,225,250,600}))*(LOOKUP(M1233,{12.5,15,20,30,45,60,75,105,115,150,200,225,250,600,1000},{55,60,62,65,68,70,72,75,80,82,85,87,90,95,95})-LOOKUP(M1233,{12.5,15,20,30,45,60,75,105,115,150,200,225,250,600,1000},{50,55,60,62,65,68,70,72,75,80,82,85,87,90,95})))))</f>
        <v>75</v>
      </c>
      <c r="P1233" s="2">
        <f t="shared" si="98"/>
        <v>-22</v>
      </c>
      <c r="Q1233" s="2">
        <f t="shared" si="99"/>
        <v>-9</v>
      </c>
    </row>
    <row r="1234" customHeight="1" spans="1:17">
      <c r="B1234" s="2">
        <v>1233</v>
      </c>
      <c r="C1234" s="3">
        <f t="shared" si="95"/>
        <v>48.7</v>
      </c>
      <c r="D1234" s="2" t="s">
        <v>1668</v>
      </c>
      <c r="E1234" s="12">
        <v>62</v>
      </c>
      <c r="F1234" s="2">
        <v>40</v>
      </c>
      <c r="G1234" s="2">
        <v>33</v>
      </c>
      <c r="H1234" s="2" t="s">
        <v>264</v>
      </c>
      <c r="I1234" s="2" t="s">
        <v>28</v>
      </c>
      <c r="J1234" s="4" t="s">
        <v>148</v>
      </c>
      <c r="M1234" s="2">
        <f t="shared" si="96"/>
        <v>115</v>
      </c>
      <c r="N1234" s="2">
        <f t="shared" si="97"/>
        <v>54.7</v>
      </c>
      <c r="O1234" s="2">
        <f>IF(M1234="","",IF(M1234&gt;=1000,95,IF(M1234&lt;=12.5,50,LOOKUP(M1234,{12.5,15,20,30,45,60,75,105,115,150,200,225,250,600,1000},{50,55,60,62,65,68,70,72,75,80,82,85,87,90,95})+(M1234-LOOKUP(M1234,{12.5,15,20,30,45,60,75,105,115,150,200,225,250,600},{12.5,15,20,30,45,60,75,105,115,150,200,225,250,600}))/(LOOKUP(M1234,{12.5,15,20,30,45,60,75,105,115,150,200,225,250,600,1000},{15,20,30,45,60,75,105,115,150,200,225,250,600,1000,1000})-LOOKUP(M1234,{12.5,15,20,30,45,60,75,105,115,150,200,225,250,600},{12.5,15,20,30,45,60,75,105,115,150,200,225,250,600}))*(LOOKUP(M1234,{12.5,15,20,30,45,60,75,105,115,150,200,225,250,600,1000},{55,60,62,65,68,70,72,75,80,82,85,87,90,95,95})-LOOKUP(M1234,{12.5,15,20,30,45,60,75,105,115,150,200,225,250,600,1000},{50,55,60,62,65,68,70,72,75,80,82,85,87,90,95})))))</f>
        <v>75</v>
      </c>
      <c r="P1234" s="2">
        <f t="shared" si="98"/>
        <v>-13</v>
      </c>
      <c r="Q1234" s="2">
        <f t="shared" si="99"/>
        <v>-6</v>
      </c>
    </row>
    <row r="1235" customHeight="1" spans="1:17">
      <c r="B1235" s="2">
        <v>1234</v>
      </c>
      <c r="C1235" s="3">
        <f t="shared" si="95"/>
        <v>48.66</v>
      </c>
      <c r="D1235" s="2" t="s">
        <v>1669</v>
      </c>
      <c r="E1235" s="2">
        <v>55</v>
      </c>
      <c r="F1235" s="12">
        <v>66</v>
      </c>
      <c r="G1235" s="2">
        <v>53</v>
      </c>
      <c r="H1235" s="2" t="s">
        <v>342</v>
      </c>
      <c r="I1235" s="2" t="s">
        <v>128</v>
      </c>
      <c r="J1235" s="4" t="s">
        <v>148</v>
      </c>
      <c r="M1235" s="2">
        <f t="shared" si="96"/>
        <v>115</v>
      </c>
      <c r="N1235" s="2">
        <f t="shared" si="97"/>
        <v>57</v>
      </c>
      <c r="O1235" s="2">
        <f>IF(M1235="","",IF(M1235&gt;=1000,95,IF(M1235&lt;=12.5,50,LOOKUP(M1235,{12.5,15,20,30,45,60,75,105,115,150,200,225,250,600,1000},{50,55,60,62,65,68,70,72,75,80,82,85,87,90,95})+(M1235-LOOKUP(M1235,{12.5,15,20,30,45,60,75,105,115,150,200,225,250,600},{12.5,15,20,30,45,60,75,105,115,150,200,225,250,600}))/(LOOKUP(M1235,{12.5,15,20,30,45,60,75,105,115,150,200,225,250,600,1000},{15,20,30,45,60,75,105,115,150,200,225,250,600,1000,1000})-LOOKUP(M1235,{12.5,15,20,30,45,60,75,105,115,150,200,225,250,600},{12.5,15,20,30,45,60,75,105,115,150,200,225,250,600}))*(LOOKUP(M1235,{12.5,15,20,30,45,60,75,105,115,150,200,225,250,600,1000},{55,60,62,65,68,70,72,75,80,82,85,87,90,95,95})-LOOKUP(M1235,{12.5,15,20,30,45,60,75,105,115,150,200,225,250,600,1000},{50,55,60,62,65,68,70,72,75,80,82,85,87,90,95})))))</f>
        <v>75</v>
      </c>
      <c r="P1235" s="2">
        <f t="shared" si="98"/>
        <v>-20</v>
      </c>
      <c r="Q1235" s="2">
        <f t="shared" si="99"/>
        <v>-8.34</v>
      </c>
    </row>
    <row r="1236" customHeight="1" spans="1:17">
      <c r="B1236" s="2">
        <v>1235</v>
      </c>
      <c r="C1236" s="3">
        <f t="shared" ref="C1236:C1299" si="100">ROUND(MAX(MIN(N1236+Q1236,100),0),2)</f>
        <v>48.66</v>
      </c>
      <c r="D1236" s="2" t="s">
        <v>1670</v>
      </c>
      <c r="E1236" s="2">
        <v>56</v>
      </c>
      <c r="F1236" s="2">
        <v>54</v>
      </c>
      <c r="G1236" s="2">
        <v>50</v>
      </c>
      <c r="H1236" s="2" t="s">
        <v>1017</v>
      </c>
      <c r="I1236" s="2" t="s">
        <v>63</v>
      </c>
      <c r="J1236" s="4" t="s">
        <v>24</v>
      </c>
      <c r="M1236" s="2">
        <f t="shared" si="96"/>
        <v>75</v>
      </c>
      <c r="N1236" s="2">
        <f t="shared" si="97"/>
        <v>55</v>
      </c>
      <c r="O1236" s="2">
        <f>IF(M1236="","",IF(M1236&gt;=1000,95,IF(M1236&lt;=12.5,50,LOOKUP(M1236,{12.5,15,20,30,45,60,75,105,115,150,200,225,250,600,1000},{50,55,60,62,65,68,70,72,75,80,82,85,87,90,95})+(M1236-LOOKUP(M1236,{12.5,15,20,30,45,60,75,105,115,150,200,225,250,600},{12.5,15,20,30,45,60,75,105,115,150,200,225,250,600}))/(LOOKUP(M1236,{12.5,15,20,30,45,60,75,105,115,150,200,225,250,600,1000},{15,20,30,45,60,75,105,115,150,200,225,250,600,1000,1000})-LOOKUP(M1236,{12.5,15,20,30,45,60,75,105,115,150,200,225,250,600},{12.5,15,20,30,45,60,75,105,115,150,200,225,250,600}))*(LOOKUP(M1236,{12.5,15,20,30,45,60,75,105,115,150,200,225,250,600,1000},{55,60,62,65,68,70,72,75,80,82,85,87,90,95,95})-LOOKUP(M1236,{12.5,15,20,30,45,60,75,105,115,150,200,225,250,600,1000},{50,55,60,62,65,68,70,72,75,80,82,85,87,90,95})))))</f>
        <v>70</v>
      </c>
      <c r="P1236" s="2">
        <f t="shared" si="98"/>
        <v>-14</v>
      </c>
      <c r="Q1236" s="2">
        <f t="shared" si="99"/>
        <v>-6.34</v>
      </c>
    </row>
    <row r="1237" customHeight="1" spans="1:17">
      <c r="B1237" s="2">
        <v>1236</v>
      </c>
      <c r="C1237" s="3">
        <f t="shared" si="100"/>
        <v>48.63</v>
      </c>
      <c r="D1237" s="2" t="s">
        <v>1671</v>
      </c>
      <c r="E1237" s="2">
        <v>57</v>
      </c>
      <c r="F1237" s="2">
        <v>58</v>
      </c>
      <c r="G1237" s="2">
        <v>48</v>
      </c>
      <c r="H1237" s="2" t="s">
        <v>17</v>
      </c>
      <c r="I1237" s="2" t="s">
        <v>284</v>
      </c>
      <c r="J1237" s="4" t="s">
        <v>148</v>
      </c>
      <c r="M1237" s="2">
        <f t="shared" si="96"/>
        <v>115</v>
      </c>
      <c r="N1237" s="2">
        <f t="shared" si="97"/>
        <v>56.3</v>
      </c>
      <c r="O1237" s="2">
        <f>IF(M1237="","",IF(M1237&gt;=1000,95,IF(M1237&lt;=12.5,50,LOOKUP(M1237,{12.5,15,20,30,45,60,75,105,115,150,200,225,250,600,1000},{50,55,60,62,65,68,70,72,75,80,82,85,87,90,95})+(M1237-LOOKUP(M1237,{12.5,15,20,30,45,60,75,105,115,150,200,225,250,600},{12.5,15,20,30,45,60,75,105,115,150,200,225,250,600}))/(LOOKUP(M1237,{12.5,15,20,30,45,60,75,105,115,150,200,225,250,600,1000},{15,20,30,45,60,75,105,115,150,200,225,250,600,1000,1000})-LOOKUP(M1237,{12.5,15,20,30,45,60,75,105,115,150,200,225,250,600},{12.5,15,20,30,45,60,75,105,115,150,200,225,250,600}))*(LOOKUP(M1237,{12.5,15,20,30,45,60,75,105,115,150,200,225,250,600,1000},{55,60,62,65,68,70,72,75,80,82,85,87,90,95,95})-LOOKUP(M1237,{12.5,15,20,30,45,60,75,105,115,150,200,225,250,600,1000},{50,55,60,62,65,68,70,72,75,80,82,85,87,90,95})))))</f>
        <v>75</v>
      </c>
      <c r="P1237" s="2">
        <f t="shared" si="98"/>
        <v>-18</v>
      </c>
      <c r="Q1237" s="2">
        <f t="shared" si="99"/>
        <v>-7.67</v>
      </c>
    </row>
    <row r="1238" customHeight="1" spans="1:17">
      <c r="B1238" s="2">
        <v>1237</v>
      </c>
      <c r="C1238" s="3">
        <f t="shared" si="100"/>
        <v>48.6</v>
      </c>
      <c r="D1238" s="2" t="s">
        <v>1672</v>
      </c>
      <c r="E1238" s="2">
        <v>51</v>
      </c>
      <c r="F1238" s="12">
        <v>67</v>
      </c>
      <c r="G1238" s="2">
        <v>40</v>
      </c>
      <c r="H1238" s="2" t="s">
        <v>91</v>
      </c>
      <c r="I1238" s="2" t="s">
        <v>28</v>
      </c>
      <c r="J1238" s="4" t="s">
        <v>140</v>
      </c>
      <c r="M1238" s="2">
        <f t="shared" si="96"/>
        <v>20</v>
      </c>
      <c r="N1238" s="2">
        <f t="shared" si="97"/>
        <v>53.1</v>
      </c>
      <c r="O1238" s="2">
        <f>IF(M1238="","",IF(M1238&gt;=1000,95,IF(M1238&lt;=12.5,50,LOOKUP(M1238,{12.5,15,20,30,45,60,75,105,115,150,200,225,250,600,1000},{50,55,60,62,65,68,70,72,75,80,82,85,87,90,95})+(M1238-LOOKUP(M1238,{12.5,15,20,30,45,60,75,105,115,150,200,225,250,600},{12.5,15,20,30,45,60,75,105,115,150,200,225,250,600}))/(LOOKUP(M1238,{12.5,15,20,30,45,60,75,105,115,150,200,225,250,600,1000},{15,20,30,45,60,75,105,115,150,200,225,250,600,1000,1000})-LOOKUP(M1238,{12.5,15,20,30,45,60,75,105,115,150,200,225,250,600},{12.5,15,20,30,45,60,75,105,115,150,200,225,250,600}))*(LOOKUP(M1238,{12.5,15,20,30,45,60,75,105,115,150,200,225,250,600,1000},{55,60,62,65,68,70,72,75,80,82,85,87,90,95,95})-LOOKUP(M1238,{12.5,15,20,30,45,60,75,105,115,150,200,225,250,600,1000},{50,55,60,62,65,68,70,72,75,80,82,85,87,90,95})))))</f>
        <v>60</v>
      </c>
      <c r="P1238" s="2">
        <f t="shared" si="98"/>
        <v>-9</v>
      </c>
      <c r="Q1238" s="2">
        <f t="shared" si="99"/>
        <v>-4.5</v>
      </c>
    </row>
    <row r="1239" customHeight="1" spans="1:17">
      <c r="B1239" s="2">
        <v>1238</v>
      </c>
      <c r="C1239" s="3">
        <f t="shared" si="100"/>
        <v>48.6</v>
      </c>
      <c r="D1239" s="2" t="s">
        <v>1673</v>
      </c>
      <c r="E1239" s="2">
        <v>53</v>
      </c>
      <c r="F1239" s="2">
        <v>54</v>
      </c>
      <c r="G1239" s="2">
        <v>52</v>
      </c>
      <c r="H1239" s="2" t="s">
        <v>41</v>
      </c>
      <c r="I1239" s="2" t="s">
        <v>28</v>
      </c>
      <c r="J1239" s="4" t="s">
        <v>88</v>
      </c>
      <c r="M1239" s="2">
        <f t="shared" si="96"/>
        <v>30</v>
      </c>
      <c r="N1239" s="2">
        <f t="shared" si="97"/>
        <v>53.1</v>
      </c>
      <c r="O1239" s="2">
        <f>IF(M1239="","",IF(M1239&gt;=1000,95,IF(M1239&lt;=12.5,50,LOOKUP(M1239,{12.5,15,20,30,45,60,75,105,115,150,200,225,250,600,1000},{50,55,60,62,65,68,70,72,75,80,82,85,87,90,95})+(M1239-LOOKUP(M1239,{12.5,15,20,30,45,60,75,105,115,150,200,225,250,600},{12.5,15,20,30,45,60,75,105,115,150,200,225,250,600}))/(LOOKUP(M1239,{12.5,15,20,30,45,60,75,105,115,150,200,225,250,600,1000},{15,20,30,45,60,75,105,115,150,200,225,250,600,1000,1000})-LOOKUP(M1239,{12.5,15,20,30,45,60,75,105,115,150,200,225,250,600},{12.5,15,20,30,45,60,75,105,115,150,200,225,250,600}))*(LOOKUP(M1239,{12.5,15,20,30,45,60,75,105,115,150,200,225,250,600,1000},{55,60,62,65,68,70,72,75,80,82,85,87,90,95,95})-LOOKUP(M1239,{12.5,15,20,30,45,60,75,105,115,150,200,225,250,600,1000},{50,55,60,62,65,68,70,72,75,80,82,85,87,90,95})))))</f>
        <v>62</v>
      </c>
      <c r="P1239" s="2">
        <f t="shared" si="98"/>
        <v>-9</v>
      </c>
      <c r="Q1239" s="2">
        <f t="shared" si="99"/>
        <v>-4.5</v>
      </c>
    </row>
    <row r="1240" customHeight="1" spans="1:17">
      <c r="B1240" s="2">
        <v>1239</v>
      </c>
      <c r="C1240" s="3">
        <f t="shared" si="100"/>
        <v>48.6</v>
      </c>
      <c r="D1240" s="2" t="s">
        <v>1674</v>
      </c>
      <c r="E1240" s="2">
        <v>53</v>
      </c>
      <c r="F1240" s="2">
        <v>50</v>
      </c>
      <c r="G1240" s="2">
        <v>50</v>
      </c>
      <c r="H1240" s="2" t="s">
        <v>91</v>
      </c>
      <c r="I1240" s="2" t="s">
        <v>503</v>
      </c>
      <c r="J1240" s="4" t="s">
        <v>140</v>
      </c>
      <c r="M1240" s="2">
        <f t="shared" si="96"/>
        <v>20</v>
      </c>
      <c r="N1240" s="2">
        <f t="shared" si="97"/>
        <v>52.1</v>
      </c>
      <c r="O1240" s="2">
        <f>IF(M1240="","",IF(M1240&gt;=1000,95,IF(M1240&lt;=12.5,50,LOOKUP(M1240,{12.5,15,20,30,45,60,75,105,115,150,200,225,250,600,1000},{50,55,60,62,65,68,70,72,75,80,82,85,87,90,95})+(M1240-LOOKUP(M1240,{12.5,15,20,30,45,60,75,105,115,150,200,225,250,600},{12.5,15,20,30,45,60,75,105,115,150,200,225,250,600}))/(LOOKUP(M1240,{12.5,15,20,30,45,60,75,105,115,150,200,225,250,600,1000},{15,20,30,45,60,75,105,115,150,200,225,250,600,1000,1000})-LOOKUP(M1240,{12.5,15,20,30,45,60,75,105,115,150,200,225,250,600},{12.5,15,20,30,45,60,75,105,115,150,200,225,250,600}))*(LOOKUP(M1240,{12.5,15,20,30,45,60,75,105,115,150,200,225,250,600,1000},{55,60,62,65,68,70,72,75,80,82,85,87,90,95,95})-LOOKUP(M1240,{12.5,15,20,30,45,60,75,105,115,150,200,225,250,600,1000},{50,55,60,62,65,68,70,72,75,80,82,85,87,90,95})))))</f>
        <v>60</v>
      </c>
      <c r="P1240" s="2">
        <f t="shared" si="98"/>
        <v>-7</v>
      </c>
      <c r="Q1240" s="2">
        <f t="shared" si="99"/>
        <v>-3.5</v>
      </c>
    </row>
    <row r="1241" customHeight="1" spans="1:17">
      <c r="A1241" s="2">
        <v>2026</v>
      </c>
      <c r="B1241" s="2">
        <v>1240</v>
      </c>
      <c r="C1241" s="3">
        <f t="shared" si="100"/>
        <v>48.57</v>
      </c>
      <c r="D1241" s="2" t="s">
        <v>1675</v>
      </c>
      <c r="E1241" s="2">
        <v>51</v>
      </c>
      <c r="F1241" s="12">
        <v>64</v>
      </c>
      <c r="G1241" s="2">
        <v>54</v>
      </c>
      <c r="H1241" s="2" t="s">
        <v>54</v>
      </c>
      <c r="I1241" s="2" t="s">
        <v>28</v>
      </c>
      <c r="J1241" s="4" t="s">
        <v>88</v>
      </c>
      <c r="M1241" s="2">
        <f t="shared" si="96"/>
        <v>30</v>
      </c>
      <c r="N1241" s="2">
        <f t="shared" si="97"/>
        <v>53.9</v>
      </c>
      <c r="O1241" s="2">
        <f>IF(M1241="","",IF(M1241&gt;=1000,95,IF(M1241&lt;=12.5,50,LOOKUP(M1241,{12.5,15,20,30,45,60,75,105,115,150,200,225,250,600,1000},{50,55,60,62,65,68,70,72,75,80,82,85,87,90,95})+(M1241-LOOKUP(M1241,{12.5,15,20,30,45,60,75,105,115,150,200,225,250,600},{12.5,15,20,30,45,60,75,105,115,150,200,225,250,600}))/(LOOKUP(M1241,{12.5,15,20,30,45,60,75,105,115,150,200,225,250,600,1000},{15,20,30,45,60,75,105,115,150,200,225,250,600,1000,1000})-LOOKUP(M1241,{12.5,15,20,30,45,60,75,105,115,150,200,225,250,600},{12.5,15,20,30,45,60,75,105,115,150,200,225,250,600}))*(LOOKUP(M1241,{12.5,15,20,30,45,60,75,105,115,150,200,225,250,600,1000},{55,60,62,65,68,70,72,75,80,82,85,87,90,95,95})-LOOKUP(M1241,{12.5,15,20,30,45,60,75,105,115,150,200,225,250,600,1000},{50,55,60,62,65,68,70,72,75,80,82,85,87,90,95})))))</f>
        <v>62</v>
      </c>
      <c r="P1241" s="2">
        <f t="shared" si="98"/>
        <v>-11</v>
      </c>
      <c r="Q1241" s="2">
        <f t="shared" si="99"/>
        <v>-5.33</v>
      </c>
    </row>
    <row r="1242" customHeight="1" spans="1:17">
      <c r="B1242" s="2">
        <v>1241</v>
      </c>
      <c r="C1242" s="3">
        <f t="shared" si="100"/>
        <v>48.5</v>
      </c>
      <c r="D1242" s="2" t="s">
        <v>1676</v>
      </c>
      <c r="E1242" s="2">
        <v>52</v>
      </c>
      <c r="F1242" s="12">
        <v>65</v>
      </c>
      <c r="G1242" s="2">
        <v>51</v>
      </c>
      <c r="H1242" s="2" t="s">
        <v>17</v>
      </c>
      <c r="I1242" s="2" t="s">
        <v>28</v>
      </c>
      <c r="J1242" s="4" t="s">
        <v>38</v>
      </c>
      <c r="M1242" s="2">
        <f t="shared" si="96"/>
        <v>45</v>
      </c>
      <c r="N1242" s="2">
        <f t="shared" si="97"/>
        <v>54.5</v>
      </c>
      <c r="O1242" s="2">
        <f>IF(M1242="","",IF(M1242&gt;=1000,95,IF(M1242&lt;=12.5,50,LOOKUP(M1242,{12.5,15,20,30,45,60,75,105,115,150,200,225,250,600,1000},{50,55,60,62,65,68,70,72,75,80,82,85,87,90,95})+(M1242-LOOKUP(M1242,{12.5,15,20,30,45,60,75,105,115,150,200,225,250,600},{12.5,15,20,30,45,60,75,105,115,150,200,225,250,600}))/(LOOKUP(M1242,{12.5,15,20,30,45,60,75,105,115,150,200,225,250,600,1000},{15,20,30,45,60,75,105,115,150,200,225,250,600,1000,1000})-LOOKUP(M1242,{12.5,15,20,30,45,60,75,105,115,150,200,225,250,600},{12.5,15,20,30,45,60,75,105,115,150,200,225,250,600}))*(LOOKUP(M1242,{12.5,15,20,30,45,60,75,105,115,150,200,225,250,600,1000},{55,60,62,65,68,70,72,75,80,82,85,87,90,95,95})-LOOKUP(M1242,{12.5,15,20,30,45,60,75,105,115,150,200,225,250,600,1000},{50,55,60,62,65,68,70,72,75,80,82,85,87,90,95})))))</f>
        <v>65</v>
      </c>
      <c r="P1242" s="2">
        <f t="shared" si="98"/>
        <v>-13</v>
      </c>
      <c r="Q1242" s="2">
        <f t="shared" si="99"/>
        <v>-6</v>
      </c>
    </row>
    <row r="1243" customHeight="1" spans="1:17">
      <c r="A1243" s="2">
        <v>2026</v>
      </c>
      <c r="B1243" s="2">
        <v>1242</v>
      </c>
      <c r="C1243" s="3">
        <f t="shared" si="100"/>
        <v>48.4</v>
      </c>
      <c r="D1243" s="2" t="s">
        <v>1677</v>
      </c>
      <c r="E1243" s="2">
        <v>52</v>
      </c>
      <c r="F1243" s="2">
        <v>56</v>
      </c>
      <c r="G1243" s="2">
        <v>48</v>
      </c>
      <c r="H1243" s="2" t="s">
        <v>135</v>
      </c>
      <c r="I1243" s="2" t="s">
        <v>28</v>
      </c>
      <c r="J1243" s="4" t="s">
        <v>140</v>
      </c>
      <c r="M1243" s="2">
        <f t="shared" si="96"/>
        <v>20</v>
      </c>
      <c r="N1243" s="2">
        <f t="shared" si="97"/>
        <v>52.4</v>
      </c>
      <c r="O1243" s="2">
        <f>IF(M1243="","",IF(M1243&gt;=1000,95,IF(M1243&lt;=12.5,50,LOOKUP(M1243,{12.5,15,20,30,45,60,75,105,115,150,200,225,250,600,1000},{50,55,60,62,65,68,70,72,75,80,82,85,87,90,95})+(M1243-LOOKUP(M1243,{12.5,15,20,30,45,60,75,105,115,150,200,225,250,600},{12.5,15,20,30,45,60,75,105,115,150,200,225,250,600}))/(LOOKUP(M1243,{12.5,15,20,30,45,60,75,105,115,150,200,225,250,600,1000},{15,20,30,45,60,75,105,115,150,200,225,250,600,1000,1000})-LOOKUP(M1243,{12.5,15,20,30,45,60,75,105,115,150,200,225,250,600},{12.5,15,20,30,45,60,75,105,115,150,200,225,250,600}))*(LOOKUP(M1243,{12.5,15,20,30,45,60,75,105,115,150,200,225,250,600,1000},{55,60,62,65,68,70,72,75,80,82,85,87,90,95,95})-LOOKUP(M1243,{12.5,15,20,30,45,60,75,105,115,150,200,225,250,600,1000},{50,55,60,62,65,68,70,72,75,80,82,85,87,90,95})))))</f>
        <v>60</v>
      </c>
      <c r="P1243" s="2">
        <f t="shared" si="98"/>
        <v>-8</v>
      </c>
      <c r="Q1243" s="2">
        <f t="shared" si="99"/>
        <v>-4</v>
      </c>
    </row>
    <row r="1244" customHeight="1" spans="1:17">
      <c r="B1244" s="2">
        <v>1243</v>
      </c>
      <c r="C1244" s="3">
        <f t="shared" si="100"/>
        <v>48.37</v>
      </c>
      <c r="D1244" s="2" t="s">
        <v>1678</v>
      </c>
      <c r="E1244" s="2">
        <v>56</v>
      </c>
      <c r="F1244" s="12">
        <v>65</v>
      </c>
      <c r="G1244" s="9">
        <v>75</v>
      </c>
      <c r="H1244" s="2" t="s">
        <v>94</v>
      </c>
      <c r="I1244" s="2" t="s">
        <v>159</v>
      </c>
      <c r="J1244" s="4" t="s">
        <v>19</v>
      </c>
      <c r="M1244" s="2">
        <f t="shared" si="96"/>
        <v>225</v>
      </c>
      <c r="N1244" s="2">
        <f t="shared" si="97"/>
        <v>59.7</v>
      </c>
      <c r="O1244" s="2">
        <f>IF(M1244="","",IF(M1244&gt;=1000,95,IF(M1244&lt;=12.5,50,LOOKUP(M1244,{12.5,15,20,30,45,60,75,105,115,150,200,225,250,600,1000},{50,55,60,62,65,68,70,72,75,80,82,85,87,90,95})+(M1244-LOOKUP(M1244,{12.5,15,20,30,45,60,75,105,115,150,200,225,250,600},{12.5,15,20,30,45,60,75,105,115,150,200,225,250,600}))/(LOOKUP(M1244,{12.5,15,20,30,45,60,75,105,115,150,200,225,250,600,1000},{15,20,30,45,60,75,105,115,150,200,225,250,600,1000,1000})-LOOKUP(M1244,{12.5,15,20,30,45,60,75,105,115,150,200,225,250,600},{12.5,15,20,30,45,60,75,105,115,150,200,225,250,600}))*(LOOKUP(M1244,{12.5,15,20,30,45,60,75,105,115,150,200,225,250,600,1000},{55,60,62,65,68,70,72,75,80,82,85,87,90,95,95})-LOOKUP(M1244,{12.5,15,20,30,45,60,75,105,115,150,200,225,250,600,1000},{50,55,60,62,65,68,70,72,75,80,82,85,87,90,95})))))</f>
        <v>85</v>
      </c>
      <c r="P1244" s="2">
        <f t="shared" si="98"/>
        <v>-29</v>
      </c>
      <c r="Q1244" s="2">
        <f t="shared" si="99"/>
        <v>-11.33</v>
      </c>
    </row>
    <row r="1245" customHeight="1" spans="1:17">
      <c r="B1245" s="2">
        <v>1244</v>
      </c>
      <c r="C1245" s="3">
        <f t="shared" si="100"/>
        <v>48.33</v>
      </c>
      <c r="D1245" s="2" t="s">
        <v>1679</v>
      </c>
      <c r="E1245" s="2">
        <v>56</v>
      </c>
      <c r="F1245" s="12">
        <v>61</v>
      </c>
      <c r="G1245" s="12">
        <v>66</v>
      </c>
      <c r="H1245" s="2" t="s">
        <v>244</v>
      </c>
      <c r="I1245" s="2" t="s">
        <v>239</v>
      </c>
      <c r="J1245" s="4" t="s">
        <v>59</v>
      </c>
      <c r="M1245" s="2">
        <f t="shared" si="96"/>
        <v>150</v>
      </c>
      <c r="N1245" s="2">
        <f t="shared" si="97"/>
        <v>58</v>
      </c>
      <c r="O1245" s="2">
        <f>IF(M1245="","",IF(M1245&gt;=1000,95,IF(M1245&lt;=12.5,50,LOOKUP(M1245,{12.5,15,20,30,45,60,75,105,115,150,200,225,250,600,1000},{50,55,60,62,65,68,70,72,75,80,82,85,87,90,95})+(M1245-LOOKUP(M1245,{12.5,15,20,30,45,60,75,105,115,150,200,225,250,600},{12.5,15,20,30,45,60,75,105,115,150,200,225,250,600}))/(LOOKUP(M1245,{12.5,15,20,30,45,60,75,105,115,150,200,225,250,600,1000},{15,20,30,45,60,75,105,115,150,200,225,250,600,1000,1000})-LOOKUP(M1245,{12.5,15,20,30,45,60,75,105,115,150,200,225,250,600},{12.5,15,20,30,45,60,75,105,115,150,200,225,250,600}))*(LOOKUP(M1245,{12.5,15,20,30,45,60,75,105,115,150,200,225,250,600,1000},{55,60,62,65,68,70,72,75,80,82,85,87,90,95,95})-LOOKUP(M1245,{12.5,15,20,30,45,60,75,105,115,150,200,225,250,600,1000},{50,55,60,62,65,68,70,72,75,80,82,85,87,90,95})))))</f>
        <v>80</v>
      </c>
      <c r="P1245" s="2">
        <f t="shared" si="98"/>
        <v>-24</v>
      </c>
      <c r="Q1245" s="2">
        <f t="shared" si="99"/>
        <v>-9.67</v>
      </c>
    </row>
    <row r="1246" customHeight="1" spans="1:17">
      <c r="A1246" s="2">
        <v>2026</v>
      </c>
      <c r="B1246" s="2">
        <v>1245</v>
      </c>
      <c r="C1246" s="3">
        <f t="shared" si="100"/>
        <v>48.33</v>
      </c>
      <c r="D1246" s="2" t="s">
        <v>1680</v>
      </c>
      <c r="E1246" s="2">
        <v>55</v>
      </c>
      <c r="F1246" s="12">
        <v>60</v>
      </c>
      <c r="G1246" s="2">
        <v>45</v>
      </c>
      <c r="H1246" s="2" t="s">
        <v>339</v>
      </c>
      <c r="I1246" s="2" t="s">
        <v>63</v>
      </c>
      <c r="J1246" s="4" t="s">
        <v>24</v>
      </c>
      <c r="M1246" s="2">
        <f t="shared" si="96"/>
        <v>75</v>
      </c>
      <c r="N1246" s="2">
        <f t="shared" si="97"/>
        <v>55</v>
      </c>
      <c r="O1246" s="2">
        <f>IF(M1246="","",IF(M1246&gt;=1000,95,IF(M1246&lt;=12.5,50,LOOKUP(M1246,{12.5,15,20,30,45,60,75,105,115,150,200,225,250,600,1000},{50,55,60,62,65,68,70,72,75,80,82,85,87,90,95})+(M1246-LOOKUP(M1246,{12.5,15,20,30,45,60,75,105,115,150,200,225,250,600},{12.5,15,20,30,45,60,75,105,115,150,200,225,250,600}))/(LOOKUP(M1246,{12.5,15,20,30,45,60,75,105,115,150,200,225,250,600,1000},{15,20,30,45,60,75,105,115,150,200,225,250,600,1000,1000})-LOOKUP(M1246,{12.5,15,20,30,45,60,75,105,115,150,200,225,250,600},{12.5,15,20,30,45,60,75,105,115,150,200,225,250,600}))*(LOOKUP(M1246,{12.5,15,20,30,45,60,75,105,115,150,200,225,250,600,1000},{55,60,62,65,68,70,72,75,80,82,85,87,90,95,95})-LOOKUP(M1246,{12.5,15,20,30,45,60,75,105,115,150,200,225,250,600,1000},{50,55,60,62,65,68,70,72,75,80,82,85,87,90,95})))))</f>
        <v>70</v>
      </c>
      <c r="P1246" s="2">
        <f t="shared" si="98"/>
        <v>-15</v>
      </c>
      <c r="Q1246" s="2">
        <f t="shared" si="99"/>
        <v>-6.67</v>
      </c>
    </row>
    <row r="1247" customHeight="1" spans="1:17">
      <c r="A1247" s="2">
        <v>2026</v>
      </c>
      <c r="B1247" s="2">
        <v>1246</v>
      </c>
      <c r="C1247" s="3">
        <f t="shared" si="100"/>
        <v>48.3</v>
      </c>
      <c r="D1247" s="2" t="s">
        <v>1681</v>
      </c>
      <c r="E1247" s="2">
        <v>54</v>
      </c>
      <c r="F1247" s="2">
        <v>50</v>
      </c>
      <c r="G1247" s="2">
        <v>45</v>
      </c>
      <c r="H1247" s="2" t="s">
        <v>41</v>
      </c>
      <c r="I1247" s="2" t="s">
        <v>28</v>
      </c>
      <c r="J1247" s="4" t="s">
        <v>88</v>
      </c>
      <c r="M1247" s="2">
        <f t="shared" si="96"/>
        <v>30</v>
      </c>
      <c r="N1247" s="2">
        <f t="shared" si="97"/>
        <v>52.3</v>
      </c>
      <c r="O1247" s="2">
        <f>IF(M1247="","",IF(M1247&gt;=1000,95,IF(M1247&lt;=12.5,50,LOOKUP(M1247,{12.5,15,20,30,45,60,75,105,115,150,200,225,250,600,1000},{50,55,60,62,65,68,70,72,75,80,82,85,87,90,95})+(M1247-LOOKUP(M1247,{12.5,15,20,30,45,60,75,105,115,150,200,225,250,600},{12.5,15,20,30,45,60,75,105,115,150,200,225,250,600}))/(LOOKUP(M1247,{12.5,15,20,30,45,60,75,105,115,150,200,225,250,600,1000},{15,20,30,45,60,75,105,115,150,200,225,250,600,1000,1000})-LOOKUP(M1247,{12.5,15,20,30,45,60,75,105,115,150,200,225,250,600},{12.5,15,20,30,45,60,75,105,115,150,200,225,250,600}))*(LOOKUP(M1247,{12.5,15,20,30,45,60,75,105,115,150,200,225,250,600,1000},{55,60,62,65,68,70,72,75,80,82,85,87,90,95,95})-LOOKUP(M1247,{12.5,15,20,30,45,60,75,105,115,150,200,225,250,600,1000},{50,55,60,62,65,68,70,72,75,80,82,85,87,90,95})))))</f>
        <v>62</v>
      </c>
      <c r="P1247" s="2">
        <f t="shared" si="98"/>
        <v>-8</v>
      </c>
      <c r="Q1247" s="2">
        <f t="shared" si="99"/>
        <v>-4</v>
      </c>
    </row>
    <row r="1248" customHeight="1" spans="1:17">
      <c r="B1248" s="2">
        <v>1247</v>
      </c>
      <c r="C1248" s="3">
        <f t="shared" si="100"/>
        <v>48.3</v>
      </c>
      <c r="D1248" s="2" t="s">
        <v>1682</v>
      </c>
      <c r="E1248" s="2">
        <v>50</v>
      </c>
      <c r="F1248" s="2">
        <v>50</v>
      </c>
      <c r="G1248" s="2">
        <v>33</v>
      </c>
      <c r="H1248" s="2" t="s">
        <v>91</v>
      </c>
      <c r="I1248" s="2" t="s">
        <v>503</v>
      </c>
      <c r="J1248" s="4" t="s">
        <v>77</v>
      </c>
      <c r="M1248" s="2">
        <f t="shared" si="96"/>
        <v>12.5</v>
      </c>
      <c r="N1248" s="2">
        <f t="shared" si="97"/>
        <v>48.3</v>
      </c>
      <c r="O1248" s="2">
        <f>IF(M1248="","",IF(M1248&gt;=1000,95,IF(M1248&lt;=12.5,50,LOOKUP(M1248,{12.5,15,20,30,45,60,75,105,115,150,200,225,250,600,1000},{50,55,60,62,65,68,70,72,75,80,82,85,87,90,95})+(M1248-LOOKUP(M1248,{12.5,15,20,30,45,60,75,105,115,150,200,225,250,600},{12.5,15,20,30,45,60,75,105,115,150,200,225,250,600}))/(LOOKUP(M1248,{12.5,15,20,30,45,60,75,105,115,150,200,225,250,600,1000},{15,20,30,45,60,75,105,115,150,200,225,250,600,1000,1000})-LOOKUP(M1248,{12.5,15,20,30,45,60,75,105,115,150,200,225,250,600},{12.5,15,20,30,45,60,75,105,115,150,200,225,250,600}))*(LOOKUP(M1248,{12.5,15,20,30,45,60,75,105,115,150,200,225,250,600,1000},{55,60,62,65,68,70,72,75,80,82,85,87,90,95,95})-LOOKUP(M1248,{12.5,15,20,30,45,60,75,105,115,150,200,225,250,600,1000},{50,55,60,62,65,68,70,72,75,80,82,85,87,90,95})))))</f>
        <v>50</v>
      </c>
      <c r="P1248" s="2">
        <f t="shared" si="98"/>
        <v>0</v>
      </c>
      <c r="Q1248" s="2">
        <f t="shared" si="99"/>
        <v>0</v>
      </c>
    </row>
    <row r="1249" customHeight="1" spans="1:17">
      <c r="B1249" s="2">
        <v>1248</v>
      </c>
      <c r="C1249" s="3">
        <f t="shared" si="100"/>
        <v>48.27</v>
      </c>
      <c r="D1249" s="2" t="s">
        <v>1683</v>
      </c>
      <c r="E1249" s="2">
        <v>53</v>
      </c>
      <c r="F1249" s="10">
        <v>84</v>
      </c>
      <c r="G1249" s="12">
        <v>67</v>
      </c>
      <c r="H1249" s="2" t="s">
        <v>37</v>
      </c>
      <c r="I1249" s="2" t="s">
        <v>197</v>
      </c>
      <c r="J1249" s="4" t="s">
        <v>19</v>
      </c>
      <c r="M1249" s="2">
        <f t="shared" si="96"/>
        <v>225</v>
      </c>
      <c r="N1249" s="2">
        <f t="shared" si="97"/>
        <v>60.6</v>
      </c>
      <c r="O1249" s="2">
        <f>IF(M1249="","",IF(M1249&gt;=1000,95,IF(M1249&lt;=12.5,50,LOOKUP(M1249,{12.5,15,20,30,45,60,75,105,115,150,200,225,250,600,1000},{50,55,60,62,65,68,70,72,75,80,82,85,87,90,95})+(M1249-LOOKUP(M1249,{12.5,15,20,30,45,60,75,105,115,150,200,225,250,600},{12.5,15,20,30,45,60,75,105,115,150,200,225,250,600}))/(LOOKUP(M1249,{12.5,15,20,30,45,60,75,105,115,150,200,225,250,600,1000},{15,20,30,45,60,75,105,115,150,200,225,250,600,1000,1000})-LOOKUP(M1249,{12.5,15,20,30,45,60,75,105,115,150,200,225,250,600},{12.5,15,20,30,45,60,75,105,115,150,200,225,250,600}))*(LOOKUP(M1249,{12.5,15,20,30,45,60,75,105,115,150,200,225,250,600,1000},{55,60,62,65,68,70,72,75,80,82,85,87,90,95,95})-LOOKUP(M1249,{12.5,15,20,30,45,60,75,105,115,150,200,225,250,600,1000},{50,55,60,62,65,68,70,72,75,80,82,85,87,90,95})))))</f>
        <v>85</v>
      </c>
      <c r="P1249" s="2">
        <f t="shared" si="98"/>
        <v>-32</v>
      </c>
      <c r="Q1249" s="2">
        <f t="shared" si="99"/>
        <v>-12.33</v>
      </c>
    </row>
    <row r="1250" customHeight="1" spans="1:17">
      <c r="A1250" s="2">
        <v>2026</v>
      </c>
      <c r="B1250" s="2">
        <v>1249</v>
      </c>
      <c r="C1250" s="3">
        <f t="shared" si="100"/>
        <v>48.26</v>
      </c>
      <c r="D1250" s="2" t="s">
        <v>1684</v>
      </c>
      <c r="E1250" s="2">
        <v>54</v>
      </c>
      <c r="F1250" s="2">
        <v>58</v>
      </c>
      <c r="G1250" s="2">
        <v>52</v>
      </c>
      <c r="H1250" s="2" t="s">
        <v>108</v>
      </c>
      <c r="I1250" s="2" t="s">
        <v>33</v>
      </c>
      <c r="J1250" s="4" t="s">
        <v>34</v>
      </c>
      <c r="M1250" s="2">
        <f t="shared" si="96"/>
        <v>60</v>
      </c>
      <c r="N1250" s="2">
        <f t="shared" si="97"/>
        <v>54.6</v>
      </c>
      <c r="O1250" s="2">
        <f>IF(M1250="","",IF(M1250&gt;=1000,95,IF(M1250&lt;=12.5,50,LOOKUP(M1250,{12.5,15,20,30,45,60,75,105,115,150,200,225,250,600,1000},{50,55,60,62,65,68,70,72,75,80,82,85,87,90,95})+(M1250-LOOKUP(M1250,{12.5,15,20,30,45,60,75,105,115,150,200,225,250,600},{12.5,15,20,30,45,60,75,105,115,150,200,225,250,600}))/(LOOKUP(M1250,{12.5,15,20,30,45,60,75,105,115,150,200,225,250,600,1000},{15,20,30,45,60,75,105,115,150,200,225,250,600,1000,1000})-LOOKUP(M1250,{12.5,15,20,30,45,60,75,105,115,150,200,225,250,600},{12.5,15,20,30,45,60,75,105,115,150,200,225,250,600}))*(LOOKUP(M1250,{12.5,15,20,30,45,60,75,105,115,150,200,225,250,600,1000},{55,60,62,65,68,70,72,75,80,82,85,87,90,95,95})-LOOKUP(M1250,{12.5,15,20,30,45,60,75,105,115,150,200,225,250,600,1000},{50,55,60,62,65,68,70,72,75,80,82,85,87,90,95})))))</f>
        <v>68</v>
      </c>
      <c r="P1250" s="2">
        <f t="shared" si="98"/>
        <v>-14</v>
      </c>
      <c r="Q1250" s="2">
        <f t="shared" si="99"/>
        <v>-6.34</v>
      </c>
    </row>
    <row r="1251" customHeight="1" spans="1:17">
      <c r="B1251" s="2">
        <v>1250</v>
      </c>
      <c r="C1251" s="3">
        <f t="shared" si="100"/>
        <v>48.2</v>
      </c>
      <c r="D1251" s="2" t="s">
        <v>1685</v>
      </c>
      <c r="E1251" s="2">
        <v>50</v>
      </c>
      <c r="F1251" s="2">
        <v>50</v>
      </c>
      <c r="G1251" s="2">
        <v>32</v>
      </c>
      <c r="H1251" s="2" t="s">
        <v>91</v>
      </c>
      <c r="I1251" s="2" t="s">
        <v>503</v>
      </c>
      <c r="J1251" s="4" t="s">
        <v>77</v>
      </c>
      <c r="M1251" s="2">
        <f t="shared" si="96"/>
        <v>12.5</v>
      </c>
      <c r="N1251" s="2">
        <f t="shared" si="97"/>
        <v>48.2</v>
      </c>
      <c r="O1251" s="2">
        <f>IF(M1251="","",IF(M1251&gt;=1000,95,IF(M1251&lt;=12.5,50,LOOKUP(M1251,{12.5,15,20,30,45,60,75,105,115,150,200,225,250,600,1000},{50,55,60,62,65,68,70,72,75,80,82,85,87,90,95})+(M1251-LOOKUP(M1251,{12.5,15,20,30,45,60,75,105,115,150,200,225,250,600},{12.5,15,20,30,45,60,75,105,115,150,200,225,250,600}))/(LOOKUP(M1251,{12.5,15,20,30,45,60,75,105,115,150,200,225,250,600,1000},{15,20,30,45,60,75,105,115,150,200,225,250,600,1000,1000})-LOOKUP(M1251,{12.5,15,20,30,45,60,75,105,115,150,200,225,250,600},{12.5,15,20,30,45,60,75,105,115,150,200,225,250,600}))*(LOOKUP(M1251,{12.5,15,20,30,45,60,75,105,115,150,200,225,250,600,1000},{55,60,62,65,68,70,72,75,80,82,85,87,90,95,95})-LOOKUP(M1251,{12.5,15,20,30,45,60,75,105,115,150,200,225,250,600,1000},{50,55,60,62,65,68,70,72,75,80,82,85,87,90,95})))))</f>
        <v>50</v>
      </c>
      <c r="P1251" s="2">
        <f t="shared" si="98"/>
        <v>0</v>
      </c>
      <c r="Q1251" s="2">
        <f t="shared" si="99"/>
        <v>0</v>
      </c>
    </row>
    <row r="1252" customHeight="1" spans="1:17">
      <c r="A1252" s="2">
        <v>2026</v>
      </c>
      <c r="B1252" s="2">
        <v>1251</v>
      </c>
      <c r="C1252" s="3">
        <f t="shared" si="100"/>
        <v>48.17</v>
      </c>
      <c r="D1252" s="2" t="s">
        <v>1686</v>
      </c>
      <c r="E1252" s="2">
        <v>54</v>
      </c>
      <c r="F1252" s="2">
        <v>59</v>
      </c>
      <c r="G1252" s="2">
        <v>39</v>
      </c>
      <c r="H1252" s="2" t="s">
        <v>231</v>
      </c>
      <c r="I1252" s="2" t="s">
        <v>33</v>
      </c>
      <c r="J1252" s="4" t="s">
        <v>38</v>
      </c>
      <c r="M1252" s="2">
        <f t="shared" si="96"/>
        <v>45</v>
      </c>
      <c r="N1252" s="2">
        <f t="shared" si="97"/>
        <v>53.5</v>
      </c>
      <c r="O1252" s="2">
        <f>IF(M1252="","",IF(M1252&gt;=1000,95,IF(M1252&lt;=12.5,50,LOOKUP(M1252,{12.5,15,20,30,45,60,75,105,115,150,200,225,250,600,1000},{50,55,60,62,65,68,70,72,75,80,82,85,87,90,95})+(M1252-LOOKUP(M1252,{12.5,15,20,30,45,60,75,105,115,150,200,225,250,600},{12.5,15,20,30,45,60,75,105,115,150,200,225,250,600}))/(LOOKUP(M1252,{12.5,15,20,30,45,60,75,105,115,150,200,225,250,600,1000},{15,20,30,45,60,75,105,115,150,200,225,250,600,1000,1000})-LOOKUP(M1252,{12.5,15,20,30,45,60,75,105,115,150,200,225,250,600},{12.5,15,20,30,45,60,75,105,115,150,200,225,250,600}))*(LOOKUP(M1252,{12.5,15,20,30,45,60,75,105,115,150,200,225,250,600,1000},{55,60,62,65,68,70,72,75,80,82,85,87,90,95,95})-LOOKUP(M1252,{12.5,15,20,30,45,60,75,105,115,150,200,225,250,600,1000},{50,55,60,62,65,68,70,72,75,80,82,85,87,90,95})))))</f>
        <v>65</v>
      </c>
      <c r="P1252" s="2">
        <f t="shared" si="98"/>
        <v>-11</v>
      </c>
      <c r="Q1252" s="2">
        <f t="shared" si="99"/>
        <v>-5.33</v>
      </c>
    </row>
    <row r="1253" customHeight="1" spans="1:17">
      <c r="A1253" s="2">
        <v>2026</v>
      </c>
      <c r="B1253" s="2">
        <v>1252</v>
      </c>
      <c r="C1253" s="3">
        <f t="shared" si="100"/>
        <v>48.13</v>
      </c>
      <c r="D1253" s="2" t="s">
        <v>1687</v>
      </c>
      <c r="E1253" s="2">
        <v>55</v>
      </c>
      <c r="F1253" s="2">
        <v>55</v>
      </c>
      <c r="G1253" s="2">
        <v>53</v>
      </c>
      <c r="H1253" s="2" t="s">
        <v>54</v>
      </c>
      <c r="I1253" s="2" t="s">
        <v>183</v>
      </c>
      <c r="J1253" s="4" t="s">
        <v>24</v>
      </c>
      <c r="M1253" s="2">
        <f t="shared" si="96"/>
        <v>75</v>
      </c>
      <c r="N1253" s="2">
        <f t="shared" si="97"/>
        <v>54.8</v>
      </c>
      <c r="O1253" s="2">
        <f>IF(M1253="","",IF(M1253&gt;=1000,95,IF(M1253&lt;=12.5,50,LOOKUP(M1253,{12.5,15,20,30,45,60,75,105,115,150,200,225,250,600,1000},{50,55,60,62,65,68,70,72,75,80,82,85,87,90,95})+(M1253-LOOKUP(M1253,{12.5,15,20,30,45,60,75,105,115,150,200,225,250,600},{12.5,15,20,30,45,60,75,105,115,150,200,225,250,600}))/(LOOKUP(M1253,{12.5,15,20,30,45,60,75,105,115,150,200,225,250,600,1000},{15,20,30,45,60,75,105,115,150,200,225,250,600,1000,1000})-LOOKUP(M1253,{12.5,15,20,30,45,60,75,105,115,150,200,225,250,600},{12.5,15,20,30,45,60,75,105,115,150,200,225,250,600}))*(LOOKUP(M1253,{12.5,15,20,30,45,60,75,105,115,150,200,225,250,600,1000},{55,60,62,65,68,70,72,75,80,82,85,87,90,95,95})-LOOKUP(M1253,{12.5,15,20,30,45,60,75,105,115,150,200,225,250,600,1000},{50,55,60,62,65,68,70,72,75,80,82,85,87,90,95})))))</f>
        <v>70</v>
      </c>
      <c r="P1253" s="2">
        <f t="shared" si="98"/>
        <v>-15</v>
      </c>
      <c r="Q1253" s="2">
        <f t="shared" si="99"/>
        <v>-6.67</v>
      </c>
    </row>
    <row r="1254" customHeight="1" spans="1:17">
      <c r="B1254" s="2">
        <v>1253</v>
      </c>
      <c r="C1254" s="3">
        <f t="shared" si="100"/>
        <v>48.1</v>
      </c>
      <c r="D1254" s="2" t="s">
        <v>1688</v>
      </c>
      <c r="E1254" s="2">
        <v>52</v>
      </c>
      <c r="F1254" s="2">
        <v>55</v>
      </c>
      <c r="G1254" s="12">
        <v>67</v>
      </c>
      <c r="H1254" s="2" t="s">
        <v>137</v>
      </c>
      <c r="I1254" s="2" t="s">
        <v>63</v>
      </c>
      <c r="J1254" s="4" t="s">
        <v>38</v>
      </c>
      <c r="M1254" s="2">
        <f t="shared" si="96"/>
        <v>45</v>
      </c>
      <c r="N1254" s="2">
        <f t="shared" si="97"/>
        <v>54.1</v>
      </c>
      <c r="O1254" s="2">
        <f>IF(M1254="","",IF(M1254&gt;=1000,95,IF(M1254&lt;=12.5,50,LOOKUP(M1254,{12.5,15,20,30,45,60,75,105,115,150,200,225,250,600,1000},{50,55,60,62,65,68,70,72,75,80,82,85,87,90,95})+(M1254-LOOKUP(M1254,{12.5,15,20,30,45,60,75,105,115,150,200,225,250,600},{12.5,15,20,30,45,60,75,105,115,150,200,225,250,600}))/(LOOKUP(M1254,{12.5,15,20,30,45,60,75,105,115,150,200,225,250,600,1000},{15,20,30,45,60,75,105,115,150,200,225,250,600,1000,1000})-LOOKUP(M1254,{12.5,15,20,30,45,60,75,105,115,150,200,225,250,600},{12.5,15,20,30,45,60,75,105,115,150,200,225,250,600}))*(LOOKUP(M1254,{12.5,15,20,30,45,60,75,105,115,150,200,225,250,600,1000},{55,60,62,65,68,70,72,75,80,82,85,87,90,95,95})-LOOKUP(M1254,{12.5,15,20,30,45,60,75,105,115,150,200,225,250,600,1000},{50,55,60,62,65,68,70,72,75,80,82,85,87,90,95})))))</f>
        <v>65</v>
      </c>
      <c r="P1254" s="2">
        <f t="shared" si="98"/>
        <v>-13</v>
      </c>
      <c r="Q1254" s="2">
        <f t="shared" si="99"/>
        <v>-6</v>
      </c>
    </row>
    <row r="1255" customHeight="1" spans="1:17">
      <c r="B1255" s="2">
        <v>1254</v>
      </c>
      <c r="C1255" s="3">
        <f t="shared" si="100"/>
        <v>48.1</v>
      </c>
      <c r="D1255" s="2" t="s">
        <v>1689</v>
      </c>
      <c r="E1255" s="2">
        <v>53</v>
      </c>
      <c r="F1255" s="2">
        <v>50</v>
      </c>
      <c r="G1255" s="2">
        <v>45</v>
      </c>
      <c r="H1255" s="2" t="s">
        <v>37</v>
      </c>
      <c r="I1255" s="2" t="s">
        <v>503</v>
      </c>
      <c r="J1255" s="4" t="s">
        <v>140</v>
      </c>
      <c r="M1255" s="2">
        <f t="shared" si="96"/>
        <v>20</v>
      </c>
      <c r="N1255" s="2">
        <f t="shared" si="97"/>
        <v>51.6</v>
      </c>
      <c r="O1255" s="2">
        <f>IF(M1255="","",IF(M1255&gt;=1000,95,IF(M1255&lt;=12.5,50,LOOKUP(M1255,{12.5,15,20,30,45,60,75,105,115,150,200,225,250,600,1000},{50,55,60,62,65,68,70,72,75,80,82,85,87,90,95})+(M1255-LOOKUP(M1255,{12.5,15,20,30,45,60,75,105,115,150,200,225,250,600},{12.5,15,20,30,45,60,75,105,115,150,200,225,250,600}))/(LOOKUP(M1255,{12.5,15,20,30,45,60,75,105,115,150,200,225,250,600,1000},{15,20,30,45,60,75,105,115,150,200,225,250,600,1000,1000})-LOOKUP(M1255,{12.5,15,20,30,45,60,75,105,115,150,200,225,250,600},{12.5,15,20,30,45,60,75,105,115,150,200,225,250,600}))*(LOOKUP(M1255,{12.5,15,20,30,45,60,75,105,115,150,200,225,250,600,1000},{55,60,62,65,68,70,72,75,80,82,85,87,90,95,95})-LOOKUP(M1255,{12.5,15,20,30,45,60,75,105,115,150,200,225,250,600,1000},{50,55,60,62,65,68,70,72,75,80,82,85,87,90,95})))))</f>
        <v>60</v>
      </c>
      <c r="P1255" s="2">
        <f t="shared" si="98"/>
        <v>-7</v>
      </c>
      <c r="Q1255" s="2">
        <f t="shared" si="99"/>
        <v>-3.5</v>
      </c>
    </row>
    <row r="1256" customHeight="1" spans="1:17">
      <c r="A1256" s="2">
        <v>2026</v>
      </c>
      <c r="B1256" s="2">
        <v>1255</v>
      </c>
      <c r="C1256" s="3">
        <f t="shared" si="100"/>
        <v>48</v>
      </c>
      <c r="D1256" s="2" t="s">
        <v>1690</v>
      </c>
      <c r="E1256" s="2">
        <v>52</v>
      </c>
      <c r="F1256" s="12">
        <v>68</v>
      </c>
      <c r="G1256" s="2">
        <v>50</v>
      </c>
      <c r="H1256" s="2" t="s">
        <v>54</v>
      </c>
      <c r="I1256" s="2" t="s">
        <v>672</v>
      </c>
      <c r="J1256" s="4" t="s">
        <v>34</v>
      </c>
      <c r="M1256" s="2">
        <f t="shared" si="96"/>
        <v>60</v>
      </c>
      <c r="N1256" s="2">
        <f t="shared" si="97"/>
        <v>55</v>
      </c>
      <c r="O1256" s="2">
        <f>IF(M1256="","",IF(M1256&gt;=1000,95,IF(M1256&lt;=12.5,50,LOOKUP(M1256,{12.5,15,20,30,45,60,75,105,115,150,200,225,250,600,1000},{50,55,60,62,65,68,70,72,75,80,82,85,87,90,95})+(M1256-LOOKUP(M1256,{12.5,15,20,30,45,60,75,105,115,150,200,225,250,600},{12.5,15,20,30,45,60,75,105,115,150,200,225,250,600}))/(LOOKUP(M1256,{12.5,15,20,30,45,60,75,105,115,150,200,225,250,600,1000},{15,20,30,45,60,75,105,115,150,200,225,250,600,1000,1000})-LOOKUP(M1256,{12.5,15,20,30,45,60,75,105,115,150,200,225,250,600},{12.5,15,20,30,45,60,75,105,115,150,200,225,250,600}))*(LOOKUP(M1256,{12.5,15,20,30,45,60,75,105,115,150,200,225,250,600,1000},{55,60,62,65,68,70,72,75,80,82,85,87,90,95,95})-LOOKUP(M1256,{12.5,15,20,30,45,60,75,105,115,150,200,225,250,600,1000},{50,55,60,62,65,68,70,72,75,80,82,85,87,90,95})))))</f>
        <v>68</v>
      </c>
      <c r="P1256" s="2">
        <f t="shared" si="98"/>
        <v>-16</v>
      </c>
      <c r="Q1256" s="2">
        <f t="shared" si="99"/>
        <v>-7</v>
      </c>
    </row>
    <row r="1257" customHeight="1" spans="1:17">
      <c r="B1257" s="2">
        <v>1256</v>
      </c>
      <c r="C1257" s="3">
        <f t="shared" si="100"/>
        <v>48</v>
      </c>
      <c r="D1257" s="2" t="s">
        <v>1691</v>
      </c>
      <c r="E1257" s="2">
        <v>55</v>
      </c>
      <c r="F1257" s="2">
        <v>50</v>
      </c>
      <c r="G1257" s="2">
        <v>45</v>
      </c>
      <c r="H1257" s="2" t="s">
        <v>41</v>
      </c>
      <c r="I1257" s="2" t="s">
        <v>63</v>
      </c>
      <c r="J1257" s="4" t="s">
        <v>38</v>
      </c>
      <c r="M1257" s="2">
        <f t="shared" si="96"/>
        <v>45</v>
      </c>
      <c r="N1257" s="2">
        <f t="shared" si="97"/>
        <v>53</v>
      </c>
      <c r="O1257" s="2">
        <f>IF(M1257="","",IF(M1257&gt;=1000,95,IF(M1257&lt;=12.5,50,LOOKUP(M1257,{12.5,15,20,30,45,60,75,105,115,150,200,225,250,600,1000},{50,55,60,62,65,68,70,72,75,80,82,85,87,90,95})+(M1257-LOOKUP(M1257,{12.5,15,20,30,45,60,75,105,115,150,200,225,250,600},{12.5,15,20,30,45,60,75,105,115,150,200,225,250,600}))/(LOOKUP(M1257,{12.5,15,20,30,45,60,75,105,115,150,200,225,250,600,1000},{15,20,30,45,60,75,105,115,150,200,225,250,600,1000,1000})-LOOKUP(M1257,{12.5,15,20,30,45,60,75,105,115,150,200,225,250,600},{12.5,15,20,30,45,60,75,105,115,150,200,225,250,600}))*(LOOKUP(M1257,{12.5,15,20,30,45,60,75,105,115,150,200,225,250,600,1000},{55,60,62,65,68,70,72,75,80,82,85,87,90,95,95})-LOOKUP(M1257,{12.5,15,20,30,45,60,75,105,115,150,200,225,250,600,1000},{50,55,60,62,65,68,70,72,75,80,82,85,87,90,95})))))</f>
        <v>65</v>
      </c>
      <c r="P1257" s="2">
        <f t="shared" si="98"/>
        <v>-10</v>
      </c>
      <c r="Q1257" s="2">
        <f t="shared" si="99"/>
        <v>-5</v>
      </c>
    </row>
    <row r="1258" customHeight="1" spans="1:17">
      <c r="B1258" s="2">
        <v>1257</v>
      </c>
      <c r="C1258" s="3">
        <f t="shared" si="100"/>
        <v>48</v>
      </c>
      <c r="D1258" s="2" t="s">
        <v>1692</v>
      </c>
      <c r="E1258" s="2">
        <v>50</v>
      </c>
      <c r="F1258" s="2">
        <v>50</v>
      </c>
      <c r="G1258" s="2">
        <v>30</v>
      </c>
      <c r="H1258" s="2" t="s">
        <v>37</v>
      </c>
      <c r="I1258" s="2" t="s">
        <v>63</v>
      </c>
      <c r="J1258" s="4" t="s">
        <v>77</v>
      </c>
      <c r="M1258" s="2">
        <f t="shared" si="96"/>
        <v>12.5</v>
      </c>
      <c r="N1258" s="2">
        <f t="shared" si="97"/>
        <v>48</v>
      </c>
      <c r="O1258" s="2">
        <f>IF(M1258="","",IF(M1258&gt;=1000,95,IF(M1258&lt;=12.5,50,LOOKUP(M1258,{12.5,15,20,30,45,60,75,105,115,150,200,225,250,600,1000},{50,55,60,62,65,68,70,72,75,80,82,85,87,90,95})+(M1258-LOOKUP(M1258,{12.5,15,20,30,45,60,75,105,115,150,200,225,250,600},{12.5,15,20,30,45,60,75,105,115,150,200,225,250,600}))/(LOOKUP(M1258,{12.5,15,20,30,45,60,75,105,115,150,200,225,250,600,1000},{15,20,30,45,60,75,105,115,150,200,225,250,600,1000,1000})-LOOKUP(M1258,{12.5,15,20,30,45,60,75,105,115,150,200,225,250,600},{12.5,15,20,30,45,60,75,105,115,150,200,225,250,600}))*(LOOKUP(M1258,{12.5,15,20,30,45,60,75,105,115,150,200,225,250,600,1000},{55,60,62,65,68,70,72,75,80,82,85,87,90,95,95})-LOOKUP(M1258,{12.5,15,20,30,45,60,75,105,115,150,200,225,250,600,1000},{50,55,60,62,65,68,70,72,75,80,82,85,87,90,95})))))</f>
        <v>50</v>
      </c>
      <c r="P1258" s="2">
        <f t="shared" si="98"/>
        <v>0</v>
      </c>
      <c r="Q1258" s="2">
        <f t="shared" si="99"/>
        <v>0</v>
      </c>
    </row>
    <row r="1259" customHeight="1" spans="1:17">
      <c r="B1259" s="2">
        <v>1258</v>
      </c>
      <c r="C1259" s="3">
        <f t="shared" si="100"/>
        <v>48</v>
      </c>
      <c r="D1259" s="2" t="s">
        <v>1693</v>
      </c>
      <c r="E1259" s="12">
        <v>60</v>
      </c>
      <c r="F1259" s="2">
        <v>40</v>
      </c>
      <c r="G1259" s="2">
        <v>30</v>
      </c>
      <c r="H1259" s="2" t="s">
        <v>91</v>
      </c>
      <c r="I1259" s="2" t="s">
        <v>350</v>
      </c>
      <c r="J1259" s="4" t="s">
        <v>24</v>
      </c>
      <c r="M1259" s="2">
        <f t="shared" si="96"/>
        <v>75</v>
      </c>
      <c r="N1259" s="2">
        <f t="shared" si="97"/>
        <v>53</v>
      </c>
      <c r="O1259" s="2">
        <f>IF(M1259="","",IF(M1259&gt;=1000,95,IF(M1259&lt;=12.5,50,LOOKUP(M1259,{12.5,15,20,30,45,60,75,105,115,150,200,225,250,600,1000},{50,55,60,62,65,68,70,72,75,80,82,85,87,90,95})+(M1259-LOOKUP(M1259,{12.5,15,20,30,45,60,75,105,115,150,200,225,250,600},{12.5,15,20,30,45,60,75,105,115,150,200,225,250,600}))/(LOOKUP(M1259,{12.5,15,20,30,45,60,75,105,115,150,200,225,250,600,1000},{15,20,30,45,60,75,105,115,150,200,225,250,600,1000,1000})-LOOKUP(M1259,{12.5,15,20,30,45,60,75,105,115,150,200,225,250,600},{12.5,15,20,30,45,60,75,105,115,150,200,225,250,600}))*(LOOKUP(M1259,{12.5,15,20,30,45,60,75,105,115,150,200,225,250,600,1000},{55,60,62,65,68,70,72,75,80,82,85,87,90,95,95})-LOOKUP(M1259,{12.5,15,20,30,45,60,75,105,115,150,200,225,250,600,1000},{50,55,60,62,65,68,70,72,75,80,82,85,87,90,95})))))</f>
        <v>70</v>
      </c>
      <c r="P1259" s="2">
        <f t="shared" si="98"/>
        <v>-10</v>
      </c>
      <c r="Q1259" s="2">
        <f t="shared" si="99"/>
        <v>-5</v>
      </c>
    </row>
    <row r="1260" customHeight="1" spans="1:17">
      <c r="A1260" s="2">
        <v>2026</v>
      </c>
      <c r="B1260" s="2">
        <v>1259</v>
      </c>
      <c r="C1260" s="3">
        <f t="shared" si="100"/>
        <v>48</v>
      </c>
      <c r="D1260" s="2" t="s">
        <v>1694</v>
      </c>
      <c r="E1260" s="2">
        <v>54</v>
      </c>
      <c r="F1260" s="12">
        <v>61</v>
      </c>
      <c r="G1260" s="2">
        <v>50</v>
      </c>
      <c r="H1260" s="2" t="s">
        <v>113</v>
      </c>
      <c r="I1260" s="2" t="s">
        <v>33</v>
      </c>
      <c r="J1260" s="4" t="s">
        <v>24</v>
      </c>
      <c r="M1260" s="2">
        <f t="shared" si="96"/>
        <v>75</v>
      </c>
      <c r="N1260" s="2">
        <f t="shared" si="97"/>
        <v>55</v>
      </c>
      <c r="O1260" s="2">
        <f>IF(M1260="","",IF(M1260&gt;=1000,95,IF(M1260&lt;=12.5,50,LOOKUP(M1260,{12.5,15,20,30,45,60,75,105,115,150,200,225,250,600,1000},{50,55,60,62,65,68,70,72,75,80,82,85,87,90,95})+(M1260-LOOKUP(M1260,{12.5,15,20,30,45,60,75,105,115,150,200,225,250,600},{12.5,15,20,30,45,60,75,105,115,150,200,225,250,600}))/(LOOKUP(M1260,{12.5,15,20,30,45,60,75,105,115,150,200,225,250,600,1000},{15,20,30,45,60,75,105,115,150,200,225,250,600,1000,1000})-LOOKUP(M1260,{12.5,15,20,30,45,60,75,105,115,150,200,225,250,600},{12.5,15,20,30,45,60,75,105,115,150,200,225,250,600}))*(LOOKUP(M1260,{12.5,15,20,30,45,60,75,105,115,150,200,225,250,600,1000},{55,60,62,65,68,70,72,75,80,82,85,87,90,95,95})-LOOKUP(M1260,{12.5,15,20,30,45,60,75,105,115,150,200,225,250,600,1000},{50,55,60,62,65,68,70,72,75,80,82,85,87,90,95})))))</f>
        <v>70</v>
      </c>
      <c r="P1260" s="2">
        <f t="shared" si="98"/>
        <v>-16</v>
      </c>
      <c r="Q1260" s="2">
        <f t="shared" si="99"/>
        <v>-7</v>
      </c>
    </row>
    <row r="1261" customHeight="1" spans="1:17">
      <c r="B1261" s="2">
        <v>1260</v>
      </c>
      <c r="C1261" s="3">
        <f t="shared" si="100"/>
        <v>47.93</v>
      </c>
      <c r="D1261" s="2" t="s">
        <v>1695</v>
      </c>
      <c r="E1261" s="2">
        <v>52</v>
      </c>
      <c r="F1261" s="12">
        <v>65</v>
      </c>
      <c r="G1261" s="12">
        <v>62</v>
      </c>
      <c r="H1261" s="2" t="s">
        <v>264</v>
      </c>
      <c r="I1261" s="2" t="s">
        <v>42</v>
      </c>
      <c r="J1261" s="4" t="s">
        <v>24</v>
      </c>
      <c r="M1261" s="2">
        <f t="shared" si="96"/>
        <v>75</v>
      </c>
      <c r="N1261" s="2">
        <f t="shared" si="97"/>
        <v>55.6</v>
      </c>
      <c r="O1261" s="2">
        <f>IF(M1261="","",IF(M1261&gt;=1000,95,IF(M1261&lt;=12.5,50,LOOKUP(M1261,{12.5,15,20,30,45,60,75,105,115,150,200,225,250,600,1000},{50,55,60,62,65,68,70,72,75,80,82,85,87,90,95})+(M1261-LOOKUP(M1261,{12.5,15,20,30,45,60,75,105,115,150,200,225,250,600},{12.5,15,20,30,45,60,75,105,115,150,200,225,250,600}))/(LOOKUP(M1261,{12.5,15,20,30,45,60,75,105,115,150,200,225,250,600,1000},{15,20,30,45,60,75,105,115,150,200,225,250,600,1000,1000})-LOOKUP(M1261,{12.5,15,20,30,45,60,75,105,115,150,200,225,250,600},{12.5,15,20,30,45,60,75,105,115,150,200,225,250,600}))*(LOOKUP(M1261,{12.5,15,20,30,45,60,75,105,115,150,200,225,250,600,1000},{55,60,62,65,68,70,72,75,80,82,85,87,90,95,95})-LOOKUP(M1261,{12.5,15,20,30,45,60,75,105,115,150,200,225,250,600,1000},{50,55,60,62,65,68,70,72,75,80,82,85,87,90,95})))))</f>
        <v>70</v>
      </c>
      <c r="P1261" s="2">
        <f t="shared" si="98"/>
        <v>-18</v>
      </c>
      <c r="Q1261" s="2">
        <f t="shared" si="99"/>
        <v>-7.67</v>
      </c>
    </row>
    <row r="1262" customHeight="1" spans="1:17">
      <c r="B1262" s="2">
        <v>1261</v>
      </c>
      <c r="C1262" s="3">
        <f t="shared" si="100"/>
        <v>47.93</v>
      </c>
      <c r="D1262" s="2" t="s">
        <v>1696</v>
      </c>
      <c r="E1262" s="2">
        <v>53</v>
      </c>
      <c r="F1262" s="2">
        <v>58</v>
      </c>
      <c r="G1262" s="2">
        <v>59</v>
      </c>
      <c r="H1262" s="2" t="s">
        <v>37</v>
      </c>
      <c r="I1262" s="2" t="s">
        <v>33</v>
      </c>
      <c r="J1262" s="4" t="s">
        <v>34</v>
      </c>
      <c r="M1262" s="2">
        <f t="shared" si="96"/>
        <v>60</v>
      </c>
      <c r="N1262" s="2">
        <f t="shared" si="97"/>
        <v>54.6</v>
      </c>
      <c r="O1262" s="2">
        <f>IF(M1262="","",IF(M1262&gt;=1000,95,IF(M1262&lt;=12.5,50,LOOKUP(M1262,{12.5,15,20,30,45,60,75,105,115,150,200,225,250,600,1000},{50,55,60,62,65,68,70,72,75,80,82,85,87,90,95})+(M1262-LOOKUP(M1262,{12.5,15,20,30,45,60,75,105,115,150,200,225,250,600},{12.5,15,20,30,45,60,75,105,115,150,200,225,250,600}))/(LOOKUP(M1262,{12.5,15,20,30,45,60,75,105,115,150,200,225,250,600,1000},{15,20,30,45,60,75,105,115,150,200,225,250,600,1000,1000})-LOOKUP(M1262,{12.5,15,20,30,45,60,75,105,115,150,200,225,250,600},{12.5,15,20,30,45,60,75,105,115,150,200,225,250,600}))*(LOOKUP(M1262,{12.5,15,20,30,45,60,75,105,115,150,200,225,250,600,1000},{55,60,62,65,68,70,72,75,80,82,85,87,90,95,95})-LOOKUP(M1262,{12.5,15,20,30,45,60,75,105,115,150,200,225,250,600,1000},{50,55,60,62,65,68,70,72,75,80,82,85,87,90,95})))))</f>
        <v>68</v>
      </c>
      <c r="P1262" s="2">
        <f t="shared" si="98"/>
        <v>-15</v>
      </c>
      <c r="Q1262" s="2">
        <f t="shared" si="99"/>
        <v>-6.67</v>
      </c>
    </row>
    <row r="1263" customHeight="1" spans="1:17">
      <c r="B1263" s="2">
        <v>1262</v>
      </c>
      <c r="C1263" s="3">
        <f t="shared" si="100"/>
        <v>47.9</v>
      </c>
      <c r="D1263" s="2" t="s">
        <v>1697</v>
      </c>
      <c r="E1263" s="2">
        <v>52</v>
      </c>
      <c r="F1263" s="2">
        <v>59</v>
      </c>
      <c r="G1263" s="2">
        <v>47</v>
      </c>
      <c r="H1263" s="2" t="s">
        <v>37</v>
      </c>
      <c r="I1263" s="2" t="s">
        <v>28</v>
      </c>
      <c r="J1263" s="4" t="s">
        <v>88</v>
      </c>
      <c r="M1263" s="2">
        <f t="shared" si="96"/>
        <v>30</v>
      </c>
      <c r="N1263" s="2">
        <f t="shared" si="97"/>
        <v>52.9</v>
      </c>
      <c r="O1263" s="2">
        <f>IF(M1263="","",IF(M1263&gt;=1000,95,IF(M1263&lt;=12.5,50,LOOKUP(M1263,{12.5,15,20,30,45,60,75,105,115,150,200,225,250,600,1000},{50,55,60,62,65,68,70,72,75,80,82,85,87,90,95})+(M1263-LOOKUP(M1263,{12.5,15,20,30,45,60,75,105,115,150,200,225,250,600},{12.5,15,20,30,45,60,75,105,115,150,200,225,250,600}))/(LOOKUP(M1263,{12.5,15,20,30,45,60,75,105,115,150,200,225,250,600,1000},{15,20,30,45,60,75,105,115,150,200,225,250,600,1000,1000})-LOOKUP(M1263,{12.5,15,20,30,45,60,75,105,115,150,200,225,250,600},{12.5,15,20,30,45,60,75,105,115,150,200,225,250,600}))*(LOOKUP(M1263,{12.5,15,20,30,45,60,75,105,115,150,200,225,250,600,1000},{55,60,62,65,68,70,72,75,80,82,85,87,90,95,95})-LOOKUP(M1263,{12.5,15,20,30,45,60,75,105,115,150,200,225,250,600,1000},{50,55,60,62,65,68,70,72,75,80,82,85,87,90,95})))))</f>
        <v>62</v>
      </c>
      <c r="P1263" s="2">
        <f t="shared" si="98"/>
        <v>-10</v>
      </c>
      <c r="Q1263" s="2">
        <f t="shared" si="99"/>
        <v>-5</v>
      </c>
    </row>
    <row r="1264" customHeight="1" spans="1:17">
      <c r="A1264" s="2">
        <v>2026</v>
      </c>
      <c r="B1264" s="2">
        <v>1263</v>
      </c>
      <c r="C1264" s="3">
        <f t="shared" si="100"/>
        <v>47.9</v>
      </c>
      <c r="D1264" s="2" t="s">
        <v>1698</v>
      </c>
      <c r="E1264" s="2">
        <v>48</v>
      </c>
      <c r="F1264" s="12">
        <v>60</v>
      </c>
      <c r="G1264" s="2">
        <v>33</v>
      </c>
      <c r="H1264" s="2" t="s">
        <v>412</v>
      </c>
      <c r="I1264" s="2" t="s">
        <v>28</v>
      </c>
      <c r="J1264" s="4" t="s">
        <v>77</v>
      </c>
      <c r="M1264" s="2">
        <f t="shared" si="96"/>
        <v>12.5</v>
      </c>
      <c r="N1264" s="2">
        <f t="shared" si="97"/>
        <v>48.9</v>
      </c>
      <c r="O1264" s="2">
        <f>IF(M1264="","",IF(M1264&gt;=1000,95,IF(M1264&lt;=12.5,50,LOOKUP(M1264,{12.5,15,20,30,45,60,75,105,115,150,200,225,250,600,1000},{50,55,60,62,65,68,70,72,75,80,82,85,87,90,95})+(M1264-LOOKUP(M1264,{12.5,15,20,30,45,60,75,105,115,150,200,225,250,600},{12.5,15,20,30,45,60,75,105,115,150,200,225,250,600}))/(LOOKUP(M1264,{12.5,15,20,30,45,60,75,105,115,150,200,225,250,600,1000},{15,20,30,45,60,75,105,115,150,200,225,250,600,1000,1000})-LOOKUP(M1264,{12.5,15,20,30,45,60,75,105,115,150,200,225,250,600},{12.5,15,20,30,45,60,75,105,115,150,200,225,250,600}))*(LOOKUP(M1264,{12.5,15,20,30,45,60,75,105,115,150,200,225,250,600,1000},{55,60,62,65,68,70,72,75,80,82,85,87,90,95,95})-LOOKUP(M1264,{12.5,15,20,30,45,60,75,105,115,150,200,225,250,600,1000},{50,55,60,62,65,68,70,72,75,80,82,85,87,90,95})))))</f>
        <v>50</v>
      </c>
      <c r="P1264" s="2">
        <f t="shared" si="98"/>
        <v>-2</v>
      </c>
      <c r="Q1264" s="2">
        <f t="shared" si="99"/>
        <v>-1</v>
      </c>
    </row>
    <row r="1265" customHeight="1" spans="1:17">
      <c r="B1265" s="2">
        <v>1264</v>
      </c>
      <c r="C1265" s="3">
        <f t="shared" si="100"/>
        <v>47.9</v>
      </c>
      <c r="D1265" s="2" t="s">
        <v>1699</v>
      </c>
      <c r="E1265" s="12">
        <v>61</v>
      </c>
      <c r="F1265" s="2">
        <v>32</v>
      </c>
      <c r="G1265" s="2">
        <v>33</v>
      </c>
      <c r="H1265" s="2" t="s">
        <v>480</v>
      </c>
      <c r="I1265" s="2" t="s">
        <v>354</v>
      </c>
      <c r="J1265" s="4" t="s">
        <v>24</v>
      </c>
      <c r="M1265" s="2">
        <f t="shared" si="96"/>
        <v>75</v>
      </c>
      <c r="N1265" s="2">
        <f t="shared" si="97"/>
        <v>52.4</v>
      </c>
      <c r="O1265" s="2">
        <f>IF(M1265="","",IF(M1265&gt;=1000,95,IF(M1265&lt;=12.5,50,LOOKUP(M1265,{12.5,15,20,30,45,60,75,105,115,150,200,225,250,600,1000},{50,55,60,62,65,68,70,72,75,80,82,85,87,90,95})+(M1265-LOOKUP(M1265,{12.5,15,20,30,45,60,75,105,115,150,200,225,250,600},{12.5,15,20,30,45,60,75,105,115,150,200,225,250,600}))/(LOOKUP(M1265,{12.5,15,20,30,45,60,75,105,115,150,200,225,250,600,1000},{15,20,30,45,60,75,105,115,150,200,225,250,600,1000,1000})-LOOKUP(M1265,{12.5,15,20,30,45,60,75,105,115,150,200,225,250,600},{12.5,15,20,30,45,60,75,105,115,150,200,225,250,600}))*(LOOKUP(M1265,{12.5,15,20,30,45,60,75,105,115,150,200,225,250,600,1000},{55,60,62,65,68,70,72,75,80,82,85,87,90,95,95})-LOOKUP(M1265,{12.5,15,20,30,45,60,75,105,115,150,200,225,250,600,1000},{50,55,60,62,65,68,70,72,75,80,82,85,87,90,95})))))</f>
        <v>70</v>
      </c>
      <c r="P1265" s="2">
        <f t="shared" si="98"/>
        <v>-9</v>
      </c>
      <c r="Q1265" s="2">
        <f t="shared" si="99"/>
        <v>-4.5</v>
      </c>
    </row>
    <row r="1266" customHeight="1" spans="1:17">
      <c r="B1266" s="2">
        <v>1265</v>
      </c>
      <c r="C1266" s="3">
        <f t="shared" si="100"/>
        <v>47.87</v>
      </c>
      <c r="D1266" s="2" t="s">
        <v>1700</v>
      </c>
      <c r="E1266" s="2">
        <v>54</v>
      </c>
      <c r="F1266" s="12">
        <v>68</v>
      </c>
      <c r="G1266" s="12">
        <v>68</v>
      </c>
      <c r="H1266" s="2" t="s">
        <v>1361</v>
      </c>
      <c r="I1266" s="2" t="s">
        <v>33</v>
      </c>
      <c r="J1266" s="4" t="s">
        <v>59</v>
      </c>
      <c r="M1266" s="2">
        <f t="shared" si="96"/>
        <v>150</v>
      </c>
      <c r="N1266" s="2">
        <f t="shared" si="97"/>
        <v>58.2</v>
      </c>
      <c r="O1266" s="2">
        <f>IF(M1266="","",IF(M1266&gt;=1000,95,IF(M1266&lt;=12.5,50,LOOKUP(M1266,{12.5,15,20,30,45,60,75,105,115,150,200,225,250,600,1000},{50,55,60,62,65,68,70,72,75,80,82,85,87,90,95})+(M1266-LOOKUP(M1266,{12.5,15,20,30,45,60,75,105,115,150,200,225,250,600},{12.5,15,20,30,45,60,75,105,115,150,200,225,250,600}))/(LOOKUP(M1266,{12.5,15,20,30,45,60,75,105,115,150,200,225,250,600,1000},{15,20,30,45,60,75,105,115,150,200,225,250,600,1000,1000})-LOOKUP(M1266,{12.5,15,20,30,45,60,75,105,115,150,200,225,250,600},{12.5,15,20,30,45,60,75,105,115,150,200,225,250,600}))*(LOOKUP(M1266,{12.5,15,20,30,45,60,75,105,115,150,200,225,250,600,1000},{55,60,62,65,68,70,72,75,80,82,85,87,90,95,95})-LOOKUP(M1266,{12.5,15,20,30,45,60,75,105,115,150,200,225,250,600,1000},{50,55,60,62,65,68,70,72,75,80,82,85,87,90,95})))))</f>
        <v>80</v>
      </c>
      <c r="P1266" s="2">
        <f t="shared" si="98"/>
        <v>-26</v>
      </c>
      <c r="Q1266" s="2">
        <f t="shared" si="99"/>
        <v>-10.33</v>
      </c>
    </row>
    <row r="1267" customHeight="1" spans="1:17">
      <c r="A1267" s="2">
        <v>2026</v>
      </c>
      <c r="B1267" s="2">
        <v>1266</v>
      </c>
      <c r="C1267" s="3">
        <f t="shared" si="100"/>
        <v>47.8</v>
      </c>
      <c r="D1267" s="2" t="s">
        <v>1701</v>
      </c>
      <c r="E1267" s="2">
        <v>52</v>
      </c>
      <c r="F1267" s="2">
        <v>58</v>
      </c>
      <c r="G1267" s="2">
        <v>48</v>
      </c>
      <c r="H1267" s="2" t="s">
        <v>54</v>
      </c>
      <c r="I1267" s="2" t="s">
        <v>33</v>
      </c>
      <c r="J1267" s="4" t="s">
        <v>88</v>
      </c>
      <c r="M1267" s="2">
        <f t="shared" si="96"/>
        <v>30</v>
      </c>
      <c r="N1267" s="2">
        <f t="shared" si="97"/>
        <v>52.8</v>
      </c>
      <c r="O1267" s="2">
        <f>IF(M1267="","",IF(M1267&gt;=1000,95,IF(M1267&lt;=12.5,50,LOOKUP(M1267,{12.5,15,20,30,45,60,75,105,115,150,200,225,250,600,1000},{50,55,60,62,65,68,70,72,75,80,82,85,87,90,95})+(M1267-LOOKUP(M1267,{12.5,15,20,30,45,60,75,105,115,150,200,225,250,600},{12.5,15,20,30,45,60,75,105,115,150,200,225,250,600}))/(LOOKUP(M1267,{12.5,15,20,30,45,60,75,105,115,150,200,225,250,600,1000},{15,20,30,45,60,75,105,115,150,200,225,250,600,1000,1000})-LOOKUP(M1267,{12.5,15,20,30,45,60,75,105,115,150,200,225,250,600},{12.5,15,20,30,45,60,75,105,115,150,200,225,250,600}))*(LOOKUP(M1267,{12.5,15,20,30,45,60,75,105,115,150,200,225,250,600,1000},{55,60,62,65,68,70,72,75,80,82,85,87,90,95,95})-LOOKUP(M1267,{12.5,15,20,30,45,60,75,105,115,150,200,225,250,600,1000},{50,55,60,62,65,68,70,72,75,80,82,85,87,90,95})))))</f>
        <v>62</v>
      </c>
      <c r="P1267" s="2">
        <f t="shared" si="98"/>
        <v>-10</v>
      </c>
      <c r="Q1267" s="2">
        <f t="shared" si="99"/>
        <v>-5</v>
      </c>
    </row>
    <row r="1268" customHeight="1" spans="1:17">
      <c r="A1268" s="2">
        <v>2026</v>
      </c>
      <c r="B1268" s="2">
        <v>1267</v>
      </c>
      <c r="C1268" s="3">
        <f t="shared" si="100"/>
        <v>47.73</v>
      </c>
      <c r="D1268" s="2" t="s">
        <v>1702</v>
      </c>
      <c r="E1268" s="2">
        <v>53</v>
      </c>
      <c r="F1268" s="2">
        <v>55</v>
      </c>
      <c r="G1268" s="12">
        <v>63</v>
      </c>
      <c r="H1268" s="2" t="s">
        <v>54</v>
      </c>
      <c r="I1268" s="2" t="s">
        <v>104</v>
      </c>
      <c r="J1268" s="4" t="s">
        <v>34</v>
      </c>
      <c r="M1268" s="2">
        <f t="shared" si="96"/>
        <v>60</v>
      </c>
      <c r="N1268" s="2">
        <f t="shared" si="97"/>
        <v>54.4</v>
      </c>
      <c r="O1268" s="2">
        <f>IF(M1268="","",IF(M1268&gt;=1000,95,IF(M1268&lt;=12.5,50,LOOKUP(M1268,{12.5,15,20,30,45,60,75,105,115,150,200,225,250,600,1000},{50,55,60,62,65,68,70,72,75,80,82,85,87,90,95})+(M1268-LOOKUP(M1268,{12.5,15,20,30,45,60,75,105,115,150,200,225,250,600},{12.5,15,20,30,45,60,75,105,115,150,200,225,250,600}))/(LOOKUP(M1268,{12.5,15,20,30,45,60,75,105,115,150,200,225,250,600,1000},{15,20,30,45,60,75,105,115,150,200,225,250,600,1000,1000})-LOOKUP(M1268,{12.5,15,20,30,45,60,75,105,115,150,200,225,250,600},{12.5,15,20,30,45,60,75,105,115,150,200,225,250,600}))*(LOOKUP(M1268,{12.5,15,20,30,45,60,75,105,115,150,200,225,250,600,1000},{55,60,62,65,68,70,72,75,80,82,85,87,90,95,95})-LOOKUP(M1268,{12.5,15,20,30,45,60,75,105,115,150,200,225,250,600,1000},{50,55,60,62,65,68,70,72,75,80,82,85,87,90,95})))))</f>
        <v>68</v>
      </c>
      <c r="P1268" s="2">
        <f t="shared" si="98"/>
        <v>-15</v>
      </c>
      <c r="Q1268" s="2">
        <f t="shared" si="99"/>
        <v>-6.67</v>
      </c>
    </row>
    <row r="1269" customHeight="1" spans="1:17">
      <c r="A1269" s="2">
        <v>2026</v>
      </c>
      <c r="B1269" s="2">
        <v>1268</v>
      </c>
      <c r="C1269" s="3">
        <f t="shared" si="100"/>
        <v>47.7</v>
      </c>
      <c r="D1269" s="2" t="s">
        <v>1703</v>
      </c>
      <c r="E1269" s="2">
        <v>52</v>
      </c>
      <c r="F1269" s="2">
        <v>54</v>
      </c>
      <c r="G1269" s="2">
        <v>45</v>
      </c>
      <c r="H1269" s="2" t="s">
        <v>91</v>
      </c>
      <c r="I1269" s="2" t="s">
        <v>63</v>
      </c>
      <c r="J1269" s="4" t="s">
        <v>140</v>
      </c>
      <c r="M1269" s="2">
        <f t="shared" si="96"/>
        <v>20</v>
      </c>
      <c r="N1269" s="2">
        <f t="shared" si="97"/>
        <v>51.7</v>
      </c>
      <c r="O1269" s="2">
        <f>IF(M1269="","",IF(M1269&gt;=1000,95,IF(M1269&lt;=12.5,50,LOOKUP(M1269,{12.5,15,20,30,45,60,75,105,115,150,200,225,250,600,1000},{50,55,60,62,65,68,70,72,75,80,82,85,87,90,95})+(M1269-LOOKUP(M1269,{12.5,15,20,30,45,60,75,105,115,150,200,225,250,600},{12.5,15,20,30,45,60,75,105,115,150,200,225,250,600}))/(LOOKUP(M1269,{12.5,15,20,30,45,60,75,105,115,150,200,225,250,600,1000},{15,20,30,45,60,75,105,115,150,200,225,250,600,1000,1000})-LOOKUP(M1269,{12.5,15,20,30,45,60,75,105,115,150,200,225,250,600},{12.5,15,20,30,45,60,75,105,115,150,200,225,250,600}))*(LOOKUP(M1269,{12.5,15,20,30,45,60,75,105,115,150,200,225,250,600,1000},{55,60,62,65,68,70,72,75,80,82,85,87,90,95,95})-LOOKUP(M1269,{12.5,15,20,30,45,60,75,105,115,150,200,225,250,600,1000},{50,55,60,62,65,68,70,72,75,80,82,85,87,90,95})))))</f>
        <v>60</v>
      </c>
      <c r="P1269" s="2">
        <f t="shared" si="98"/>
        <v>-8</v>
      </c>
      <c r="Q1269" s="2">
        <f t="shared" si="99"/>
        <v>-4</v>
      </c>
    </row>
    <row r="1270" customHeight="1" spans="1:17">
      <c r="B1270" s="2">
        <v>1269</v>
      </c>
      <c r="C1270" s="3">
        <f t="shared" si="100"/>
        <v>47.7</v>
      </c>
      <c r="D1270" s="2" t="s">
        <v>1704</v>
      </c>
      <c r="E1270" s="2">
        <v>50</v>
      </c>
      <c r="F1270" s="2">
        <v>50</v>
      </c>
      <c r="G1270" s="2">
        <v>52</v>
      </c>
      <c r="H1270" s="2" t="s">
        <v>22</v>
      </c>
      <c r="I1270" s="2" t="s">
        <v>63</v>
      </c>
      <c r="J1270" s="4" t="s">
        <v>29</v>
      </c>
      <c r="M1270" s="2">
        <f t="shared" si="96"/>
        <v>15</v>
      </c>
      <c r="N1270" s="2">
        <f t="shared" si="97"/>
        <v>50.2</v>
      </c>
      <c r="O1270" s="2">
        <f>IF(M1270="","",IF(M1270&gt;=1000,95,IF(M1270&lt;=12.5,50,LOOKUP(M1270,{12.5,15,20,30,45,60,75,105,115,150,200,225,250,600,1000},{50,55,60,62,65,68,70,72,75,80,82,85,87,90,95})+(M1270-LOOKUP(M1270,{12.5,15,20,30,45,60,75,105,115,150,200,225,250,600},{12.5,15,20,30,45,60,75,105,115,150,200,225,250,600}))/(LOOKUP(M1270,{12.5,15,20,30,45,60,75,105,115,150,200,225,250,600,1000},{15,20,30,45,60,75,105,115,150,200,225,250,600,1000,1000})-LOOKUP(M1270,{12.5,15,20,30,45,60,75,105,115,150,200,225,250,600},{12.5,15,20,30,45,60,75,105,115,150,200,225,250,600}))*(LOOKUP(M1270,{12.5,15,20,30,45,60,75,105,115,150,200,225,250,600,1000},{55,60,62,65,68,70,72,75,80,82,85,87,90,95,95})-LOOKUP(M1270,{12.5,15,20,30,45,60,75,105,115,150,200,225,250,600,1000},{50,55,60,62,65,68,70,72,75,80,82,85,87,90,95})))))</f>
        <v>55</v>
      </c>
      <c r="P1270" s="2">
        <f t="shared" si="98"/>
        <v>-5</v>
      </c>
      <c r="Q1270" s="2">
        <f t="shared" si="99"/>
        <v>-2.5</v>
      </c>
    </row>
    <row r="1271" customHeight="1" spans="1:17">
      <c r="B1271" s="2">
        <v>1270</v>
      </c>
      <c r="C1271" s="3">
        <f t="shared" si="100"/>
        <v>47.7</v>
      </c>
      <c r="D1271" s="2" t="s">
        <v>1705</v>
      </c>
      <c r="E1271" s="2">
        <v>55</v>
      </c>
      <c r="F1271" s="2">
        <v>51</v>
      </c>
      <c r="G1271" s="2">
        <v>40</v>
      </c>
      <c r="H1271" s="2" t="s">
        <v>66</v>
      </c>
      <c r="I1271" s="2" t="s">
        <v>63</v>
      </c>
      <c r="J1271" s="4" t="s">
        <v>38</v>
      </c>
      <c r="M1271" s="2">
        <f t="shared" si="96"/>
        <v>45</v>
      </c>
      <c r="N1271" s="2">
        <f t="shared" si="97"/>
        <v>52.7</v>
      </c>
      <c r="O1271" s="2">
        <f>IF(M1271="","",IF(M1271&gt;=1000,95,IF(M1271&lt;=12.5,50,LOOKUP(M1271,{12.5,15,20,30,45,60,75,105,115,150,200,225,250,600,1000},{50,55,60,62,65,68,70,72,75,80,82,85,87,90,95})+(M1271-LOOKUP(M1271,{12.5,15,20,30,45,60,75,105,115,150,200,225,250,600},{12.5,15,20,30,45,60,75,105,115,150,200,225,250,600}))/(LOOKUP(M1271,{12.5,15,20,30,45,60,75,105,115,150,200,225,250,600,1000},{15,20,30,45,60,75,105,115,150,200,225,250,600,1000,1000})-LOOKUP(M1271,{12.5,15,20,30,45,60,75,105,115,150,200,225,250,600},{12.5,15,20,30,45,60,75,105,115,150,200,225,250,600}))*(LOOKUP(M1271,{12.5,15,20,30,45,60,75,105,115,150,200,225,250,600,1000},{55,60,62,65,68,70,72,75,80,82,85,87,90,95,95})-LOOKUP(M1271,{12.5,15,20,30,45,60,75,105,115,150,200,225,250,600,1000},{50,55,60,62,65,68,70,72,75,80,82,85,87,90,95})))))</f>
        <v>65</v>
      </c>
      <c r="P1271" s="2">
        <f t="shared" si="98"/>
        <v>-10</v>
      </c>
      <c r="Q1271" s="2">
        <f t="shared" si="99"/>
        <v>-5</v>
      </c>
    </row>
    <row r="1272" customHeight="1" spans="1:17">
      <c r="A1272" s="2">
        <v>2026</v>
      </c>
      <c r="B1272" s="2">
        <v>1271</v>
      </c>
      <c r="C1272" s="3">
        <f t="shared" si="100"/>
        <v>47.6</v>
      </c>
      <c r="D1272" s="2" t="s">
        <v>1706</v>
      </c>
      <c r="E1272" s="2">
        <v>58</v>
      </c>
      <c r="F1272" s="2">
        <v>35</v>
      </c>
      <c r="G1272" s="2">
        <v>20</v>
      </c>
      <c r="H1272" s="2" t="s">
        <v>54</v>
      </c>
      <c r="I1272" s="2" t="s">
        <v>104</v>
      </c>
      <c r="J1272" s="4" t="s">
        <v>88</v>
      </c>
      <c r="M1272" s="2">
        <f t="shared" si="96"/>
        <v>30</v>
      </c>
      <c r="N1272" s="2">
        <f t="shared" si="97"/>
        <v>49.6</v>
      </c>
      <c r="O1272" s="2">
        <f>IF(M1272="","",IF(M1272&gt;=1000,95,IF(M1272&lt;=12.5,50,LOOKUP(M1272,{12.5,15,20,30,45,60,75,105,115,150,200,225,250,600,1000},{50,55,60,62,65,68,70,72,75,80,82,85,87,90,95})+(M1272-LOOKUP(M1272,{12.5,15,20,30,45,60,75,105,115,150,200,225,250,600},{12.5,15,20,30,45,60,75,105,115,150,200,225,250,600}))/(LOOKUP(M1272,{12.5,15,20,30,45,60,75,105,115,150,200,225,250,600,1000},{15,20,30,45,60,75,105,115,150,200,225,250,600,1000,1000})-LOOKUP(M1272,{12.5,15,20,30,45,60,75,105,115,150,200,225,250,600},{12.5,15,20,30,45,60,75,105,115,150,200,225,250,600}))*(LOOKUP(M1272,{12.5,15,20,30,45,60,75,105,115,150,200,225,250,600,1000},{55,60,62,65,68,70,72,75,80,82,85,87,90,95,95})-LOOKUP(M1272,{12.5,15,20,30,45,60,75,105,115,150,200,225,250,600,1000},{50,55,60,62,65,68,70,72,75,80,82,85,87,90,95})))))</f>
        <v>62</v>
      </c>
      <c r="P1272" s="2">
        <f t="shared" si="98"/>
        <v>-4</v>
      </c>
      <c r="Q1272" s="2">
        <f t="shared" si="99"/>
        <v>-2</v>
      </c>
    </row>
    <row r="1273" customHeight="1" spans="1:17">
      <c r="A1273" s="2">
        <v>2026</v>
      </c>
      <c r="B1273" s="2">
        <v>1272</v>
      </c>
      <c r="C1273" s="3">
        <f t="shared" si="100"/>
        <v>47.56</v>
      </c>
      <c r="D1273" s="2" t="s">
        <v>1707</v>
      </c>
      <c r="E1273" s="12">
        <v>62</v>
      </c>
      <c r="F1273" s="2">
        <v>20</v>
      </c>
      <c r="G1273" s="10">
        <v>85</v>
      </c>
      <c r="H1273" s="2" t="s">
        <v>54</v>
      </c>
      <c r="I1273" s="2" t="s">
        <v>104</v>
      </c>
      <c r="J1273" s="4" t="s">
        <v>51</v>
      </c>
      <c r="M1273" s="2">
        <f t="shared" si="96"/>
        <v>200</v>
      </c>
      <c r="N1273" s="2">
        <f t="shared" si="97"/>
        <v>55.9</v>
      </c>
      <c r="O1273" s="2">
        <f>IF(M1273="","",IF(M1273&gt;=1000,95,IF(M1273&lt;=12.5,50,LOOKUP(M1273,{12.5,15,20,30,45,60,75,105,115,150,200,225,250,600,1000},{50,55,60,62,65,68,70,72,75,80,82,85,87,90,95})+(M1273-LOOKUP(M1273,{12.5,15,20,30,45,60,75,105,115,150,200,225,250,600},{12.5,15,20,30,45,60,75,105,115,150,200,225,250,600}))/(LOOKUP(M1273,{12.5,15,20,30,45,60,75,105,115,150,200,225,250,600,1000},{15,20,30,45,60,75,105,115,150,200,225,250,600,1000,1000})-LOOKUP(M1273,{12.5,15,20,30,45,60,75,105,115,150,200,225,250,600},{12.5,15,20,30,45,60,75,105,115,150,200,225,250,600}))*(LOOKUP(M1273,{12.5,15,20,30,45,60,75,105,115,150,200,225,250,600,1000},{55,60,62,65,68,70,72,75,80,82,85,87,90,95,95})-LOOKUP(M1273,{12.5,15,20,30,45,60,75,105,115,150,200,225,250,600,1000},{50,55,60,62,65,68,70,72,75,80,82,85,87,90,95})))))</f>
        <v>82</v>
      </c>
      <c r="P1273" s="2">
        <f t="shared" si="98"/>
        <v>-20</v>
      </c>
      <c r="Q1273" s="2">
        <f t="shared" si="99"/>
        <v>-8.34</v>
      </c>
    </row>
    <row r="1274" customHeight="1" spans="1:17">
      <c r="B1274" s="2">
        <v>1273</v>
      </c>
      <c r="C1274" s="3">
        <f t="shared" si="100"/>
        <v>47.54</v>
      </c>
      <c r="D1274" s="2" t="s">
        <v>1708</v>
      </c>
      <c r="E1274" s="2">
        <v>54</v>
      </c>
      <c r="F1274" s="9">
        <v>70</v>
      </c>
      <c r="G1274" s="10">
        <v>84</v>
      </c>
      <c r="H1274" s="2" t="s">
        <v>41</v>
      </c>
      <c r="I1274" s="2" t="s">
        <v>42</v>
      </c>
      <c r="J1274" s="4" t="s">
        <v>123</v>
      </c>
      <c r="M1274" s="2">
        <f t="shared" si="96"/>
        <v>250</v>
      </c>
      <c r="N1274" s="2">
        <f t="shared" si="97"/>
        <v>60.2</v>
      </c>
      <c r="O1274" s="2">
        <f>IF(M1274="","",IF(M1274&gt;=1000,95,IF(M1274&lt;=12.5,50,LOOKUP(M1274,{12.5,15,20,30,45,60,75,105,115,150,200,225,250,600,1000},{50,55,60,62,65,68,70,72,75,80,82,85,87,90,95})+(M1274-LOOKUP(M1274,{12.5,15,20,30,45,60,75,105,115,150,200,225,250,600},{12.5,15,20,30,45,60,75,105,115,150,200,225,250,600}))/(LOOKUP(M1274,{12.5,15,20,30,45,60,75,105,115,150,200,225,250,600,1000},{15,20,30,45,60,75,105,115,150,200,225,250,600,1000,1000})-LOOKUP(M1274,{12.5,15,20,30,45,60,75,105,115,150,200,225,250,600},{12.5,15,20,30,45,60,75,105,115,150,200,225,250,600}))*(LOOKUP(M1274,{12.5,15,20,30,45,60,75,105,115,150,200,225,250,600,1000},{55,60,62,65,68,70,72,75,80,82,85,87,90,95,95})-LOOKUP(M1274,{12.5,15,20,30,45,60,75,105,115,150,200,225,250,600,1000},{50,55,60,62,65,68,70,72,75,80,82,85,87,90,95})))))</f>
        <v>87</v>
      </c>
      <c r="P1274" s="2">
        <f t="shared" si="98"/>
        <v>-33</v>
      </c>
      <c r="Q1274" s="2">
        <f t="shared" si="99"/>
        <v>-12.66</v>
      </c>
    </row>
    <row r="1275" customHeight="1" spans="1:17">
      <c r="A1275" s="2">
        <v>2026</v>
      </c>
      <c r="B1275" s="2">
        <v>1274</v>
      </c>
      <c r="C1275" s="3">
        <f t="shared" si="100"/>
        <v>47.53</v>
      </c>
      <c r="D1275" s="2" t="s">
        <v>1709</v>
      </c>
      <c r="E1275" s="2">
        <v>50</v>
      </c>
      <c r="F1275" s="2">
        <v>55</v>
      </c>
      <c r="G1275" s="9">
        <v>72</v>
      </c>
      <c r="H1275" s="2" t="s">
        <v>41</v>
      </c>
      <c r="I1275" s="2" t="s">
        <v>577</v>
      </c>
      <c r="J1275" s="4" t="s">
        <v>88</v>
      </c>
      <c r="M1275" s="2">
        <f t="shared" si="96"/>
        <v>30</v>
      </c>
      <c r="N1275" s="2">
        <f t="shared" si="97"/>
        <v>53.2</v>
      </c>
      <c r="O1275" s="2">
        <f>IF(M1275="","",IF(M1275&gt;=1000,95,IF(M1275&lt;=12.5,50,LOOKUP(M1275,{12.5,15,20,30,45,60,75,105,115,150,200,225,250,600,1000},{50,55,60,62,65,68,70,72,75,80,82,85,87,90,95})+(M1275-LOOKUP(M1275,{12.5,15,20,30,45,60,75,105,115,150,200,225,250,600},{12.5,15,20,30,45,60,75,105,115,150,200,225,250,600}))/(LOOKUP(M1275,{12.5,15,20,30,45,60,75,105,115,150,200,225,250,600,1000},{15,20,30,45,60,75,105,115,150,200,225,250,600,1000,1000})-LOOKUP(M1275,{12.5,15,20,30,45,60,75,105,115,150,200,225,250,600},{12.5,15,20,30,45,60,75,105,115,150,200,225,250,600}))*(LOOKUP(M1275,{12.5,15,20,30,45,60,75,105,115,150,200,225,250,600,1000},{55,60,62,65,68,70,72,75,80,82,85,87,90,95,95})-LOOKUP(M1275,{12.5,15,20,30,45,60,75,105,115,150,200,225,250,600,1000},{50,55,60,62,65,68,70,72,75,80,82,85,87,90,95})))))</f>
        <v>62</v>
      </c>
      <c r="P1275" s="2">
        <f t="shared" si="98"/>
        <v>-12</v>
      </c>
      <c r="Q1275" s="2">
        <f t="shared" si="99"/>
        <v>-5.67</v>
      </c>
    </row>
    <row r="1276" customHeight="1" spans="1:17">
      <c r="B1276" s="2">
        <v>1275</v>
      </c>
      <c r="C1276" s="3">
        <f t="shared" si="100"/>
        <v>47.53</v>
      </c>
      <c r="D1276" s="2" t="s">
        <v>1710</v>
      </c>
      <c r="E1276" s="2">
        <v>50</v>
      </c>
      <c r="F1276" s="10">
        <v>81</v>
      </c>
      <c r="G1276" s="2">
        <v>20</v>
      </c>
      <c r="H1276" s="2" t="s">
        <v>37</v>
      </c>
      <c r="I1276" s="2" t="s">
        <v>28</v>
      </c>
      <c r="J1276" s="4" t="s">
        <v>88</v>
      </c>
      <c r="M1276" s="2">
        <f t="shared" si="96"/>
        <v>30</v>
      </c>
      <c r="N1276" s="2">
        <f t="shared" si="97"/>
        <v>53.2</v>
      </c>
      <c r="O1276" s="2">
        <f>IF(M1276="","",IF(M1276&gt;=1000,95,IF(M1276&lt;=12.5,50,LOOKUP(M1276,{12.5,15,20,30,45,60,75,105,115,150,200,225,250,600,1000},{50,55,60,62,65,68,70,72,75,80,82,85,87,90,95})+(M1276-LOOKUP(M1276,{12.5,15,20,30,45,60,75,105,115,150,200,225,250,600},{12.5,15,20,30,45,60,75,105,115,150,200,225,250,600}))/(LOOKUP(M1276,{12.5,15,20,30,45,60,75,105,115,150,200,225,250,600,1000},{15,20,30,45,60,75,105,115,150,200,225,250,600,1000,1000})-LOOKUP(M1276,{12.5,15,20,30,45,60,75,105,115,150,200,225,250,600},{12.5,15,20,30,45,60,75,105,115,150,200,225,250,600}))*(LOOKUP(M1276,{12.5,15,20,30,45,60,75,105,115,150,200,225,250,600,1000},{55,60,62,65,68,70,72,75,80,82,85,87,90,95,95})-LOOKUP(M1276,{12.5,15,20,30,45,60,75,105,115,150,200,225,250,600,1000},{50,55,60,62,65,68,70,72,75,80,82,85,87,90,95})))))</f>
        <v>62</v>
      </c>
      <c r="P1276" s="2">
        <f t="shared" si="98"/>
        <v>-12</v>
      </c>
      <c r="Q1276" s="2">
        <f t="shared" si="99"/>
        <v>-5.67</v>
      </c>
    </row>
    <row r="1277" customHeight="1" spans="1:17">
      <c r="A1277" s="2">
        <v>2026</v>
      </c>
      <c r="B1277" s="2">
        <v>1276</v>
      </c>
      <c r="C1277" s="3">
        <f t="shared" si="100"/>
        <v>47.5</v>
      </c>
      <c r="D1277" s="2" t="s">
        <v>1711</v>
      </c>
      <c r="E1277" s="2">
        <v>53</v>
      </c>
      <c r="F1277" s="2">
        <v>57</v>
      </c>
      <c r="G1277" s="2">
        <v>35</v>
      </c>
      <c r="H1277" s="2" t="s">
        <v>231</v>
      </c>
      <c r="I1277" s="2" t="s">
        <v>321</v>
      </c>
      <c r="J1277" s="4" t="s">
        <v>88</v>
      </c>
      <c r="M1277" s="2">
        <f t="shared" si="96"/>
        <v>30</v>
      </c>
      <c r="N1277" s="2">
        <f t="shared" si="97"/>
        <v>52</v>
      </c>
      <c r="O1277" s="2">
        <f>IF(M1277="","",IF(M1277&gt;=1000,95,IF(M1277&lt;=12.5,50,LOOKUP(M1277,{12.5,15,20,30,45,60,75,105,115,150,200,225,250,600,1000},{50,55,60,62,65,68,70,72,75,80,82,85,87,90,95})+(M1277-LOOKUP(M1277,{12.5,15,20,30,45,60,75,105,115,150,200,225,250,600},{12.5,15,20,30,45,60,75,105,115,150,200,225,250,600}))/(LOOKUP(M1277,{12.5,15,20,30,45,60,75,105,115,150,200,225,250,600,1000},{15,20,30,45,60,75,105,115,150,200,225,250,600,1000,1000})-LOOKUP(M1277,{12.5,15,20,30,45,60,75,105,115,150,200,225,250,600},{12.5,15,20,30,45,60,75,105,115,150,200,225,250,600}))*(LOOKUP(M1277,{12.5,15,20,30,45,60,75,105,115,150,200,225,250,600,1000},{55,60,62,65,68,70,72,75,80,82,85,87,90,95,95})-LOOKUP(M1277,{12.5,15,20,30,45,60,75,105,115,150,200,225,250,600,1000},{50,55,60,62,65,68,70,72,75,80,82,85,87,90,95})))))</f>
        <v>62</v>
      </c>
      <c r="P1277" s="2">
        <f t="shared" si="98"/>
        <v>-9</v>
      </c>
      <c r="Q1277" s="2">
        <f t="shared" si="99"/>
        <v>-4.5</v>
      </c>
    </row>
    <row r="1278" customHeight="1" spans="1:17">
      <c r="B1278" s="2">
        <v>1277</v>
      </c>
      <c r="C1278" s="3">
        <f t="shared" si="100"/>
        <v>47.5</v>
      </c>
      <c r="D1278" s="2" t="s">
        <v>1712</v>
      </c>
      <c r="E1278" s="2">
        <v>53</v>
      </c>
      <c r="F1278" s="2">
        <v>53</v>
      </c>
      <c r="G1278" s="2">
        <v>43</v>
      </c>
      <c r="H1278" s="2" t="s">
        <v>41</v>
      </c>
      <c r="I1278" s="2" t="s">
        <v>63</v>
      </c>
      <c r="J1278" s="4" t="s">
        <v>88</v>
      </c>
      <c r="M1278" s="2">
        <f t="shared" si="96"/>
        <v>30</v>
      </c>
      <c r="N1278" s="2">
        <f t="shared" si="97"/>
        <v>52</v>
      </c>
      <c r="O1278" s="2">
        <f>IF(M1278="","",IF(M1278&gt;=1000,95,IF(M1278&lt;=12.5,50,LOOKUP(M1278,{12.5,15,20,30,45,60,75,105,115,150,200,225,250,600,1000},{50,55,60,62,65,68,70,72,75,80,82,85,87,90,95})+(M1278-LOOKUP(M1278,{12.5,15,20,30,45,60,75,105,115,150,200,225,250,600},{12.5,15,20,30,45,60,75,105,115,150,200,225,250,600}))/(LOOKUP(M1278,{12.5,15,20,30,45,60,75,105,115,150,200,225,250,600,1000},{15,20,30,45,60,75,105,115,150,200,225,250,600,1000,1000})-LOOKUP(M1278,{12.5,15,20,30,45,60,75,105,115,150,200,225,250,600},{12.5,15,20,30,45,60,75,105,115,150,200,225,250,600}))*(LOOKUP(M1278,{12.5,15,20,30,45,60,75,105,115,150,200,225,250,600,1000},{55,60,62,65,68,70,72,75,80,82,85,87,90,95,95})-LOOKUP(M1278,{12.5,15,20,30,45,60,75,105,115,150,200,225,250,600,1000},{50,55,60,62,65,68,70,72,75,80,82,85,87,90,95})))))</f>
        <v>62</v>
      </c>
      <c r="P1278" s="2">
        <f t="shared" si="98"/>
        <v>-9</v>
      </c>
      <c r="Q1278" s="2">
        <f t="shared" si="99"/>
        <v>-4.5</v>
      </c>
    </row>
    <row r="1279" customHeight="1" spans="1:17">
      <c r="B1279" s="2">
        <v>1278</v>
      </c>
      <c r="C1279" s="3">
        <f t="shared" si="100"/>
        <v>47.5</v>
      </c>
      <c r="D1279" s="2" t="s">
        <v>1713</v>
      </c>
      <c r="E1279" s="2">
        <v>54</v>
      </c>
      <c r="F1279" s="2">
        <v>50</v>
      </c>
      <c r="G1279" s="2">
        <v>37</v>
      </c>
      <c r="H1279" s="2" t="s">
        <v>339</v>
      </c>
      <c r="I1279" s="2" t="s">
        <v>63</v>
      </c>
      <c r="J1279" s="4" t="s">
        <v>88</v>
      </c>
      <c r="M1279" s="2">
        <f t="shared" si="96"/>
        <v>30</v>
      </c>
      <c r="N1279" s="2">
        <f t="shared" si="97"/>
        <v>51.5</v>
      </c>
      <c r="O1279" s="2">
        <f>IF(M1279="","",IF(M1279&gt;=1000,95,IF(M1279&lt;=12.5,50,LOOKUP(M1279,{12.5,15,20,30,45,60,75,105,115,150,200,225,250,600,1000},{50,55,60,62,65,68,70,72,75,80,82,85,87,90,95})+(M1279-LOOKUP(M1279,{12.5,15,20,30,45,60,75,105,115,150,200,225,250,600},{12.5,15,20,30,45,60,75,105,115,150,200,225,250,600}))/(LOOKUP(M1279,{12.5,15,20,30,45,60,75,105,115,150,200,225,250,600,1000},{15,20,30,45,60,75,105,115,150,200,225,250,600,1000,1000})-LOOKUP(M1279,{12.5,15,20,30,45,60,75,105,115,150,200,225,250,600},{12.5,15,20,30,45,60,75,105,115,150,200,225,250,600}))*(LOOKUP(M1279,{12.5,15,20,30,45,60,75,105,115,150,200,225,250,600,1000},{55,60,62,65,68,70,72,75,80,82,85,87,90,95,95})-LOOKUP(M1279,{12.5,15,20,30,45,60,75,105,115,150,200,225,250,600,1000},{50,55,60,62,65,68,70,72,75,80,82,85,87,90,95})))))</f>
        <v>62</v>
      </c>
      <c r="P1279" s="2">
        <f t="shared" si="98"/>
        <v>-8</v>
      </c>
      <c r="Q1279" s="2">
        <f t="shared" si="99"/>
        <v>-4</v>
      </c>
    </row>
    <row r="1280" customHeight="1" spans="1:17">
      <c r="A1280" s="2">
        <v>2026</v>
      </c>
      <c r="B1280" s="2">
        <v>1279</v>
      </c>
      <c r="C1280" s="3">
        <f t="shared" si="100"/>
        <v>47.5</v>
      </c>
      <c r="D1280" s="2" t="s">
        <v>1714</v>
      </c>
      <c r="E1280" s="2">
        <v>52</v>
      </c>
      <c r="F1280" s="2">
        <v>51</v>
      </c>
      <c r="G1280" s="2">
        <v>59</v>
      </c>
      <c r="H1280" s="2" t="s">
        <v>108</v>
      </c>
      <c r="I1280" s="2" t="s">
        <v>63</v>
      </c>
      <c r="J1280" s="4" t="s">
        <v>88</v>
      </c>
      <c r="M1280" s="2">
        <f t="shared" si="96"/>
        <v>30</v>
      </c>
      <c r="N1280" s="2">
        <f t="shared" si="97"/>
        <v>52.5</v>
      </c>
      <c r="O1280" s="2">
        <f>IF(M1280="","",IF(M1280&gt;=1000,95,IF(M1280&lt;=12.5,50,LOOKUP(M1280,{12.5,15,20,30,45,60,75,105,115,150,200,225,250,600,1000},{50,55,60,62,65,68,70,72,75,80,82,85,87,90,95})+(M1280-LOOKUP(M1280,{12.5,15,20,30,45,60,75,105,115,150,200,225,250,600},{12.5,15,20,30,45,60,75,105,115,150,200,225,250,600}))/(LOOKUP(M1280,{12.5,15,20,30,45,60,75,105,115,150,200,225,250,600,1000},{15,20,30,45,60,75,105,115,150,200,225,250,600,1000,1000})-LOOKUP(M1280,{12.5,15,20,30,45,60,75,105,115,150,200,225,250,600},{12.5,15,20,30,45,60,75,105,115,150,200,225,250,600}))*(LOOKUP(M1280,{12.5,15,20,30,45,60,75,105,115,150,200,225,250,600,1000},{55,60,62,65,68,70,72,75,80,82,85,87,90,95,95})-LOOKUP(M1280,{12.5,15,20,30,45,60,75,105,115,150,200,225,250,600,1000},{50,55,60,62,65,68,70,72,75,80,82,85,87,90,95})))))</f>
        <v>62</v>
      </c>
      <c r="P1280" s="2">
        <f t="shared" si="98"/>
        <v>-10</v>
      </c>
      <c r="Q1280" s="2">
        <f t="shared" si="99"/>
        <v>-5</v>
      </c>
    </row>
    <row r="1281" customHeight="1" spans="1:17">
      <c r="B1281" s="2">
        <v>1280</v>
      </c>
      <c r="C1281" s="3">
        <f t="shared" si="100"/>
        <v>47.46</v>
      </c>
      <c r="D1281" s="2" t="s">
        <v>1715</v>
      </c>
      <c r="E1281" s="2">
        <v>54</v>
      </c>
      <c r="F1281" s="2">
        <v>55</v>
      </c>
      <c r="G1281" s="2">
        <v>50</v>
      </c>
      <c r="H1281" s="2" t="s">
        <v>41</v>
      </c>
      <c r="I1281" s="2" t="s">
        <v>128</v>
      </c>
      <c r="J1281" s="4" t="s">
        <v>34</v>
      </c>
      <c r="M1281" s="2">
        <f t="shared" si="96"/>
        <v>60</v>
      </c>
      <c r="N1281" s="2">
        <f t="shared" si="97"/>
        <v>53.8</v>
      </c>
      <c r="O1281" s="2">
        <f>IF(M1281="","",IF(M1281&gt;=1000,95,IF(M1281&lt;=12.5,50,LOOKUP(M1281,{12.5,15,20,30,45,60,75,105,115,150,200,225,250,600,1000},{50,55,60,62,65,68,70,72,75,80,82,85,87,90,95})+(M1281-LOOKUP(M1281,{12.5,15,20,30,45,60,75,105,115,150,200,225,250,600},{12.5,15,20,30,45,60,75,105,115,150,200,225,250,600}))/(LOOKUP(M1281,{12.5,15,20,30,45,60,75,105,115,150,200,225,250,600,1000},{15,20,30,45,60,75,105,115,150,200,225,250,600,1000,1000})-LOOKUP(M1281,{12.5,15,20,30,45,60,75,105,115,150,200,225,250,600},{12.5,15,20,30,45,60,75,105,115,150,200,225,250,600}))*(LOOKUP(M1281,{12.5,15,20,30,45,60,75,105,115,150,200,225,250,600,1000},{55,60,62,65,68,70,72,75,80,82,85,87,90,95,95})-LOOKUP(M1281,{12.5,15,20,30,45,60,75,105,115,150,200,225,250,600,1000},{50,55,60,62,65,68,70,72,75,80,82,85,87,90,95})))))</f>
        <v>68</v>
      </c>
      <c r="P1281" s="2">
        <f t="shared" si="98"/>
        <v>-14</v>
      </c>
      <c r="Q1281" s="2">
        <f t="shared" si="99"/>
        <v>-6.34</v>
      </c>
    </row>
    <row r="1282" customHeight="1" spans="1:17">
      <c r="B1282" s="2">
        <v>1281</v>
      </c>
      <c r="C1282" s="3">
        <f t="shared" si="100"/>
        <v>47.4</v>
      </c>
      <c r="D1282" s="2" t="s">
        <v>1716</v>
      </c>
      <c r="E1282" s="2">
        <v>52</v>
      </c>
      <c r="F1282" s="2">
        <v>55</v>
      </c>
      <c r="G1282" s="2">
        <v>50</v>
      </c>
      <c r="H1282" s="2" t="s">
        <v>37</v>
      </c>
      <c r="I1282" s="2" t="s">
        <v>503</v>
      </c>
      <c r="J1282" s="4" t="s">
        <v>88</v>
      </c>
      <c r="M1282" s="2">
        <f t="shared" ref="M1282:M1345" si="101">IF(J1282="1000+",1000,(LEFT(J1282,FIND("-",J1282)-1)+RIGHT(J1282,LEN(J1282)-FIND("-",J1282)))/2)</f>
        <v>30</v>
      </c>
      <c r="N1282" s="2">
        <f t="shared" ref="N1282:N1345" si="102">ROUND(E1282*0.7+F1282*0.2+G1282*0.1,2)</f>
        <v>52.4</v>
      </c>
      <c r="O1282" s="2">
        <f>IF(M1282="","",IF(M1282&gt;=1000,95,IF(M1282&lt;=12.5,50,LOOKUP(M1282,{12.5,15,20,30,45,60,75,105,115,150,200,225,250,600,1000},{50,55,60,62,65,68,70,72,75,80,82,85,87,90,95})+(M1282-LOOKUP(M1282,{12.5,15,20,30,45,60,75,105,115,150,200,225,250,600},{12.5,15,20,30,45,60,75,105,115,150,200,225,250,600}))/(LOOKUP(M1282,{12.5,15,20,30,45,60,75,105,115,150,200,225,250,600,1000},{15,20,30,45,60,75,105,115,150,200,225,250,600,1000,1000})-LOOKUP(M1282,{12.5,15,20,30,45,60,75,105,115,150,200,225,250,600},{12.5,15,20,30,45,60,75,105,115,150,200,225,250,600}))*(LOOKUP(M1282,{12.5,15,20,30,45,60,75,105,115,150,200,225,250,600,1000},{55,60,62,65,68,70,72,75,80,82,85,87,90,95,95})-LOOKUP(M1282,{12.5,15,20,30,45,60,75,105,115,150,200,225,250,600,1000},{50,55,60,62,65,68,70,72,75,80,82,85,87,90,95})))))</f>
        <v>62</v>
      </c>
      <c r="P1282" s="2">
        <f t="shared" si="98"/>
        <v>-10</v>
      </c>
      <c r="Q1282" s="2">
        <f t="shared" si="99"/>
        <v>-5</v>
      </c>
    </row>
    <row r="1283" customHeight="1" spans="1:17">
      <c r="B1283" s="2">
        <v>1282</v>
      </c>
      <c r="C1283" s="3">
        <f t="shared" si="100"/>
        <v>47.37</v>
      </c>
      <c r="D1283" s="2" t="s">
        <v>1717</v>
      </c>
      <c r="E1283" s="2">
        <v>56</v>
      </c>
      <c r="F1283" s="12">
        <v>65</v>
      </c>
      <c r="G1283" s="12">
        <v>65</v>
      </c>
      <c r="H1283" s="2" t="s">
        <v>444</v>
      </c>
      <c r="I1283" s="2" t="s">
        <v>33</v>
      </c>
      <c r="J1283" s="4" t="s">
        <v>19</v>
      </c>
      <c r="M1283" s="2">
        <f t="shared" si="101"/>
        <v>225</v>
      </c>
      <c r="N1283" s="2">
        <f t="shared" si="102"/>
        <v>58.7</v>
      </c>
      <c r="O1283" s="2">
        <f>IF(M1283="","",IF(M1283&gt;=1000,95,IF(M1283&lt;=12.5,50,LOOKUP(M1283,{12.5,15,20,30,45,60,75,105,115,150,200,225,250,600,1000},{50,55,60,62,65,68,70,72,75,80,82,85,87,90,95})+(M1283-LOOKUP(M1283,{12.5,15,20,30,45,60,75,105,115,150,200,225,250,600},{12.5,15,20,30,45,60,75,105,115,150,200,225,250,600}))/(LOOKUP(M1283,{12.5,15,20,30,45,60,75,105,115,150,200,225,250,600,1000},{15,20,30,45,60,75,105,115,150,200,225,250,600,1000,1000})-LOOKUP(M1283,{12.5,15,20,30,45,60,75,105,115,150,200,225,250,600},{12.5,15,20,30,45,60,75,105,115,150,200,225,250,600}))*(LOOKUP(M1283,{12.5,15,20,30,45,60,75,105,115,150,200,225,250,600,1000},{55,60,62,65,68,70,72,75,80,82,85,87,90,95,95})-LOOKUP(M1283,{12.5,15,20,30,45,60,75,105,115,150,200,225,250,600,1000},{50,55,60,62,65,68,70,72,75,80,82,85,87,90,95})))))</f>
        <v>85</v>
      </c>
      <c r="P1283" s="2">
        <f t="shared" si="98"/>
        <v>-29</v>
      </c>
      <c r="Q1283" s="2">
        <f t="shared" si="99"/>
        <v>-11.33</v>
      </c>
    </row>
    <row r="1284" customHeight="1" spans="1:17">
      <c r="B1284" s="2">
        <v>1283</v>
      </c>
      <c r="C1284" s="3">
        <f t="shared" si="100"/>
        <v>47.34</v>
      </c>
      <c r="D1284" s="2" t="s">
        <v>1718</v>
      </c>
      <c r="E1284" s="2">
        <v>52</v>
      </c>
      <c r="F1284" s="9">
        <v>75</v>
      </c>
      <c r="G1284" s="10">
        <v>86</v>
      </c>
      <c r="H1284" s="2" t="s">
        <v>41</v>
      </c>
      <c r="I1284" s="2" t="s">
        <v>63</v>
      </c>
      <c r="J1284" s="4" t="s">
        <v>19</v>
      </c>
      <c r="M1284" s="2">
        <f t="shared" si="101"/>
        <v>225</v>
      </c>
      <c r="N1284" s="2">
        <f t="shared" si="102"/>
        <v>60</v>
      </c>
      <c r="O1284" s="2">
        <f>IF(M1284="","",IF(M1284&gt;=1000,95,IF(M1284&lt;=12.5,50,LOOKUP(M1284,{12.5,15,20,30,45,60,75,105,115,150,200,225,250,600,1000},{50,55,60,62,65,68,70,72,75,80,82,85,87,90,95})+(M1284-LOOKUP(M1284,{12.5,15,20,30,45,60,75,105,115,150,200,225,250,600},{12.5,15,20,30,45,60,75,105,115,150,200,225,250,600}))/(LOOKUP(M1284,{12.5,15,20,30,45,60,75,105,115,150,200,225,250,600,1000},{15,20,30,45,60,75,105,115,150,200,225,250,600,1000,1000})-LOOKUP(M1284,{12.5,15,20,30,45,60,75,105,115,150,200,225,250,600},{12.5,15,20,30,45,60,75,105,115,150,200,225,250,600}))*(LOOKUP(M1284,{12.5,15,20,30,45,60,75,105,115,150,200,225,250,600,1000},{55,60,62,65,68,70,72,75,80,82,85,87,90,95,95})-LOOKUP(M1284,{12.5,15,20,30,45,60,75,105,115,150,200,225,250,600,1000},{50,55,60,62,65,68,70,72,75,80,82,85,87,90,95})))))</f>
        <v>85</v>
      </c>
      <c r="P1284" s="2">
        <f t="shared" si="98"/>
        <v>-33</v>
      </c>
      <c r="Q1284" s="2">
        <f t="shared" si="99"/>
        <v>-12.66</v>
      </c>
    </row>
    <row r="1285" customHeight="1" spans="1:17">
      <c r="B1285" s="2">
        <v>1284</v>
      </c>
      <c r="C1285" s="3">
        <f t="shared" si="100"/>
        <v>47.3</v>
      </c>
      <c r="D1285" s="2" t="s">
        <v>1719</v>
      </c>
      <c r="E1285" s="2">
        <v>54</v>
      </c>
      <c r="F1285" s="2">
        <v>50</v>
      </c>
      <c r="G1285" s="2">
        <v>35</v>
      </c>
      <c r="H1285" s="2" t="s">
        <v>41</v>
      </c>
      <c r="I1285" s="2" t="s">
        <v>128</v>
      </c>
      <c r="J1285" s="4" t="s">
        <v>88</v>
      </c>
      <c r="M1285" s="2">
        <f t="shared" si="101"/>
        <v>30</v>
      </c>
      <c r="N1285" s="2">
        <f t="shared" si="102"/>
        <v>51.3</v>
      </c>
      <c r="O1285" s="2">
        <f>IF(M1285="","",IF(M1285&gt;=1000,95,IF(M1285&lt;=12.5,50,LOOKUP(M1285,{12.5,15,20,30,45,60,75,105,115,150,200,225,250,600,1000},{50,55,60,62,65,68,70,72,75,80,82,85,87,90,95})+(M1285-LOOKUP(M1285,{12.5,15,20,30,45,60,75,105,115,150,200,225,250,600},{12.5,15,20,30,45,60,75,105,115,150,200,225,250,600}))/(LOOKUP(M1285,{12.5,15,20,30,45,60,75,105,115,150,200,225,250,600,1000},{15,20,30,45,60,75,105,115,150,200,225,250,600,1000,1000})-LOOKUP(M1285,{12.5,15,20,30,45,60,75,105,115,150,200,225,250,600},{12.5,15,20,30,45,60,75,105,115,150,200,225,250,600}))*(LOOKUP(M1285,{12.5,15,20,30,45,60,75,105,115,150,200,225,250,600,1000},{55,60,62,65,68,70,72,75,80,82,85,87,90,95,95})-LOOKUP(M1285,{12.5,15,20,30,45,60,75,105,115,150,200,225,250,600,1000},{50,55,60,62,65,68,70,72,75,80,82,85,87,90,95})))))</f>
        <v>62</v>
      </c>
      <c r="P1285" s="2">
        <f t="shared" si="98"/>
        <v>-8</v>
      </c>
      <c r="Q1285" s="2">
        <f t="shared" si="99"/>
        <v>-4</v>
      </c>
    </row>
    <row r="1286" customHeight="1" spans="1:17">
      <c r="B1286" s="2">
        <v>1285</v>
      </c>
      <c r="C1286" s="3">
        <f t="shared" si="100"/>
        <v>47.27</v>
      </c>
      <c r="D1286" s="2" t="s">
        <v>1720</v>
      </c>
      <c r="E1286" s="2">
        <v>51</v>
      </c>
      <c r="F1286" s="2">
        <v>50</v>
      </c>
      <c r="G1286" s="12">
        <v>69</v>
      </c>
      <c r="H1286" s="2" t="s">
        <v>66</v>
      </c>
      <c r="I1286" s="2" t="s">
        <v>503</v>
      </c>
      <c r="J1286" s="4" t="s">
        <v>88</v>
      </c>
      <c r="M1286" s="2">
        <f t="shared" si="101"/>
        <v>30</v>
      </c>
      <c r="N1286" s="2">
        <f t="shared" si="102"/>
        <v>52.6</v>
      </c>
      <c r="O1286" s="2">
        <f>IF(M1286="","",IF(M1286&gt;=1000,95,IF(M1286&lt;=12.5,50,LOOKUP(M1286,{12.5,15,20,30,45,60,75,105,115,150,200,225,250,600,1000},{50,55,60,62,65,68,70,72,75,80,82,85,87,90,95})+(M1286-LOOKUP(M1286,{12.5,15,20,30,45,60,75,105,115,150,200,225,250,600},{12.5,15,20,30,45,60,75,105,115,150,200,225,250,600}))/(LOOKUP(M1286,{12.5,15,20,30,45,60,75,105,115,150,200,225,250,600,1000},{15,20,30,45,60,75,105,115,150,200,225,250,600,1000,1000})-LOOKUP(M1286,{12.5,15,20,30,45,60,75,105,115,150,200,225,250,600},{12.5,15,20,30,45,60,75,105,115,150,200,225,250,600}))*(LOOKUP(M1286,{12.5,15,20,30,45,60,75,105,115,150,200,225,250,600,1000},{55,60,62,65,68,70,72,75,80,82,85,87,90,95,95})-LOOKUP(M1286,{12.5,15,20,30,45,60,75,105,115,150,200,225,250,600,1000},{50,55,60,62,65,68,70,72,75,80,82,85,87,90,95})))))</f>
        <v>62</v>
      </c>
      <c r="P1286" s="2">
        <f t="shared" ref="P1286:P1349" si="103">E1286-O1286</f>
        <v>-11</v>
      </c>
      <c r="Q1286" s="2">
        <f t="shared" ref="Q1286:Q1349" si="104">ROUND(SIGN(P1286)*IF(ABS(P1286)&lt;=10,ABS(P1286)*0.5,IF(ABS(P1286)&lt;=15,5+(ABS(P1286)-10)*(1.67/5),6.67+(ABS(P1286)-15)*0.333)),2)</f>
        <v>-5.33</v>
      </c>
    </row>
    <row r="1287" customHeight="1" spans="1:17">
      <c r="B1287" s="2">
        <v>1286</v>
      </c>
      <c r="C1287" s="3">
        <f t="shared" si="100"/>
        <v>47.26</v>
      </c>
      <c r="D1287" s="2" t="s">
        <v>1721</v>
      </c>
      <c r="E1287" s="2">
        <v>53</v>
      </c>
      <c r="F1287" s="2">
        <v>55</v>
      </c>
      <c r="G1287" s="12">
        <v>65</v>
      </c>
      <c r="H1287" s="2" t="s">
        <v>367</v>
      </c>
      <c r="I1287" s="2" t="s">
        <v>33</v>
      </c>
      <c r="J1287" s="4" t="s">
        <v>24</v>
      </c>
      <c r="M1287" s="2">
        <f t="shared" si="101"/>
        <v>75</v>
      </c>
      <c r="N1287" s="2">
        <f t="shared" si="102"/>
        <v>54.6</v>
      </c>
      <c r="O1287" s="2">
        <f>IF(M1287="","",IF(M1287&gt;=1000,95,IF(M1287&lt;=12.5,50,LOOKUP(M1287,{12.5,15,20,30,45,60,75,105,115,150,200,225,250,600,1000},{50,55,60,62,65,68,70,72,75,80,82,85,87,90,95})+(M1287-LOOKUP(M1287,{12.5,15,20,30,45,60,75,105,115,150,200,225,250,600},{12.5,15,20,30,45,60,75,105,115,150,200,225,250,600}))/(LOOKUP(M1287,{12.5,15,20,30,45,60,75,105,115,150,200,225,250,600,1000},{15,20,30,45,60,75,105,115,150,200,225,250,600,1000,1000})-LOOKUP(M1287,{12.5,15,20,30,45,60,75,105,115,150,200,225,250,600},{12.5,15,20,30,45,60,75,105,115,150,200,225,250,600}))*(LOOKUP(M1287,{12.5,15,20,30,45,60,75,105,115,150,200,225,250,600,1000},{55,60,62,65,68,70,72,75,80,82,85,87,90,95,95})-LOOKUP(M1287,{12.5,15,20,30,45,60,75,105,115,150,200,225,250,600,1000},{50,55,60,62,65,68,70,72,75,80,82,85,87,90,95})))))</f>
        <v>70</v>
      </c>
      <c r="P1287" s="2">
        <f t="shared" si="103"/>
        <v>-17</v>
      </c>
      <c r="Q1287" s="2">
        <f t="shared" si="104"/>
        <v>-7.34</v>
      </c>
    </row>
    <row r="1288" customHeight="1" spans="1:17">
      <c r="B1288" s="2">
        <v>1287</v>
      </c>
      <c r="C1288" s="3">
        <f t="shared" si="100"/>
        <v>47.2</v>
      </c>
      <c r="D1288" s="2" t="s">
        <v>1722</v>
      </c>
      <c r="E1288" s="2">
        <v>52</v>
      </c>
      <c r="F1288" s="2">
        <v>50</v>
      </c>
      <c r="G1288" s="2">
        <v>48</v>
      </c>
      <c r="H1288" s="2" t="s">
        <v>829</v>
      </c>
      <c r="I1288" s="2" t="s">
        <v>28</v>
      </c>
      <c r="J1288" s="4" t="s">
        <v>140</v>
      </c>
      <c r="M1288" s="2">
        <f t="shared" si="101"/>
        <v>20</v>
      </c>
      <c r="N1288" s="2">
        <f t="shared" si="102"/>
        <v>51.2</v>
      </c>
      <c r="O1288" s="2">
        <f>IF(M1288="","",IF(M1288&gt;=1000,95,IF(M1288&lt;=12.5,50,LOOKUP(M1288,{12.5,15,20,30,45,60,75,105,115,150,200,225,250,600,1000},{50,55,60,62,65,68,70,72,75,80,82,85,87,90,95})+(M1288-LOOKUP(M1288,{12.5,15,20,30,45,60,75,105,115,150,200,225,250,600},{12.5,15,20,30,45,60,75,105,115,150,200,225,250,600}))/(LOOKUP(M1288,{12.5,15,20,30,45,60,75,105,115,150,200,225,250,600,1000},{15,20,30,45,60,75,105,115,150,200,225,250,600,1000,1000})-LOOKUP(M1288,{12.5,15,20,30,45,60,75,105,115,150,200,225,250,600},{12.5,15,20,30,45,60,75,105,115,150,200,225,250,600}))*(LOOKUP(M1288,{12.5,15,20,30,45,60,75,105,115,150,200,225,250,600,1000},{55,60,62,65,68,70,72,75,80,82,85,87,90,95,95})-LOOKUP(M1288,{12.5,15,20,30,45,60,75,105,115,150,200,225,250,600,1000},{50,55,60,62,65,68,70,72,75,80,82,85,87,90,95})))))</f>
        <v>60</v>
      </c>
      <c r="P1288" s="2">
        <f t="shared" si="103"/>
        <v>-8</v>
      </c>
      <c r="Q1288" s="2">
        <f t="shared" si="104"/>
        <v>-4</v>
      </c>
    </row>
    <row r="1289" customHeight="1" spans="1:17">
      <c r="B1289" s="2">
        <v>1288</v>
      </c>
      <c r="C1289" s="3">
        <f t="shared" si="100"/>
        <v>47.13</v>
      </c>
      <c r="D1289" s="2" t="s">
        <v>1723</v>
      </c>
      <c r="E1289" s="2">
        <v>53</v>
      </c>
      <c r="F1289" s="2">
        <v>56</v>
      </c>
      <c r="G1289" s="2">
        <v>55</v>
      </c>
      <c r="H1289" s="2" t="s">
        <v>41</v>
      </c>
      <c r="I1289" s="2" t="s">
        <v>33</v>
      </c>
      <c r="J1289" s="4" t="s">
        <v>34</v>
      </c>
      <c r="M1289" s="2">
        <f t="shared" si="101"/>
        <v>60</v>
      </c>
      <c r="N1289" s="2">
        <f t="shared" si="102"/>
        <v>53.8</v>
      </c>
      <c r="O1289" s="2">
        <f>IF(M1289="","",IF(M1289&gt;=1000,95,IF(M1289&lt;=12.5,50,LOOKUP(M1289,{12.5,15,20,30,45,60,75,105,115,150,200,225,250,600,1000},{50,55,60,62,65,68,70,72,75,80,82,85,87,90,95})+(M1289-LOOKUP(M1289,{12.5,15,20,30,45,60,75,105,115,150,200,225,250,600},{12.5,15,20,30,45,60,75,105,115,150,200,225,250,600}))/(LOOKUP(M1289,{12.5,15,20,30,45,60,75,105,115,150,200,225,250,600,1000},{15,20,30,45,60,75,105,115,150,200,225,250,600,1000,1000})-LOOKUP(M1289,{12.5,15,20,30,45,60,75,105,115,150,200,225,250,600},{12.5,15,20,30,45,60,75,105,115,150,200,225,250,600}))*(LOOKUP(M1289,{12.5,15,20,30,45,60,75,105,115,150,200,225,250,600,1000},{55,60,62,65,68,70,72,75,80,82,85,87,90,95,95})-LOOKUP(M1289,{12.5,15,20,30,45,60,75,105,115,150,200,225,250,600,1000},{50,55,60,62,65,68,70,72,75,80,82,85,87,90,95})))))</f>
        <v>68</v>
      </c>
      <c r="P1289" s="2">
        <f t="shared" si="103"/>
        <v>-15</v>
      </c>
      <c r="Q1289" s="2">
        <f t="shared" si="104"/>
        <v>-6.67</v>
      </c>
    </row>
    <row r="1290" customHeight="1" spans="1:17">
      <c r="B1290" s="2">
        <v>1289</v>
      </c>
      <c r="C1290" s="3">
        <f t="shared" si="100"/>
        <v>47.06</v>
      </c>
      <c r="D1290" s="2" t="s">
        <v>1724</v>
      </c>
      <c r="E1290" s="2">
        <v>54</v>
      </c>
      <c r="F1290" s="2">
        <v>59</v>
      </c>
      <c r="G1290" s="2">
        <v>38</v>
      </c>
      <c r="H1290" s="2" t="s">
        <v>914</v>
      </c>
      <c r="I1290" s="2" t="s">
        <v>128</v>
      </c>
      <c r="J1290" s="4" t="s">
        <v>34</v>
      </c>
      <c r="M1290" s="2">
        <f t="shared" si="101"/>
        <v>60</v>
      </c>
      <c r="N1290" s="2">
        <f t="shared" si="102"/>
        <v>53.4</v>
      </c>
      <c r="O1290" s="2">
        <f>IF(M1290="","",IF(M1290&gt;=1000,95,IF(M1290&lt;=12.5,50,LOOKUP(M1290,{12.5,15,20,30,45,60,75,105,115,150,200,225,250,600,1000},{50,55,60,62,65,68,70,72,75,80,82,85,87,90,95})+(M1290-LOOKUP(M1290,{12.5,15,20,30,45,60,75,105,115,150,200,225,250,600},{12.5,15,20,30,45,60,75,105,115,150,200,225,250,600}))/(LOOKUP(M1290,{12.5,15,20,30,45,60,75,105,115,150,200,225,250,600,1000},{15,20,30,45,60,75,105,115,150,200,225,250,600,1000,1000})-LOOKUP(M1290,{12.5,15,20,30,45,60,75,105,115,150,200,225,250,600},{12.5,15,20,30,45,60,75,105,115,150,200,225,250,600}))*(LOOKUP(M1290,{12.5,15,20,30,45,60,75,105,115,150,200,225,250,600,1000},{55,60,62,65,68,70,72,75,80,82,85,87,90,95,95})-LOOKUP(M1290,{12.5,15,20,30,45,60,75,105,115,150,200,225,250,600,1000},{50,55,60,62,65,68,70,72,75,80,82,85,87,90,95})))))</f>
        <v>68</v>
      </c>
      <c r="P1290" s="2">
        <f t="shared" si="103"/>
        <v>-14</v>
      </c>
      <c r="Q1290" s="2">
        <f t="shared" si="104"/>
        <v>-6.34</v>
      </c>
    </row>
    <row r="1291" customHeight="1" spans="1:17">
      <c r="B1291" s="2">
        <v>1290</v>
      </c>
      <c r="C1291" s="3">
        <f t="shared" si="100"/>
        <v>47</v>
      </c>
      <c r="D1291" s="2" t="s">
        <v>1725</v>
      </c>
      <c r="E1291" s="2">
        <v>53</v>
      </c>
      <c r="F1291" s="9">
        <v>76</v>
      </c>
      <c r="G1291" s="9">
        <v>77</v>
      </c>
      <c r="H1291" s="2" t="s">
        <v>264</v>
      </c>
      <c r="I1291" s="2" t="s">
        <v>638</v>
      </c>
      <c r="J1291" s="4" t="s">
        <v>123</v>
      </c>
      <c r="M1291" s="2">
        <f t="shared" si="101"/>
        <v>250</v>
      </c>
      <c r="N1291" s="2">
        <f t="shared" si="102"/>
        <v>60</v>
      </c>
      <c r="O1291" s="2">
        <f>IF(M1291="","",IF(M1291&gt;=1000,95,IF(M1291&lt;=12.5,50,LOOKUP(M1291,{12.5,15,20,30,45,60,75,105,115,150,200,225,250,600,1000},{50,55,60,62,65,68,70,72,75,80,82,85,87,90,95})+(M1291-LOOKUP(M1291,{12.5,15,20,30,45,60,75,105,115,150,200,225,250,600},{12.5,15,20,30,45,60,75,105,115,150,200,225,250,600}))/(LOOKUP(M1291,{12.5,15,20,30,45,60,75,105,115,150,200,225,250,600,1000},{15,20,30,45,60,75,105,115,150,200,225,250,600,1000,1000})-LOOKUP(M1291,{12.5,15,20,30,45,60,75,105,115,150,200,225,250,600},{12.5,15,20,30,45,60,75,105,115,150,200,225,250,600}))*(LOOKUP(M1291,{12.5,15,20,30,45,60,75,105,115,150,200,225,250,600,1000},{55,60,62,65,68,70,72,75,80,82,85,87,90,95,95})-LOOKUP(M1291,{12.5,15,20,30,45,60,75,105,115,150,200,225,250,600,1000},{50,55,60,62,65,68,70,72,75,80,82,85,87,90,95})))))</f>
        <v>87</v>
      </c>
      <c r="P1291" s="2">
        <f t="shared" si="103"/>
        <v>-34</v>
      </c>
      <c r="Q1291" s="2">
        <f t="shared" si="104"/>
        <v>-13</v>
      </c>
    </row>
    <row r="1292" customHeight="1" spans="1:17">
      <c r="B1292" s="2">
        <v>1291</v>
      </c>
      <c r="C1292" s="3">
        <f t="shared" si="100"/>
        <v>47</v>
      </c>
      <c r="D1292" s="2" t="s">
        <v>1726</v>
      </c>
      <c r="E1292" s="2">
        <v>55</v>
      </c>
      <c r="F1292" s="2">
        <v>40</v>
      </c>
      <c r="G1292" s="2">
        <v>40</v>
      </c>
      <c r="H1292" s="2" t="s">
        <v>41</v>
      </c>
      <c r="I1292" s="2" t="s">
        <v>321</v>
      </c>
      <c r="J1292" s="4" t="s">
        <v>88</v>
      </c>
      <c r="M1292" s="2">
        <f t="shared" si="101"/>
        <v>30</v>
      </c>
      <c r="N1292" s="2">
        <f t="shared" si="102"/>
        <v>50.5</v>
      </c>
      <c r="O1292" s="2">
        <f>IF(M1292="","",IF(M1292&gt;=1000,95,IF(M1292&lt;=12.5,50,LOOKUP(M1292,{12.5,15,20,30,45,60,75,105,115,150,200,225,250,600,1000},{50,55,60,62,65,68,70,72,75,80,82,85,87,90,95})+(M1292-LOOKUP(M1292,{12.5,15,20,30,45,60,75,105,115,150,200,225,250,600},{12.5,15,20,30,45,60,75,105,115,150,200,225,250,600}))/(LOOKUP(M1292,{12.5,15,20,30,45,60,75,105,115,150,200,225,250,600,1000},{15,20,30,45,60,75,105,115,150,200,225,250,600,1000,1000})-LOOKUP(M1292,{12.5,15,20,30,45,60,75,105,115,150,200,225,250,600},{12.5,15,20,30,45,60,75,105,115,150,200,225,250,600}))*(LOOKUP(M1292,{12.5,15,20,30,45,60,75,105,115,150,200,225,250,600,1000},{55,60,62,65,68,70,72,75,80,82,85,87,90,95,95})-LOOKUP(M1292,{12.5,15,20,30,45,60,75,105,115,150,200,225,250,600,1000},{50,55,60,62,65,68,70,72,75,80,82,85,87,90,95})))))</f>
        <v>62</v>
      </c>
      <c r="P1292" s="2">
        <f t="shared" si="103"/>
        <v>-7</v>
      </c>
      <c r="Q1292" s="2">
        <f t="shared" si="104"/>
        <v>-3.5</v>
      </c>
    </row>
    <row r="1293" customHeight="1" spans="1:17">
      <c r="A1293" s="2">
        <v>2026</v>
      </c>
      <c r="B1293" s="2">
        <v>1292</v>
      </c>
      <c r="C1293" s="3">
        <f t="shared" si="100"/>
        <v>47</v>
      </c>
      <c r="D1293" s="2" t="s">
        <v>1727</v>
      </c>
      <c r="E1293" s="2">
        <v>53</v>
      </c>
      <c r="F1293" s="2">
        <v>25</v>
      </c>
      <c r="G1293" s="2">
        <v>34</v>
      </c>
      <c r="H1293" s="2" t="s">
        <v>116</v>
      </c>
      <c r="I1293" s="2" t="s">
        <v>63</v>
      </c>
      <c r="J1293" s="4" t="s">
        <v>77</v>
      </c>
      <c r="M1293" s="2">
        <f t="shared" si="101"/>
        <v>12.5</v>
      </c>
      <c r="N1293" s="2">
        <f t="shared" si="102"/>
        <v>45.5</v>
      </c>
      <c r="O1293" s="2">
        <f>IF(M1293="","",IF(M1293&gt;=1000,95,IF(M1293&lt;=12.5,50,LOOKUP(M1293,{12.5,15,20,30,45,60,75,105,115,150,200,225,250,600,1000},{50,55,60,62,65,68,70,72,75,80,82,85,87,90,95})+(M1293-LOOKUP(M1293,{12.5,15,20,30,45,60,75,105,115,150,200,225,250,600},{12.5,15,20,30,45,60,75,105,115,150,200,225,250,600}))/(LOOKUP(M1293,{12.5,15,20,30,45,60,75,105,115,150,200,225,250,600,1000},{15,20,30,45,60,75,105,115,150,200,225,250,600,1000,1000})-LOOKUP(M1293,{12.5,15,20,30,45,60,75,105,115,150,200,225,250,600},{12.5,15,20,30,45,60,75,105,115,150,200,225,250,600}))*(LOOKUP(M1293,{12.5,15,20,30,45,60,75,105,115,150,200,225,250,600,1000},{55,60,62,65,68,70,72,75,80,82,85,87,90,95,95})-LOOKUP(M1293,{12.5,15,20,30,45,60,75,105,115,150,200,225,250,600,1000},{50,55,60,62,65,68,70,72,75,80,82,85,87,90,95})))))</f>
        <v>50</v>
      </c>
      <c r="P1293" s="2">
        <f t="shared" si="103"/>
        <v>3</v>
      </c>
      <c r="Q1293" s="2">
        <f t="shared" si="104"/>
        <v>1.5</v>
      </c>
    </row>
    <row r="1294" customHeight="1" spans="1:17">
      <c r="B1294" s="2">
        <v>1293</v>
      </c>
      <c r="C1294" s="3">
        <f t="shared" si="100"/>
        <v>46.93</v>
      </c>
      <c r="D1294" s="2" t="s">
        <v>1728</v>
      </c>
      <c r="E1294" s="2">
        <v>52</v>
      </c>
      <c r="F1294" s="12">
        <v>65</v>
      </c>
      <c r="G1294" s="2">
        <v>52</v>
      </c>
      <c r="H1294" s="2" t="s">
        <v>91</v>
      </c>
      <c r="I1294" s="2" t="s">
        <v>33</v>
      </c>
      <c r="J1294" s="4" t="s">
        <v>24</v>
      </c>
      <c r="M1294" s="2">
        <f t="shared" si="101"/>
        <v>75</v>
      </c>
      <c r="N1294" s="2">
        <f t="shared" si="102"/>
        <v>54.6</v>
      </c>
      <c r="O1294" s="2">
        <f>IF(M1294="","",IF(M1294&gt;=1000,95,IF(M1294&lt;=12.5,50,LOOKUP(M1294,{12.5,15,20,30,45,60,75,105,115,150,200,225,250,600,1000},{50,55,60,62,65,68,70,72,75,80,82,85,87,90,95})+(M1294-LOOKUP(M1294,{12.5,15,20,30,45,60,75,105,115,150,200,225,250,600},{12.5,15,20,30,45,60,75,105,115,150,200,225,250,600}))/(LOOKUP(M1294,{12.5,15,20,30,45,60,75,105,115,150,200,225,250,600,1000},{15,20,30,45,60,75,105,115,150,200,225,250,600,1000,1000})-LOOKUP(M1294,{12.5,15,20,30,45,60,75,105,115,150,200,225,250,600},{12.5,15,20,30,45,60,75,105,115,150,200,225,250,600}))*(LOOKUP(M1294,{12.5,15,20,30,45,60,75,105,115,150,200,225,250,600,1000},{55,60,62,65,68,70,72,75,80,82,85,87,90,95,95})-LOOKUP(M1294,{12.5,15,20,30,45,60,75,105,115,150,200,225,250,600,1000},{50,55,60,62,65,68,70,72,75,80,82,85,87,90,95})))))</f>
        <v>70</v>
      </c>
      <c r="P1294" s="2">
        <f t="shared" si="103"/>
        <v>-18</v>
      </c>
      <c r="Q1294" s="2">
        <f t="shared" si="104"/>
        <v>-7.67</v>
      </c>
    </row>
    <row r="1295" customHeight="1" spans="1:17">
      <c r="B1295" s="2">
        <v>1294</v>
      </c>
      <c r="C1295" s="3">
        <f t="shared" si="100"/>
        <v>46.9</v>
      </c>
      <c r="D1295" s="2" t="s">
        <v>1729</v>
      </c>
      <c r="E1295" s="2">
        <v>51</v>
      </c>
      <c r="F1295" s="10">
        <v>82</v>
      </c>
      <c r="G1295" s="9">
        <v>78</v>
      </c>
      <c r="H1295" s="2" t="s">
        <v>37</v>
      </c>
      <c r="I1295" s="2" t="s">
        <v>58</v>
      </c>
      <c r="J1295" s="4" t="s">
        <v>19</v>
      </c>
      <c r="M1295" s="2">
        <f t="shared" si="101"/>
        <v>225</v>
      </c>
      <c r="N1295" s="2">
        <f t="shared" si="102"/>
        <v>59.9</v>
      </c>
      <c r="O1295" s="2">
        <f>IF(M1295="","",IF(M1295&gt;=1000,95,IF(M1295&lt;=12.5,50,LOOKUP(M1295,{12.5,15,20,30,45,60,75,105,115,150,200,225,250,600,1000},{50,55,60,62,65,68,70,72,75,80,82,85,87,90,95})+(M1295-LOOKUP(M1295,{12.5,15,20,30,45,60,75,105,115,150,200,225,250,600},{12.5,15,20,30,45,60,75,105,115,150,200,225,250,600}))/(LOOKUP(M1295,{12.5,15,20,30,45,60,75,105,115,150,200,225,250,600,1000},{15,20,30,45,60,75,105,115,150,200,225,250,600,1000,1000})-LOOKUP(M1295,{12.5,15,20,30,45,60,75,105,115,150,200,225,250,600},{12.5,15,20,30,45,60,75,105,115,150,200,225,250,600}))*(LOOKUP(M1295,{12.5,15,20,30,45,60,75,105,115,150,200,225,250,600,1000},{55,60,62,65,68,70,72,75,80,82,85,87,90,95,95})-LOOKUP(M1295,{12.5,15,20,30,45,60,75,105,115,150,200,225,250,600,1000},{50,55,60,62,65,68,70,72,75,80,82,85,87,90,95})))))</f>
        <v>85</v>
      </c>
      <c r="P1295" s="2">
        <f t="shared" si="103"/>
        <v>-34</v>
      </c>
      <c r="Q1295" s="2">
        <f t="shared" si="104"/>
        <v>-13</v>
      </c>
    </row>
    <row r="1296" customHeight="1" spans="1:17">
      <c r="B1296" s="2">
        <v>1295</v>
      </c>
      <c r="C1296" s="3">
        <f t="shared" si="100"/>
        <v>46.9</v>
      </c>
      <c r="D1296" s="2" t="s">
        <v>1730</v>
      </c>
      <c r="E1296" s="2">
        <v>55</v>
      </c>
      <c r="F1296" s="2">
        <v>52</v>
      </c>
      <c r="G1296" s="2">
        <v>30</v>
      </c>
      <c r="H1296" s="2" t="s">
        <v>122</v>
      </c>
      <c r="I1296" s="2" t="s">
        <v>321</v>
      </c>
      <c r="J1296" s="4" t="s">
        <v>38</v>
      </c>
      <c r="M1296" s="2">
        <f t="shared" si="101"/>
        <v>45</v>
      </c>
      <c r="N1296" s="2">
        <f t="shared" si="102"/>
        <v>51.9</v>
      </c>
      <c r="O1296" s="2">
        <f>IF(M1296="","",IF(M1296&gt;=1000,95,IF(M1296&lt;=12.5,50,LOOKUP(M1296,{12.5,15,20,30,45,60,75,105,115,150,200,225,250,600,1000},{50,55,60,62,65,68,70,72,75,80,82,85,87,90,95})+(M1296-LOOKUP(M1296,{12.5,15,20,30,45,60,75,105,115,150,200,225,250,600},{12.5,15,20,30,45,60,75,105,115,150,200,225,250,600}))/(LOOKUP(M1296,{12.5,15,20,30,45,60,75,105,115,150,200,225,250,600,1000},{15,20,30,45,60,75,105,115,150,200,225,250,600,1000,1000})-LOOKUP(M1296,{12.5,15,20,30,45,60,75,105,115,150,200,225,250,600},{12.5,15,20,30,45,60,75,105,115,150,200,225,250,600}))*(LOOKUP(M1296,{12.5,15,20,30,45,60,75,105,115,150,200,225,250,600,1000},{55,60,62,65,68,70,72,75,80,82,85,87,90,95,95})-LOOKUP(M1296,{12.5,15,20,30,45,60,75,105,115,150,200,225,250,600,1000},{50,55,60,62,65,68,70,72,75,80,82,85,87,90,95})))))</f>
        <v>65</v>
      </c>
      <c r="P1296" s="2">
        <f t="shared" si="103"/>
        <v>-10</v>
      </c>
      <c r="Q1296" s="2">
        <f t="shared" si="104"/>
        <v>-5</v>
      </c>
    </row>
    <row r="1297" customHeight="1" spans="1:17">
      <c r="B1297" s="2">
        <v>1296</v>
      </c>
      <c r="C1297" s="3">
        <f t="shared" si="100"/>
        <v>46.87</v>
      </c>
      <c r="D1297" s="2" t="s">
        <v>1731</v>
      </c>
      <c r="E1297" s="2">
        <v>54</v>
      </c>
      <c r="F1297" s="2">
        <v>55</v>
      </c>
      <c r="G1297" s="2">
        <v>34</v>
      </c>
      <c r="H1297" s="2" t="s">
        <v>347</v>
      </c>
      <c r="I1297" s="2" t="s">
        <v>63</v>
      </c>
      <c r="J1297" s="4" t="s">
        <v>38</v>
      </c>
      <c r="M1297" s="2">
        <f t="shared" si="101"/>
        <v>45</v>
      </c>
      <c r="N1297" s="2">
        <f t="shared" si="102"/>
        <v>52.2</v>
      </c>
      <c r="O1297" s="2">
        <f>IF(M1297="","",IF(M1297&gt;=1000,95,IF(M1297&lt;=12.5,50,LOOKUP(M1297,{12.5,15,20,30,45,60,75,105,115,150,200,225,250,600,1000},{50,55,60,62,65,68,70,72,75,80,82,85,87,90,95})+(M1297-LOOKUP(M1297,{12.5,15,20,30,45,60,75,105,115,150,200,225,250,600},{12.5,15,20,30,45,60,75,105,115,150,200,225,250,600}))/(LOOKUP(M1297,{12.5,15,20,30,45,60,75,105,115,150,200,225,250,600,1000},{15,20,30,45,60,75,105,115,150,200,225,250,600,1000,1000})-LOOKUP(M1297,{12.5,15,20,30,45,60,75,105,115,150,200,225,250,600},{12.5,15,20,30,45,60,75,105,115,150,200,225,250,600}))*(LOOKUP(M1297,{12.5,15,20,30,45,60,75,105,115,150,200,225,250,600,1000},{55,60,62,65,68,70,72,75,80,82,85,87,90,95,95})-LOOKUP(M1297,{12.5,15,20,30,45,60,75,105,115,150,200,225,250,600,1000},{50,55,60,62,65,68,70,72,75,80,82,85,87,90,95})))))</f>
        <v>65</v>
      </c>
      <c r="P1297" s="2">
        <f t="shared" si="103"/>
        <v>-11</v>
      </c>
      <c r="Q1297" s="2">
        <f t="shared" si="104"/>
        <v>-5.33</v>
      </c>
    </row>
    <row r="1298" customHeight="1" spans="1:17">
      <c r="B1298" s="2">
        <v>1297</v>
      </c>
      <c r="C1298" s="3">
        <f t="shared" si="100"/>
        <v>46.73</v>
      </c>
      <c r="D1298" s="2" t="s">
        <v>1732</v>
      </c>
      <c r="E1298" s="2">
        <v>54</v>
      </c>
      <c r="F1298" s="12">
        <v>60</v>
      </c>
      <c r="G1298" s="2">
        <v>56</v>
      </c>
      <c r="H1298" s="2" t="s">
        <v>743</v>
      </c>
      <c r="I1298" s="2" t="s">
        <v>28</v>
      </c>
      <c r="J1298" s="4" t="s">
        <v>148</v>
      </c>
      <c r="M1298" s="2">
        <f t="shared" si="101"/>
        <v>115</v>
      </c>
      <c r="N1298" s="2">
        <f t="shared" si="102"/>
        <v>55.4</v>
      </c>
      <c r="O1298" s="2">
        <f>IF(M1298="","",IF(M1298&gt;=1000,95,IF(M1298&lt;=12.5,50,LOOKUP(M1298,{12.5,15,20,30,45,60,75,105,115,150,200,225,250,600,1000},{50,55,60,62,65,68,70,72,75,80,82,85,87,90,95})+(M1298-LOOKUP(M1298,{12.5,15,20,30,45,60,75,105,115,150,200,225,250,600},{12.5,15,20,30,45,60,75,105,115,150,200,225,250,600}))/(LOOKUP(M1298,{12.5,15,20,30,45,60,75,105,115,150,200,225,250,600,1000},{15,20,30,45,60,75,105,115,150,200,225,250,600,1000,1000})-LOOKUP(M1298,{12.5,15,20,30,45,60,75,105,115,150,200,225,250,600},{12.5,15,20,30,45,60,75,105,115,150,200,225,250,600}))*(LOOKUP(M1298,{12.5,15,20,30,45,60,75,105,115,150,200,225,250,600,1000},{55,60,62,65,68,70,72,75,80,82,85,87,90,95,95})-LOOKUP(M1298,{12.5,15,20,30,45,60,75,105,115,150,200,225,250,600,1000},{50,55,60,62,65,68,70,72,75,80,82,85,87,90,95})))))</f>
        <v>75</v>
      </c>
      <c r="P1298" s="2">
        <f t="shared" si="103"/>
        <v>-21</v>
      </c>
      <c r="Q1298" s="2">
        <f t="shared" si="104"/>
        <v>-8.67</v>
      </c>
    </row>
    <row r="1299" customHeight="1" spans="1:17">
      <c r="A1299" s="2">
        <v>2026</v>
      </c>
      <c r="B1299" s="2">
        <v>1298</v>
      </c>
      <c r="C1299" s="3">
        <f t="shared" si="100"/>
        <v>46.7</v>
      </c>
      <c r="D1299" s="2" t="s">
        <v>1733</v>
      </c>
      <c r="E1299" s="2">
        <v>52</v>
      </c>
      <c r="F1299" s="2">
        <v>55</v>
      </c>
      <c r="G1299" s="2">
        <v>53</v>
      </c>
      <c r="H1299" s="2" t="s">
        <v>41</v>
      </c>
      <c r="I1299" s="2" t="s">
        <v>33</v>
      </c>
      <c r="J1299" s="4" t="s">
        <v>38</v>
      </c>
      <c r="M1299" s="2">
        <f t="shared" si="101"/>
        <v>45</v>
      </c>
      <c r="N1299" s="2">
        <f t="shared" si="102"/>
        <v>52.7</v>
      </c>
      <c r="O1299" s="2">
        <f>IF(M1299="","",IF(M1299&gt;=1000,95,IF(M1299&lt;=12.5,50,LOOKUP(M1299,{12.5,15,20,30,45,60,75,105,115,150,200,225,250,600,1000},{50,55,60,62,65,68,70,72,75,80,82,85,87,90,95})+(M1299-LOOKUP(M1299,{12.5,15,20,30,45,60,75,105,115,150,200,225,250,600},{12.5,15,20,30,45,60,75,105,115,150,200,225,250,600}))/(LOOKUP(M1299,{12.5,15,20,30,45,60,75,105,115,150,200,225,250,600,1000},{15,20,30,45,60,75,105,115,150,200,225,250,600,1000,1000})-LOOKUP(M1299,{12.5,15,20,30,45,60,75,105,115,150,200,225,250,600},{12.5,15,20,30,45,60,75,105,115,150,200,225,250,600}))*(LOOKUP(M1299,{12.5,15,20,30,45,60,75,105,115,150,200,225,250,600,1000},{55,60,62,65,68,70,72,75,80,82,85,87,90,95,95})-LOOKUP(M1299,{12.5,15,20,30,45,60,75,105,115,150,200,225,250,600,1000},{50,55,60,62,65,68,70,72,75,80,82,85,87,90,95})))))</f>
        <v>65</v>
      </c>
      <c r="P1299" s="2">
        <f t="shared" si="103"/>
        <v>-13</v>
      </c>
      <c r="Q1299" s="2">
        <f t="shared" si="104"/>
        <v>-6</v>
      </c>
    </row>
    <row r="1300" customHeight="1" spans="1:17">
      <c r="B1300" s="2">
        <v>1299</v>
      </c>
      <c r="C1300" s="3">
        <f t="shared" ref="C1300:C1363" si="105">ROUND(MAX(MIN(N1300+Q1300,100),0),2)</f>
        <v>46.7</v>
      </c>
      <c r="D1300" s="2" t="s">
        <v>1734</v>
      </c>
      <c r="E1300" s="2">
        <v>57</v>
      </c>
      <c r="F1300" s="2">
        <v>40</v>
      </c>
      <c r="G1300" s="2">
        <v>48</v>
      </c>
      <c r="H1300" s="2" t="s">
        <v>636</v>
      </c>
      <c r="I1300" s="2" t="s">
        <v>42</v>
      </c>
      <c r="J1300" s="4" t="s">
        <v>24</v>
      </c>
      <c r="M1300" s="2">
        <f t="shared" si="101"/>
        <v>75</v>
      </c>
      <c r="N1300" s="2">
        <f t="shared" si="102"/>
        <v>52.7</v>
      </c>
      <c r="O1300" s="2">
        <f>IF(M1300="","",IF(M1300&gt;=1000,95,IF(M1300&lt;=12.5,50,LOOKUP(M1300,{12.5,15,20,30,45,60,75,105,115,150,200,225,250,600,1000},{50,55,60,62,65,68,70,72,75,80,82,85,87,90,95})+(M1300-LOOKUP(M1300,{12.5,15,20,30,45,60,75,105,115,150,200,225,250,600},{12.5,15,20,30,45,60,75,105,115,150,200,225,250,600}))/(LOOKUP(M1300,{12.5,15,20,30,45,60,75,105,115,150,200,225,250,600,1000},{15,20,30,45,60,75,105,115,150,200,225,250,600,1000,1000})-LOOKUP(M1300,{12.5,15,20,30,45,60,75,105,115,150,200,225,250,600},{12.5,15,20,30,45,60,75,105,115,150,200,225,250,600}))*(LOOKUP(M1300,{12.5,15,20,30,45,60,75,105,115,150,200,225,250,600,1000},{55,60,62,65,68,70,72,75,80,82,85,87,90,95,95})-LOOKUP(M1300,{12.5,15,20,30,45,60,75,105,115,150,200,225,250,600,1000},{50,55,60,62,65,68,70,72,75,80,82,85,87,90,95})))))</f>
        <v>70</v>
      </c>
      <c r="P1300" s="2">
        <f t="shared" si="103"/>
        <v>-13</v>
      </c>
      <c r="Q1300" s="2">
        <f t="shared" si="104"/>
        <v>-6</v>
      </c>
    </row>
    <row r="1301" customHeight="1" spans="1:17">
      <c r="A1301" s="2">
        <v>2026</v>
      </c>
      <c r="B1301" s="2">
        <v>1300</v>
      </c>
      <c r="C1301" s="3">
        <f t="shared" si="105"/>
        <v>46.6</v>
      </c>
      <c r="D1301" s="2" t="s">
        <v>1735</v>
      </c>
      <c r="E1301" s="2">
        <v>53</v>
      </c>
      <c r="F1301" s="2">
        <v>50</v>
      </c>
      <c r="G1301" s="2">
        <v>30</v>
      </c>
      <c r="H1301" s="2" t="s">
        <v>54</v>
      </c>
      <c r="I1301" s="2" t="s">
        <v>28</v>
      </c>
      <c r="J1301" s="4" t="s">
        <v>140</v>
      </c>
      <c r="M1301" s="2">
        <f t="shared" si="101"/>
        <v>20</v>
      </c>
      <c r="N1301" s="2">
        <f t="shared" si="102"/>
        <v>50.1</v>
      </c>
      <c r="O1301" s="2">
        <f>IF(M1301="","",IF(M1301&gt;=1000,95,IF(M1301&lt;=12.5,50,LOOKUP(M1301,{12.5,15,20,30,45,60,75,105,115,150,200,225,250,600,1000},{50,55,60,62,65,68,70,72,75,80,82,85,87,90,95})+(M1301-LOOKUP(M1301,{12.5,15,20,30,45,60,75,105,115,150,200,225,250,600},{12.5,15,20,30,45,60,75,105,115,150,200,225,250,600}))/(LOOKUP(M1301,{12.5,15,20,30,45,60,75,105,115,150,200,225,250,600,1000},{15,20,30,45,60,75,105,115,150,200,225,250,600,1000,1000})-LOOKUP(M1301,{12.5,15,20,30,45,60,75,105,115,150,200,225,250,600},{12.5,15,20,30,45,60,75,105,115,150,200,225,250,600}))*(LOOKUP(M1301,{12.5,15,20,30,45,60,75,105,115,150,200,225,250,600,1000},{55,60,62,65,68,70,72,75,80,82,85,87,90,95,95})-LOOKUP(M1301,{12.5,15,20,30,45,60,75,105,115,150,200,225,250,600,1000},{50,55,60,62,65,68,70,72,75,80,82,85,87,90,95})))))</f>
        <v>60</v>
      </c>
      <c r="P1301" s="2">
        <f t="shared" si="103"/>
        <v>-7</v>
      </c>
      <c r="Q1301" s="2">
        <f t="shared" si="104"/>
        <v>-3.5</v>
      </c>
    </row>
    <row r="1302" customHeight="1" spans="1:17">
      <c r="B1302" s="2">
        <v>1301</v>
      </c>
      <c r="C1302" s="3">
        <f t="shared" si="105"/>
        <v>46.56</v>
      </c>
      <c r="D1302" s="2" t="s">
        <v>1736</v>
      </c>
      <c r="E1302" s="2">
        <v>50</v>
      </c>
      <c r="F1302" s="12">
        <v>65</v>
      </c>
      <c r="G1302" s="12">
        <v>69</v>
      </c>
      <c r="H1302" s="2" t="s">
        <v>41</v>
      </c>
      <c r="I1302" s="2" t="s">
        <v>589</v>
      </c>
      <c r="J1302" s="4" t="s">
        <v>24</v>
      </c>
      <c r="M1302" s="2">
        <f t="shared" si="101"/>
        <v>75</v>
      </c>
      <c r="N1302" s="2">
        <f t="shared" si="102"/>
        <v>54.9</v>
      </c>
      <c r="O1302" s="2">
        <f>IF(M1302="","",IF(M1302&gt;=1000,95,IF(M1302&lt;=12.5,50,LOOKUP(M1302,{12.5,15,20,30,45,60,75,105,115,150,200,225,250,600,1000},{50,55,60,62,65,68,70,72,75,80,82,85,87,90,95})+(M1302-LOOKUP(M1302,{12.5,15,20,30,45,60,75,105,115,150,200,225,250,600},{12.5,15,20,30,45,60,75,105,115,150,200,225,250,600}))/(LOOKUP(M1302,{12.5,15,20,30,45,60,75,105,115,150,200,225,250,600,1000},{15,20,30,45,60,75,105,115,150,200,225,250,600,1000,1000})-LOOKUP(M1302,{12.5,15,20,30,45,60,75,105,115,150,200,225,250,600},{12.5,15,20,30,45,60,75,105,115,150,200,225,250,600}))*(LOOKUP(M1302,{12.5,15,20,30,45,60,75,105,115,150,200,225,250,600,1000},{55,60,62,65,68,70,72,75,80,82,85,87,90,95,95})-LOOKUP(M1302,{12.5,15,20,30,45,60,75,105,115,150,200,225,250,600,1000},{50,55,60,62,65,68,70,72,75,80,82,85,87,90,95})))))</f>
        <v>70</v>
      </c>
      <c r="P1302" s="2">
        <f t="shared" si="103"/>
        <v>-20</v>
      </c>
      <c r="Q1302" s="2">
        <f t="shared" si="104"/>
        <v>-8.34</v>
      </c>
    </row>
    <row r="1303" customHeight="1" spans="1:17">
      <c r="B1303" s="2">
        <v>1302</v>
      </c>
      <c r="C1303" s="3">
        <f t="shared" si="105"/>
        <v>46.53</v>
      </c>
      <c r="D1303" s="2" t="s">
        <v>1737</v>
      </c>
      <c r="E1303" s="2">
        <v>50</v>
      </c>
      <c r="F1303" s="12">
        <v>65</v>
      </c>
      <c r="G1303" s="2">
        <v>52</v>
      </c>
      <c r="H1303" s="2" t="s">
        <v>94</v>
      </c>
      <c r="I1303" s="2" t="s">
        <v>63</v>
      </c>
      <c r="J1303" s="4" t="s">
        <v>38</v>
      </c>
      <c r="M1303" s="2">
        <f t="shared" si="101"/>
        <v>45</v>
      </c>
      <c r="N1303" s="2">
        <f t="shared" si="102"/>
        <v>53.2</v>
      </c>
      <c r="O1303" s="2">
        <f>IF(M1303="","",IF(M1303&gt;=1000,95,IF(M1303&lt;=12.5,50,LOOKUP(M1303,{12.5,15,20,30,45,60,75,105,115,150,200,225,250,600,1000},{50,55,60,62,65,68,70,72,75,80,82,85,87,90,95})+(M1303-LOOKUP(M1303,{12.5,15,20,30,45,60,75,105,115,150,200,225,250,600},{12.5,15,20,30,45,60,75,105,115,150,200,225,250,600}))/(LOOKUP(M1303,{12.5,15,20,30,45,60,75,105,115,150,200,225,250,600,1000},{15,20,30,45,60,75,105,115,150,200,225,250,600,1000,1000})-LOOKUP(M1303,{12.5,15,20,30,45,60,75,105,115,150,200,225,250,600},{12.5,15,20,30,45,60,75,105,115,150,200,225,250,600}))*(LOOKUP(M1303,{12.5,15,20,30,45,60,75,105,115,150,200,225,250,600,1000},{55,60,62,65,68,70,72,75,80,82,85,87,90,95,95})-LOOKUP(M1303,{12.5,15,20,30,45,60,75,105,115,150,200,225,250,600,1000},{50,55,60,62,65,68,70,72,75,80,82,85,87,90,95})))))</f>
        <v>65</v>
      </c>
      <c r="P1303" s="2">
        <f t="shared" si="103"/>
        <v>-15</v>
      </c>
      <c r="Q1303" s="2">
        <f t="shared" si="104"/>
        <v>-6.67</v>
      </c>
    </row>
    <row r="1304" customHeight="1" spans="1:17">
      <c r="B1304" s="2">
        <v>1303</v>
      </c>
      <c r="C1304" s="3">
        <f t="shared" si="105"/>
        <v>46.53</v>
      </c>
      <c r="D1304" s="2" t="s">
        <v>1738</v>
      </c>
      <c r="E1304" s="2">
        <v>53</v>
      </c>
      <c r="F1304" s="2">
        <v>50</v>
      </c>
      <c r="G1304" s="12">
        <v>61</v>
      </c>
      <c r="H1304" s="2" t="s">
        <v>119</v>
      </c>
      <c r="I1304" s="2" t="s">
        <v>28</v>
      </c>
      <c r="J1304" s="4" t="s">
        <v>34</v>
      </c>
      <c r="M1304" s="2">
        <f t="shared" si="101"/>
        <v>60</v>
      </c>
      <c r="N1304" s="2">
        <f t="shared" si="102"/>
        <v>53.2</v>
      </c>
      <c r="O1304" s="2">
        <f>IF(M1304="","",IF(M1304&gt;=1000,95,IF(M1304&lt;=12.5,50,LOOKUP(M1304,{12.5,15,20,30,45,60,75,105,115,150,200,225,250,600,1000},{50,55,60,62,65,68,70,72,75,80,82,85,87,90,95})+(M1304-LOOKUP(M1304,{12.5,15,20,30,45,60,75,105,115,150,200,225,250,600},{12.5,15,20,30,45,60,75,105,115,150,200,225,250,600}))/(LOOKUP(M1304,{12.5,15,20,30,45,60,75,105,115,150,200,225,250,600,1000},{15,20,30,45,60,75,105,115,150,200,225,250,600,1000,1000})-LOOKUP(M1304,{12.5,15,20,30,45,60,75,105,115,150,200,225,250,600},{12.5,15,20,30,45,60,75,105,115,150,200,225,250,600}))*(LOOKUP(M1304,{12.5,15,20,30,45,60,75,105,115,150,200,225,250,600,1000},{55,60,62,65,68,70,72,75,80,82,85,87,90,95,95})-LOOKUP(M1304,{12.5,15,20,30,45,60,75,105,115,150,200,225,250,600,1000},{50,55,60,62,65,68,70,72,75,80,82,85,87,90,95})))))</f>
        <v>68</v>
      </c>
      <c r="P1304" s="2">
        <f t="shared" si="103"/>
        <v>-15</v>
      </c>
      <c r="Q1304" s="2">
        <f t="shared" si="104"/>
        <v>-6.67</v>
      </c>
    </row>
    <row r="1305" customHeight="1" spans="1:17">
      <c r="A1305" s="2">
        <v>2026</v>
      </c>
      <c r="B1305" s="2">
        <v>1304</v>
      </c>
      <c r="C1305" s="3">
        <f t="shared" si="105"/>
        <v>46.53</v>
      </c>
      <c r="D1305" s="2" t="s">
        <v>1739</v>
      </c>
      <c r="E1305" s="2">
        <v>53</v>
      </c>
      <c r="F1305" s="2">
        <v>56</v>
      </c>
      <c r="G1305" s="2">
        <v>49</v>
      </c>
      <c r="H1305" s="2" t="s">
        <v>1740</v>
      </c>
      <c r="I1305" s="2" t="s">
        <v>128</v>
      </c>
      <c r="J1305" s="4" t="s">
        <v>34</v>
      </c>
      <c r="M1305" s="2">
        <f t="shared" si="101"/>
        <v>60</v>
      </c>
      <c r="N1305" s="2">
        <f t="shared" si="102"/>
        <v>53.2</v>
      </c>
      <c r="O1305" s="2">
        <f>IF(M1305="","",IF(M1305&gt;=1000,95,IF(M1305&lt;=12.5,50,LOOKUP(M1305,{12.5,15,20,30,45,60,75,105,115,150,200,225,250,600,1000},{50,55,60,62,65,68,70,72,75,80,82,85,87,90,95})+(M1305-LOOKUP(M1305,{12.5,15,20,30,45,60,75,105,115,150,200,225,250,600},{12.5,15,20,30,45,60,75,105,115,150,200,225,250,600}))/(LOOKUP(M1305,{12.5,15,20,30,45,60,75,105,115,150,200,225,250,600,1000},{15,20,30,45,60,75,105,115,150,200,225,250,600,1000,1000})-LOOKUP(M1305,{12.5,15,20,30,45,60,75,105,115,150,200,225,250,600},{12.5,15,20,30,45,60,75,105,115,150,200,225,250,600}))*(LOOKUP(M1305,{12.5,15,20,30,45,60,75,105,115,150,200,225,250,600,1000},{55,60,62,65,68,70,72,75,80,82,85,87,90,95,95})-LOOKUP(M1305,{12.5,15,20,30,45,60,75,105,115,150,200,225,250,600,1000},{50,55,60,62,65,68,70,72,75,80,82,85,87,90,95})))))</f>
        <v>68</v>
      </c>
      <c r="P1305" s="2">
        <f t="shared" si="103"/>
        <v>-15</v>
      </c>
      <c r="Q1305" s="2">
        <f t="shared" si="104"/>
        <v>-6.67</v>
      </c>
    </row>
    <row r="1306" customHeight="1" spans="1:17">
      <c r="B1306" s="2">
        <v>1305</v>
      </c>
      <c r="C1306" s="3">
        <f t="shared" si="105"/>
        <v>46.46</v>
      </c>
      <c r="D1306" s="2" t="s">
        <v>1741</v>
      </c>
      <c r="E1306" s="2">
        <v>53</v>
      </c>
      <c r="F1306" s="2">
        <v>55</v>
      </c>
      <c r="G1306" s="2">
        <v>57</v>
      </c>
      <c r="H1306" s="2" t="s">
        <v>611</v>
      </c>
      <c r="I1306" s="2" t="s">
        <v>128</v>
      </c>
      <c r="J1306" s="4" t="s">
        <v>24</v>
      </c>
      <c r="M1306" s="2">
        <f t="shared" si="101"/>
        <v>75</v>
      </c>
      <c r="N1306" s="2">
        <f t="shared" si="102"/>
        <v>53.8</v>
      </c>
      <c r="O1306" s="2">
        <f>IF(M1306="","",IF(M1306&gt;=1000,95,IF(M1306&lt;=12.5,50,LOOKUP(M1306,{12.5,15,20,30,45,60,75,105,115,150,200,225,250,600,1000},{50,55,60,62,65,68,70,72,75,80,82,85,87,90,95})+(M1306-LOOKUP(M1306,{12.5,15,20,30,45,60,75,105,115,150,200,225,250,600},{12.5,15,20,30,45,60,75,105,115,150,200,225,250,600}))/(LOOKUP(M1306,{12.5,15,20,30,45,60,75,105,115,150,200,225,250,600,1000},{15,20,30,45,60,75,105,115,150,200,225,250,600,1000,1000})-LOOKUP(M1306,{12.5,15,20,30,45,60,75,105,115,150,200,225,250,600},{12.5,15,20,30,45,60,75,105,115,150,200,225,250,600}))*(LOOKUP(M1306,{12.5,15,20,30,45,60,75,105,115,150,200,225,250,600,1000},{55,60,62,65,68,70,72,75,80,82,85,87,90,95,95})-LOOKUP(M1306,{12.5,15,20,30,45,60,75,105,115,150,200,225,250,600,1000},{50,55,60,62,65,68,70,72,75,80,82,85,87,90,95})))))</f>
        <v>70</v>
      </c>
      <c r="P1306" s="2">
        <f t="shared" si="103"/>
        <v>-17</v>
      </c>
      <c r="Q1306" s="2">
        <f t="shared" si="104"/>
        <v>-7.34</v>
      </c>
    </row>
    <row r="1307" customHeight="1" spans="1:17">
      <c r="B1307" s="2">
        <v>1306</v>
      </c>
      <c r="C1307" s="3">
        <f t="shared" si="105"/>
        <v>46.43</v>
      </c>
      <c r="D1307" s="2" t="s">
        <v>1742</v>
      </c>
      <c r="E1307" s="2">
        <v>53</v>
      </c>
      <c r="F1307" s="2">
        <v>50</v>
      </c>
      <c r="G1307" s="2">
        <v>50</v>
      </c>
      <c r="H1307" s="2" t="s">
        <v>41</v>
      </c>
      <c r="I1307" s="2" t="s">
        <v>33</v>
      </c>
      <c r="J1307" s="4" t="s">
        <v>38</v>
      </c>
      <c r="M1307" s="2">
        <f t="shared" si="101"/>
        <v>45</v>
      </c>
      <c r="N1307" s="2">
        <f t="shared" si="102"/>
        <v>52.1</v>
      </c>
      <c r="O1307" s="2">
        <f>IF(M1307="","",IF(M1307&gt;=1000,95,IF(M1307&lt;=12.5,50,LOOKUP(M1307,{12.5,15,20,30,45,60,75,105,115,150,200,225,250,600,1000},{50,55,60,62,65,68,70,72,75,80,82,85,87,90,95})+(M1307-LOOKUP(M1307,{12.5,15,20,30,45,60,75,105,115,150,200,225,250,600},{12.5,15,20,30,45,60,75,105,115,150,200,225,250,600}))/(LOOKUP(M1307,{12.5,15,20,30,45,60,75,105,115,150,200,225,250,600,1000},{15,20,30,45,60,75,105,115,150,200,225,250,600,1000,1000})-LOOKUP(M1307,{12.5,15,20,30,45,60,75,105,115,150,200,225,250,600},{12.5,15,20,30,45,60,75,105,115,150,200,225,250,600}))*(LOOKUP(M1307,{12.5,15,20,30,45,60,75,105,115,150,200,225,250,600,1000},{55,60,62,65,68,70,72,75,80,82,85,87,90,95,95})-LOOKUP(M1307,{12.5,15,20,30,45,60,75,105,115,150,200,225,250,600,1000},{50,55,60,62,65,68,70,72,75,80,82,85,87,90,95})))))</f>
        <v>65</v>
      </c>
      <c r="P1307" s="2">
        <f t="shared" si="103"/>
        <v>-12</v>
      </c>
      <c r="Q1307" s="2">
        <f t="shared" si="104"/>
        <v>-5.67</v>
      </c>
    </row>
    <row r="1308" customHeight="1" spans="1:17">
      <c r="B1308" s="2">
        <v>1307</v>
      </c>
      <c r="C1308" s="3">
        <f t="shared" si="105"/>
        <v>46.37</v>
      </c>
      <c r="D1308" s="2" t="s">
        <v>1743</v>
      </c>
      <c r="E1308" s="2">
        <v>59</v>
      </c>
      <c r="F1308" s="2">
        <v>50</v>
      </c>
      <c r="G1308" s="2">
        <v>54</v>
      </c>
      <c r="H1308" s="2" t="s">
        <v>1013</v>
      </c>
      <c r="I1308" s="2" t="s">
        <v>932</v>
      </c>
      <c r="J1308" s="4" t="s">
        <v>19</v>
      </c>
      <c r="M1308" s="2">
        <f t="shared" si="101"/>
        <v>225</v>
      </c>
      <c r="N1308" s="2">
        <f t="shared" si="102"/>
        <v>56.7</v>
      </c>
      <c r="O1308" s="2">
        <f>IF(M1308="","",IF(M1308&gt;=1000,95,IF(M1308&lt;=12.5,50,LOOKUP(M1308,{12.5,15,20,30,45,60,75,105,115,150,200,225,250,600,1000},{50,55,60,62,65,68,70,72,75,80,82,85,87,90,95})+(M1308-LOOKUP(M1308,{12.5,15,20,30,45,60,75,105,115,150,200,225,250,600},{12.5,15,20,30,45,60,75,105,115,150,200,225,250,600}))/(LOOKUP(M1308,{12.5,15,20,30,45,60,75,105,115,150,200,225,250,600,1000},{15,20,30,45,60,75,105,115,150,200,225,250,600,1000,1000})-LOOKUP(M1308,{12.5,15,20,30,45,60,75,105,115,150,200,225,250,600},{12.5,15,20,30,45,60,75,105,115,150,200,225,250,600}))*(LOOKUP(M1308,{12.5,15,20,30,45,60,75,105,115,150,200,225,250,600,1000},{55,60,62,65,68,70,72,75,80,82,85,87,90,95,95})-LOOKUP(M1308,{12.5,15,20,30,45,60,75,105,115,150,200,225,250,600,1000},{50,55,60,62,65,68,70,72,75,80,82,85,87,90,95})))))</f>
        <v>85</v>
      </c>
      <c r="P1308" s="2">
        <f t="shared" si="103"/>
        <v>-26</v>
      </c>
      <c r="Q1308" s="2">
        <f t="shared" si="104"/>
        <v>-10.33</v>
      </c>
    </row>
    <row r="1309" customHeight="1" spans="1:17">
      <c r="B1309" s="2">
        <v>1308</v>
      </c>
      <c r="C1309" s="3">
        <f t="shared" si="105"/>
        <v>46.36</v>
      </c>
      <c r="D1309" s="2" t="s">
        <v>1744</v>
      </c>
      <c r="E1309" s="2">
        <v>54</v>
      </c>
      <c r="F1309" s="2">
        <v>50</v>
      </c>
      <c r="G1309" s="2">
        <v>49</v>
      </c>
      <c r="H1309" s="2" t="s">
        <v>66</v>
      </c>
      <c r="I1309" s="2" t="s">
        <v>33</v>
      </c>
      <c r="J1309" s="4" t="s">
        <v>34</v>
      </c>
      <c r="M1309" s="2">
        <f t="shared" si="101"/>
        <v>60</v>
      </c>
      <c r="N1309" s="2">
        <f t="shared" si="102"/>
        <v>52.7</v>
      </c>
      <c r="O1309" s="2">
        <f>IF(M1309="","",IF(M1309&gt;=1000,95,IF(M1309&lt;=12.5,50,LOOKUP(M1309,{12.5,15,20,30,45,60,75,105,115,150,200,225,250,600,1000},{50,55,60,62,65,68,70,72,75,80,82,85,87,90,95})+(M1309-LOOKUP(M1309,{12.5,15,20,30,45,60,75,105,115,150,200,225,250,600},{12.5,15,20,30,45,60,75,105,115,150,200,225,250,600}))/(LOOKUP(M1309,{12.5,15,20,30,45,60,75,105,115,150,200,225,250,600,1000},{15,20,30,45,60,75,105,115,150,200,225,250,600,1000,1000})-LOOKUP(M1309,{12.5,15,20,30,45,60,75,105,115,150,200,225,250,600},{12.5,15,20,30,45,60,75,105,115,150,200,225,250,600}))*(LOOKUP(M1309,{12.5,15,20,30,45,60,75,105,115,150,200,225,250,600,1000},{55,60,62,65,68,70,72,75,80,82,85,87,90,95,95})-LOOKUP(M1309,{12.5,15,20,30,45,60,75,105,115,150,200,225,250,600,1000},{50,55,60,62,65,68,70,72,75,80,82,85,87,90,95})))))</f>
        <v>68</v>
      </c>
      <c r="P1309" s="2">
        <f t="shared" si="103"/>
        <v>-14</v>
      </c>
      <c r="Q1309" s="2">
        <f t="shared" si="104"/>
        <v>-6.34</v>
      </c>
    </row>
    <row r="1310" customHeight="1" spans="1:17">
      <c r="A1310" s="2">
        <v>2026</v>
      </c>
      <c r="B1310" s="2">
        <v>1309</v>
      </c>
      <c r="C1310" s="3">
        <f t="shared" si="105"/>
        <v>46.36</v>
      </c>
      <c r="D1310" s="2" t="s">
        <v>1745</v>
      </c>
      <c r="E1310" s="2">
        <v>53</v>
      </c>
      <c r="F1310" s="2">
        <v>52</v>
      </c>
      <c r="G1310" s="12">
        <v>62</v>
      </c>
      <c r="H1310" s="2" t="s">
        <v>643</v>
      </c>
      <c r="I1310" s="2" t="s">
        <v>159</v>
      </c>
      <c r="J1310" s="4" t="s">
        <v>24</v>
      </c>
      <c r="M1310" s="2">
        <f t="shared" si="101"/>
        <v>75</v>
      </c>
      <c r="N1310" s="2">
        <f t="shared" si="102"/>
        <v>53.7</v>
      </c>
      <c r="O1310" s="2">
        <f>IF(M1310="","",IF(M1310&gt;=1000,95,IF(M1310&lt;=12.5,50,LOOKUP(M1310,{12.5,15,20,30,45,60,75,105,115,150,200,225,250,600,1000},{50,55,60,62,65,68,70,72,75,80,82,85,87,90,95})+(M1310-LOOKUP(M1310,{12.5,15,20,30,45,60,75,105,115,150,200,225,250,600},{12.5,15,20,30,45,60,75,105,115,150,200,225,250,600}))/(LOOKUP(M1310,{12.5,15,20,30,45,60,75,105,115,150,200,225,250,600,1000},{15,20,30,45,60,75,105,115,150,200,225,250,600,1000,1000})-LOOKUP(M1310,{12.5,15,20,30,45,60,75,105,115,150,200,225,250,600},{12.5,15,20,30,45,60,75,105,115,150,200,225,250,600}))*(LOOKUP(M1310,{12.5,15,20,30,45,60,75,105,115,150,200,225,250,600,1000},{55,60,62,65,68,70,72,75,80,82,85,87,90,95,95})-LOOKUP(M1310,{12.5,15,20,30,45,60,75,105,115,150,200,225,250,600,1000},{50,55,60,62,65,68,70,72,75,80,82,85,87,90,95})))))</f>
        <v>70</v>
      </c>
      <c r="P1310" s="2">
        <f t="shared" si="103"/>
        <v>-17</v>
      </c>
      <c r="Q1310" s="2">
        <f t="shared" si="104"/>
        <v>-7.34</v>
      </c>
    </row>
    <row r="1311" customHeight="1" spans="1:17">
      <c r="B1311" s="2">
        <v>1310</v>
      </c>
      <c r="C1311" s="3">
        <f t="shared" si="105"/>
        <v>46.3</v>
      </c>
      <c r="D1311" s="2" t="s">
        <v>1746</v>
      </c>
      <c r="E1311" s="2">
        <v>52</v>
      </c>
      <c r="F1311" s="2">
        <v>52</v>
      </c>
      <c r="G1311" s="2">
        <v>35</v>
      </c>
      <c r="H1311" s="2" t="s">
        <v>339</v>
      </c>
      <c r="I1311" s="2" t="s">
        <v>63</v>
      </c>
      <c r="J1311" s="4" t="s">
        <v>140</v>
      </c>
      <c r="M1311" s="2">
        <f t="shared" si="101"/>
        <v>20</v>
      </c>
      <c r="N1311" s="2">
        <f t="shared" si="102"/>
        <v>50.3</v>
      </c>
      <c r="O1311" s="2">
        <f>IF(M1311="","",IF(M1311&gt;=1000,95,IF(M1311&lt;=12.5,50,LOOKUP(M1311,{12.5,15,20,30,45,60,75,105,115,150,200,225,250,600,1000},{50,55,60,62,65,68,70,72,75,80,82,85,87,90,95})+(M1311-LOOKUP(M1311,{12.5,15,20,30,45,60,75,105,115,150,200,225,250,600},{12.5,15,20,30,45,60,75,105,115,150,200,225,250,600}))/(LOOKUP(M1311,{12.5,15,20,30,45,60,75,105,115,150,200,225,250,600,1000},{15,20,30,45,60,75,105,115,150,200,225,250,600,1000,1000})-LOOKUP(M1311,{12.5,15,20,30,45,60,75,105,115,150,200,225,250,600},{12.5,15,20,30,45,60,75,105,115,150,200,225,250,600}))*(LOOKUP(M1311,{12.5,15,20,30,45,60,75,105,115,150,200,225,250,600,1000},{55,60,62,65,68,70,72,75,80,82,85,87,90,95,95})-LOOKUP(M1311,{12.5,15,20,30,45,60,75,105,115,150,200,225,250,600,1000},{50,55,60,62,65,68,70,72,75,80,82,85,87,90,95})))))</f>
        <v>60</v>
      </c>
      <c r="P1311" s="2">
        <f t="shared" si="103"/>
        <v>-8</v>
      </c>
      <c r="Q1311" s="2">
        <f t="shared" si="104"/>
        <v>-4</v>
      </c>
    </row>
    <row r="1312" customHeight="1" spans="1:17">
      <c r="A1312" s="2">
        <v>2026</v>
      </c>
      <c r="B1312" s="2">
        <v>1311</v>
      </c>
      <c r="C1312" s="3">
        <f t="shared" si="105"/>
        <v>46.26</v>
      </c>
      <c r="D1312" s="2" t="s">
        <v>1747</v>
      </c>
      <c r="E1312" s="2">
        <v>53</v>
      </c>
      <c r="F1312" s="2">
        <v>56</v>
      </c>
      <c r="G1312" s="2">
        <v>53</v>
      </c>
      <c r="H1312" s="2" t="s">
        <v>41</v>
      </c>
      <c r="I1312" s="2" t="s">
        <v>33</v>
      </c>
      <c r="J1312" s="4" t="s">
        <v>24</v>
      </c>
      <c r="M1312" s="2">
        <f t="shared" si="101"/>
        <v>75</v>
      </c>
      <c r="N1312" s="2">
        <f t="shared" si="102"/>
        <v>53.6</v>
      </c>
      <c r="O1312" s="2">
        <f>IF(M1312="","",IF(M1312&gt;=1000,95,IF(M1312&lt;=12.5,50,LOOKUP(M1312,{12.5,15,20,30,45,60,75,105,115,150,200,225,250,600,1000},{50,55,60,62,65,68,70,72,75,80,82,85,87,90,95})+(M1312-LOOKUP(M1312,{12.5,15,20,30,45,60,75,105,115,150,200,225,250,600},{12.5,15,20,30,45,60,75,105,115,150,200,225,250,600}))/(LOOKUP(M1312,{12.5,15,20,30,45,60,75,105,115,150,200,225,250,600,1000},{15,20,30,45,60,75,105,115,150,200,225,250,600,1000,1000})-LOOKUP(M1312,{12.5,15,20,30,45,60,75,105,115,150,200,225,250,600},{12.5,15,20,30,45,60,75,105,115,150,200,225,250,600}))*(LOOKUP(M1312,{12.5,15,20,30,45,60,75,105,115,150,200,225,250,600,1000},{55,60,62,65,68,70,72,75,80,82,85,87,90,95,95})-LOOKUP(M1312,{12.5,15,20,30,45,60,75,105,115,150,200,225,250,600,1000},{50,55,60,62,65,68,70,72,75,80,82,85,87,90,95})))))</f>
        <v>70</v>
      </c>
      <c r="P1312" s="2">
        <f t="shared" si="103"/>
        <v>-17</v>
      </c>
      <c r="Q1312" s="2">
        <f t="shared" si="104"/>
        <v>-7.34</v>
      </c>
    </row>
    <row r="1313" customHeight="1" spans="1:17">
      <c r="B1313" s="2">
        <v>1312</v>
      </c>
      <c r="C1313" s="3">
        <f t="shared" si="105"/>
        <v>46.2</v>
      </c>
      <c r="D1313" s="2" t="s">
        <v>1748</v>
      </c>
      <c r="E1313" s="2">
        <v>49</v>
      </c>
      <c r="F1313" s="12">
        <v>62</v>
      </c>
      <c r="G1313" s="12">
        <v>65</v>
      </c>
      <c r="H1313" s="2" t="s">
        <v>41</v>
      </c>
      <c r="I1313" s="2" t="s">
        <v>717</v>
      </c>
      <c r="J1313" s="4" t="s">
        <v>38</v>
      </c>
      <c r="M1313" s="2">
        <f t="shared" si="101"/>
        <v>45</v>
      </c>
      <c r="N1313" s="2">
        <f t="shared" si="102"/>
        <v>53.2</v>
      </c>
      <c r="O1313" s="2">
        <f>IF(M1313="","",IF(M1313&gt;=1000,95,IF(M1313&lt;=12.5,50,LOOKUP(M1313,{12.5,15,20,30,45,60,75,105,115,150,200,225,250,600,1000},{50,55,60,62,65,68,70,72,75,80,82,85,87,90,95})+(M1313-LOOKUP(M1313,{12.5,15,20,30,45,60,75,105,115,150,200,225,250,600},{12.5,15,20,30,45,60,75,105,115,150,200,225,250,600}))/(LOOKUP(M1313,{12.5,15,20,30,45,60,75,105,115,150,200,225,250,600,1000},{15,20,30,45,60,75,105,115,150,200,225,250,600,1000,1000})-LOOKUP(M1313,{12.5,15,20,30,45,60,75,105,115,150,200,225,250,600},{12.5,15,20,30,45,60,75,105,115,150,200,225,250,600}))*(LOOKUP(M1313,{12.5,15,20,30,45,60,75,105,115,150,200,225,250,600,1000},{55,60,62,65,68,70,72,75,80,82,85,87,90,95,95})-LOOKUP(M1313,{12.5,15,20,30,45,60,75,105,115,150,200,225,250,600,1000},{50,55,60,62,65,68,70,72,75,80,82,85,87,90,95})))))</f>
        <v>65</v>
      </c>
      <c r="P1313" s="2">
        <f t="shared" si="103"/>
        <v>-16</v>
      </c>
      <c r="Q1313" s="2">
        <f t="shared" si="104"/>
        <v>-7</v>
      </c>
    </row>
    <row r="1314" customHeight="1" spans="1:17">
      <c r="A1314" s="2">
        <v>2026</v>
      </c>
      <c r="B1314" s="2">
        <v>1313</v>
      </c>
      <c r="C1314" s="3">
        <f t="shared" si="105"/>
        <v>46.2</v>
      </c>
      <c r="D1314" s="2" t="s">
        <v>1749</v>
      </c>
      <c r="E1314" s="2">
        <v>52</v>
      </c>
      <c r="F1314" s="2">
        <v>50</v>
      </c>
      <c r="G1314" s="2">
        <v>48</v>
      </c>
      <c r="H1314" s="2" t="s">
        <v>41</v>
      </c>
      <c r="I1314" s="2" t="s">
        <v>63</v>
      </c>
      <c r="J1314" s="4" t="s">
        <v>88</v>
      </c>
      <c r="M1314" s="2">
        <f t="shared" si="101"/>
        <v>30</v>
      </c>
      <c r="N1314" s="2">
        <f t="shared" si="102"/>
        <v>51.2</v>
      </c>
      <c r="O1314" s="2">
        <f>IF(M1314="","",IF(M1314&gt;=1000,95,IF(M1314&lt;=12.5,50,LOOKUP(M1314,{12.5,15,20,30,45,60,75,105,115,150,200,225,250,600,1000},{50,55,60,62,65,68,70,72,75,80,82,85,87,90,95})+(M1314-LOOKUP(M1314,{12.5,15,20,30,45,60,75,105,115,150,200,225,250,600},{12.5,15,20,30,45,60,75,105,115,150,200,225,250,600}))/(LOOKUP(M1314,{12.5,15,20,30,45,60,75,105,115,150,200,225,250,600,1000},{15,20,30,45,60,75,105,115,150,200,225,250,600,1000,1000})-LOOKUP(M1314,{12.5,15,20,30,45,60,75,105,115,150,200,225,250,600},{12.5,15,20,30,45,60,75,105,115,150,200,225,250,600}))*(LOOKUP(M1314,{12.5,15,20,30,45,60,75,105,115,150,200,225,250,600,1000},{55,60,62,65,68,70,72,75,80,82,85,87,90,95,95})-LOOKUP(M1314,{12.5,15,20,30,45,60,75,105,115,150,200,225,250,600,1000},{50,55,60,62,65,68,70,72,75,80,82,85,87,90,95})))))</f>
        <v>62</v>
      </c>
      <c r="P1314" s="2">
        <f t="shared" si="103"/>
        <v>-10</v>
      </c>
      <c r="Q1314" s="2">
        <f t="shared" si="104"/>
        <v>-5</v>
      </c>
    </row>
    <row r="1315" customHeight="1" spans="1:17">
      <c r="B1315" s="2">
        <v>1314</v>
      </c>
      <c r="C1315" s="3">
        <f t="shared" si="105"/>
        <v>46.1</v>
      </c>
      <c r="D1315" s="2" t="s">
        <v>1750</v>
      </c>
      <c r="E1315" s="2">
        <v>49</v>
      </c>
      <c r="F1315" s="12">
        <v>63</v>
      </c>
      <c r="G1315" s="2">
        <v>52</v>
      </c>
      <c r="H1315" s="2" t="s">
        <v>41</v>
      </c>
      <c r="I1315" s="2" t="s">
        <v>128</v>
      </c>
      <c r="J1315" s="4" t="s">
        <v>88</v>
      </c>
      <c r="M1315" s="2">
        <f t="shared" si="101"/>
        <v>30</v>
      </c>
      <c r="N1315" s="2">
        <f t="shared" si="102"/>
        <v>52.1</v>
      </c>
      <c r="O1315" s="2">
        <f>IF(M1315="","",IF(M1315&gt;=1000,95,IF(M1315&lt;=12.5,50,LOOKUP(M1315,{12.5,15,20,30,45,60,75,105,115,150,200,225,250,600,1000},{50,55,60,62,65,68,70,72,75,80,82,85,87,90,95})+(M1315-LOOKUP(M1315,{12.5,15,20,30,45,60,75,105,115,150,200,225,250,600},{12.5,15,20,30,45,60,75,105,115,150,200,225,250,600}))/(LOOKUP(M1315,{12.5,15,20,30,45,60,75,105,115,150,200,225,250,600,1000},{15,20,30,45,60,75,105,115,150,200,225,250,600,1000,1000})-LOOKUP(M1315,{12.5,15,20,30,45,60,75,105,115,150,200,225,250,600},{12.5,15,20,30,45,60,75,105,115,150,200,225,250,600}))*(LOOKUP(M1315,{12.5,15,20,30,45,60,75,105,115,150,200,225,250,600,1000},{55,60,62,65,68,70,72,75,80,82,85,87,90,95,95})-LOOKUP(M1315,{12.5,15,20,30,45,60,75,105,115,150,200,225,250,600,1000},{50,55,60,62,65,68,70,72,75,80,82,85,87,90,95})))))</f>
        <v>62</v>
      </c>
      <c r="P1315" s="2">
        <f t="shared" si="103"/>
        <v>-13</v>
      </c>
      <c r="Q1315" s="2">
        <f t="shared" si="104"/>
        <v>-6</v>
      </c>
    </row>
    <row r="1316" customHeight="1" spans="1:17">
      <c r="B1316" s="2">
        <v>1315</v>
      </c>
      <c r="C1316" s="3">
        <f t="shared" si="105"/>
        <v>46.1</v>
      </c>
      <c r="D1316" s="2" t="s">
        <v>1751</v>
      </c>
      <c r="E1316" s="2">
        <v>52</v>
      </c>
      <c r="F1316" s="2">
        <v>55</v>
      </c>
      <c r="G1316" s="2">
        <v>47</v>
      </c>
      <c r="H1316" s="2" t="s">
        <v>367</v>
      </c>
      <c r="I1316" s="2" t="s">
        <v>33</v>
      </c>
      <c r="J1316" s="4" t="s">
        <v>38</v>
      </c>
      <c r="M1316" s="2">
        <f t="shared" si="101"/>
        <v>45</v>
      </c>
      <c r="N1316" s="2">
        <f t="shared" si="102"/>
        <v>52.1</v>
      </c>
      <c r="O1316" s="2">
        <f>IF(M1316="","",IF(M1316&gt;=1000,95,IF(M1316&lt;=12.5,50,LOOKUP(M1316,{12.5,15,20,30,45,60,75,105,115,150,200,225,250,600,1000},{50,55,60,62,65,68,70,72,75,80,82,85,87,90,95})+(M1316-LOOKUP(M1316,{12.5,15,20,30,45,60,75,105,115,150,200,225,250,600},{12.5,15,20,30,45,60,75,105,115,150,200,225,250,600}))/(LOOKUP(M1316,{12.5,15,20,30,45,60,75,105,115,150,200,225,250,600,1000},{15,20,30,45,60,75,105,115,150,200,225,250,600,1000,1000})-LOOKUP(M1316,{12.5,15,20,30,45,60,75,105,115,150,200,225,250,600},{12.5,15,20,30,45,60,75,105,115,150,200,225,250,600}))*(LOOKUP(M1316,{12.5,15,20,30,45,60,75,105,115,150,200,225,250,600,1000},{55,60,62,65,68,70,72,75,80,82,85,87,90,95,95})-LOOKUP(M1316,{12.5,15,20,30,45,60,75,105,115,150,200,225,250,600,1000},{50,55,60,62,65,68,70,72,75,80,82,85,87,90,95})))))</f>
        <v>65</v>
      </c>
      <c r="P1316" s="2">
        <f t="shared" si="103"/>
        <v>-13</v>
      </c>
      <c r="Q1316" s="2">
        <f t="shared" si="104"/>
        <v>-6</v>
      </c>
    </row>
    <row r="1317" customHeight="1" spans="1:17">
      <c r="B1317" s="2">
        <v>1316</v>
      </c>
      <c r="C1317" s="3">
        <f t="shared" si="105"/>
        <v>46.1</v>
      </c>
      <c r="D1317" s="2" t="s">
        <v>1752</v>
      </c>
      <c r="E1317" s="2">
        <v>53</v>
      </c>
      <c r="F1317" s="2">
        <v>40</v>
      </c>
      <c r="G1317" s="2">
        <v>45</v>
      </c>
      <c r="H1317" s="2" t="s">
        <v>264</v>
      </c>
      <c r="I1317" s="2" t="s">
        <v>503</v>
      </c>
      <c r="J1317" s="4" t="s">
        <v>140</v>
      </c>
      <c r="M1317" s="2">
        <f t="shared" si="101"/>
        <v>20</v>
      </c>
      <c r="N1317" s="2">
        <f t="shared" si="102"/>
        <v>49.6</v>
      </c>
      <c r="O1317" s="2">
        <f>IF(M1317="","",IF(M1317&gt;=1000,95,IF(M1317&lt;=12.5,50,LOOKUP(M1317,{12.5,15,20,30,45,60,75,105,115,150,200,225,250,600,1000},{50,55,60,62,65,68,70,72,75,80,82,85,87,90,95})+(M1317-LOOKUP(M1317,{12.5,15,20,30,45,60,75,105,115,150,200,225,250,600},{12.5,15,20,30,45,60,75,105,115,150,200,225,250,600}))/(LOOKUP(M1317,{12.5,15,20,30,45,60,75,105,115,150,200,225,250,600,1000},{15,20,30,45,60,75,105,115,150,200,225,250,600,1000,1000})-LOOKUP(M1317,{12.5,15,20,30,45,60,75,105,115,150,200,225,250,600},{12.5,15,20,30,45,60,75,105,115,150,200,225,250,600}))*(LOOKUP(M1317,{12.5,15,20,30,45,60,75,105,115,150,200,225,250,600,1000},{55,60,62,65,68,70,72,75,80,82,85,87,90,95,95})-LOOKUP(M1317,{12.5,15,20,30,45,60,75,105,115,150,200,225,250,600,1000},{50,55,60,62,65,68,70,72,75,80,82,85,87,90,95})))))</f>
        <v>60</v>
      </c>
      <c r="P1317" s="2">
        <f t="shared" si="103"/>
        <v>-7</v>
      </c>
      <c r="Q1317" s="2">
        <f t="shared" si="104"/>
        <v>-3.5</v>
      </c>
    </row>
    <row r="1318" customHeight="1" spans="1:17">
      <c r="B1318" s="2">
        <v>1317</v>
      </c>
      <c r="C1318" s="3">
        <f t="shared" si="105"/>
        <v>46</v>
      </c>
      <c r="D1318" s="2" t="s">
        <v>1753</v>
      </c>
      <c r="E1318" s="2">
        <v>52</v>
      </c>
      <c r="F1318" s="2">
        <v>57</v>
      </c>
      <c r="G1318" s="2">
        <v>52</v>
      </c>
      <c r="H1318" s="2" t="s">
        <v>367</v>
      </c>
      <c r="I1318" s="2" t="s">
        <v>33</v>
      </c>
      <c r="J1318" s="4" t="s">
        <v>34</v>
      </c>
      <c r="M1318" s="2">
        <f t="shared" si="101"/>
        <v>60</v>
      </c>
      <c r="N1318" s="2">
        <f t="shared" si="102"/>
        <v>53</v>
      </c>
      <c r="O1318" s="2">
        <f>IF(M1318="","",IF(M1318&gt;=1000,95,IF(M1318&lt;=12.5,50,LOOKUP(M1318,{12.5,15,20,30,45,60,75,105,115,150,200,225,250,600,1000},{50,55,60,62,65,68,70,72,75,80,82,85,87,90,95})+(M1318-LOOKUP(M1318,{12.5,15,20,30,45,60,75,105,115,150,200,225,250,600},{12.5,15,20,30,45,60,75,105,115,150,200,225,250,600}))/(LOOKUP(M1318,{12.5,15,20,30,45,60,75,105,115,150,200,225,250,600,1000},{15,20,30,45,60,75,105,115,150,200,225,250,600,1000,1000})-LOOKUP(M1318,{12.5,15,20,30,45,60,75,105,115,150,200,225,250,600},{12.5,15,20,30,45,60,75,105,115,150,200,225,250,600}))*(LOOKUP(M1318,{12.5,15,20,30,45,60,75,105,115,150,200,225,250,600,1000},{55,60,62,65,68,70,72,75,80,82,85,87,90,95,95})-LOOKUP(M1318,{12.5,15,20,30,45,60,75,105,115,150,200,225,250,600,1000},{50,55,60,62,65,68,70,72,75,80,82,85,87,90,95})))))</f>
        <v>68</v>
      </c>
      <c r="P1318" s="2">
        <f t="shared" si="103"/>
        <v>-16</v>
      </c>
      <c r="Q1318" s="2">
        <f t="shared" si="104"/>
        <v>-7</v>
      </c>
    </row>
    <row r="1319" customHeight="1" spans="1:17">
      <c r="B1319" s="2">
        <v>1318</v>
      </c>
      <c r="C1319" s="3">
        <f t="shared" si="105"/>
        <v>45.87</v>
      </c>
      <c r="D1319" s="2" t="s">
        <v>1754</v>
      </c>
      <c r="E1319" s="2">
        <v>52</v>
      </c>
      <c r="F1319" s="12">
        <v>63</v>
      </c>
      <c r="G1319" s="12">
        <v>62</v>
      </c>
      <c r="H1319" s="2" t="s">
        <v>41</v>
      </c>
      <c r="I1319" s="2" t="s">
        <v>449</v>
      </c>
      <c r="J1319" s="4" t="s">
        <v>148</v>
      </c>
      <c r="M1319" s="2">
        <f t="shared" si="101"/>
        <v>115</v>
      </c>
      <c r="N1319" s="2">
        <f t="shared" si="102"/>
        <v>55.2</v>
      </c>
      <c r="O1319" s="2">
        <f>IF(M1319="","",IF(M1319&gt;=1000,95,IF(M1319&lt;=12.5,50,LOOKUP(M1319,{12.5,15,20,30,45,60,75,105,115,150,200,225,250,600,1000},{50,55,60,62,65,68,70,72,75,80,82,85,87,90,95})+(M1319-LOOKUP(M1319,{12.5,15,20,30,45,60,75,105,115,150,200,225,250,600},{12.5,15,20,30,45,60,75,105,115,150,200,225,250,600}))/(LOOKUP(M1319,{12.5,15,20,30,45,60,75,105,115,150,200,225,250,600,1000},{15,20,30,45,60,75,105,115,150,200,225,250,600,1000,1000})-LOOKUP(M1319,{12.5,15,20,30,45,60,75,105,115,150,200,225,250,600},{12.5,15,20,30,45,60,75,105,115,150,200,225,250,600}))*(LOOKUP(M1319,{12.5,15,20,30,45,60,75,105,115,150,200,225,250,600,1000},{55,60,62,65,68,70,72,75,80,82,85,87,90,95,95})-LOOKUP(M1319,{12.5,15,20,30,45,60,75,105,115,150,200,225,250,600,1000},{50,55,60,62,65,68,70,72,75,80,82,85,87,90,95})))))</f>
        <v>75</v>
      </c>
      <c r="P1319" s="2">
        <f t="shared" si="103"/>
        <v>-23</v>
      </c>
      <c r="Q1319" s="2">
        <f t="shared" si="104"/>
        <v>-9.33</v>
      </c>
    </row>
    <row r="1320" customHeight="1" spans="1:17">
      <c r="B1320" s="2">
        <v>1319</v>
      </c>
      <c r="C1320" s="3">
        <f t="shared" si="105"/>
        <v>45.86</v>
      </c>
      <c r="D1320" s="2" t="s">
        <v>1755</v>
      </c>
      <c r="E1320" s="2">
        <v>51</v>
      </c>
      <c r="F1320" s="12">
        <v>60</v>
      </c>
      <c r="G1320" s="2">
        <v>55</v>
      </c>
      <c r="H1320" s="2" t="s">
        <v>367</v>
      </c>
      <c r="I1320" s="2" t="s">
        <v>33</v>
      </c>
      <c r="J1320" s="4" t="s">
        <v>34</v>
      </c>
      <c r="M1320" s="2">
        <f t="shared" si="101"/>
        <v>60</v>
      </c>
      <c r="N1320" s="2">
        <f t="shared" si="102"/>
        <v>53.2</v>
      </c>
      <c r="O1320" s="2">
        <f>IF(M1320="","",IF(M1320&gt;=1000,95,IF(M1320&lt;=12.5,50,LOOKUP(M1320,{12.5,15,20,30,45,60,75,105,115,150,200,225,250,600,1000},{50,55,60,62,65,68,70,72,75,80,82,85,87,90,95})+(M1320-LOOKUP(M1320,{12.5,15,20,30,45,60,75,105,115,150,200,225,250,600},{12.5,15,20,30,45,60,75,105,115,150,200,225,250,600}))/(LOOKUP(M1320,{12.5,15,20,30,45,60,75,105,115,150,200,225,250,600,1000},{15,20,30,45,60,75,105,115,150,200,225,250,600,1000,1000})-LOOKUP(M1320,{12.5,15,20,30,45,60,75,105,115,150,200,225,250,600},{12.5,15,20,30,45,60,75,105,115,150,200,225,250,600}))*(LOOKUP(M1320,{12.5,15,20,30,45,60,75,105,115,150,200,225,250,600,1000},{55,60,62,65,68,70,72,75,80,82,85,87,90,95,95})-LOOKUP(M1320,{12.5,15,20,30,45,60,75,105,115,150,200,225,250,600,1000},{50,55,60,62,65,68,70,72,75,80,82,85,87,90,95})))))</f>
        <v>68</v>
      </c>
      <c r="P1320" s="2">
        <f t="shared" si="103"/>
        <v>-17</v>
      </c>
      <c r="Q1320" s="2">
        <f t="shared" si="104"/>
        <v>-7.34</v>
      </c>
    </row>
    <row r="1321" customHeight="1" spans="1:17">
      <c r="B1321" s="2">
        <v>1320</v>
      </c>
      <c r="C1321" s="3">
        <f t="shared" si="105"/>
        <v>45.8</v>
      </c>
      <c r="D1321" s="2" t="s">
        <v>1756</v>
      </c>
      <c r="E1321" s="2">
        <v>49</v>
      </c>
      <c r="F1321" s="2">
        <v>55</v>
      </c>
      <c r="G1321" s="2">
        <v>35</v>
      </c>
      <c r="H1321" s="2" t="s">
        <v>300</v>
      </c>
      <c r="I1321" s="2" t="s">
        <v>63</v>
      </c>
      <c r="J1321" s="4" t="s">
        <v>29</v>
      </c>
      <c r="M1321" s="2">
        <f t="shared" si="101"/>
        <v>15</v>
      </c>
      <c r="N1321" s="2">
        <f t="shared" si="102"/>
        <v>48.8</v>
      </c>
      <c r="O1321" s="2">
        <f>IF(M1321="","",IF(M1321&gt;=1000,95,IF(M1321&lt;=12.5,50,LOOKUP(M1321,{12.5,15,20,30,45,60,75,105,115,150,200,225,250,600,1000},{50,55,60,62,65,68,70,72,75,80,82,85,87,90,95})+(M1321-LOOKUP(M1321,{12.5,15,20,30,45,60,75,105,115,150,200,225,250,600},{12.5,15,20,30,45,60,75,105,115,150,200,225,250,600}))/(LOOKUP(M1321,{12.5,15,20,30,45,60,75,105,115,150,200,225,250,600,1000},{15,20,30,45,60,75,105,115,150,200,225,250,600,1000,1000})-LOOKUP(M1321,{12.5,15,20,30,45,60,75,105,115,150,200,225,250,600},{12.5,15,20,30,45,60,75,105,115,150,200,225,250,600}))*(LOOKUP(M1321,{12.5,15,20,30,45,60,75,105,115,150,200,225,250,600,1000},{55,60,62,65,68,70,72,75,80,82,85,87,90,95,95})-LOOKUP(M1321,{12.5,15,20,30,45,60,75,105,115,150,200,225,250,600,1000},{50,55,60,62,65,68,70,72,75,80,82,85,87,90,95})))))</f>
        <v>55</v>
      </c>
      <c r="P1321" s="2">
        <f t="shared" si="103"/>
        <v>-6</v>
      </c>
      <c r="Q1321" s="2">
        <f t="shared" si="104"/>
        <v>-3</v>
      </c>
    </row>
    <row r="1322" customHeight="1" spans="1:17">
      <c r="B1322" s="2">
        <v>1321</v>
      </c>
      <c r="C1322" s="3">
        <f t="shared" si="105"/>
        <v>45.73</v>
      </c>
      <c r="D1322" s="2" t="s">
        <v>1757</v>
      </c>
      <c r="E1322" s="2">
        <v>56</v>
      </c>
      <c r="F1322" s="12">
        <v>60</v>
      </c>
      <c r="G1322" s="2">
        <v>42</v>
      </c>
      <c r="H1322" s="2" t="s">
        <v>723</v>
      </c>
      <c r="I1322" s="2" t="s">
        <v>612</v>
      </c>
      <c r="J1322" s="4" t="s">
        <v>59</v>
      </c>
      <c r="M1322" s="2">
        <f t="shared" si="101"/>
        <v>150</v>
      </c>
      <c r="N1322" s="2">
        <f t="shared" si="102"/>
        <v>55.4</v>
      </c>
      <c r="O1322" s="2">
        <f>IF(M1322="","",IF(M1322&gt;=1000,95,IF(M1322&lt;=12.5,50,LOOKUP(M1322,{12.5,15,20,30,45,60,75,105,115,150,200,225,250,600,1000},{50,55,60,62,65,68,70,72,75,80,82,85,87,90,95})+(M1322-LOOKUP(M1322,{12.5,15,20,30,45,60,75,105,115,150,200,225,250,600},{12.5,15,20,30,45,60,75,105,115,150,200,225,250,600}))/(LOOKUP(M1322,{12.5,15,20,30,45,60,75,105,115,150,200,225,250,600,1000},{15,20,30,45,60,75,105,115,150,200,225,250,600,1000,1000})-LOOKUP(M1322,{12.5,15,20,30,45,60,75,105,115,150,200,225,250,600},{12.5,15,20,30,45,60,75,105,115,150,200,225,250,600}))*(LOOKUP(M1322,{12.5,15,20,30,45,60,75,105,115,150,200,225,250,600,1000},{55,60,62,65,68,70,72,75,80,82,85,87,90,95,95})-LOOKUP(M1322,{12.5,15,20,30,45,60,75,105,115,150,200,225,250,600,1000},{50,55,60,62,65,68,70,72,75,80,82,85,87,90,95})))))</f>
        <v>80</v>
      </c>
      <c r="P1322" s="2">
        <f t="shared" si="103"/>
        <v>-24</v>
      </c>
      <c r="Q1322" s="2">
        <f t="shared" si="104"/>
        <v>-9.67</v>
      </c>
    </row>
    <row r="1323" customHeight="1" spans="1:17">
      <c r="A1323" s="2">
        <v>2026</v>
      </c>
      <c r="B1323" s="2">
        <v>1322</v>
      </c>
      <c r="C1323" s="3">
        <f t="shared" si="105"/>
        <v>45.7</v>
      </c>
      <c r="D1323" s="2" t="s">
        <v>1758</v>
      </c>
      <c r="E1323" s="2">
        <v>51</v>
      </c>
      <c r="F1323" s="2">
        <v>50</v>
      </c>
      <c r="G1323" s="2">
        <v>45</v>
      </c>
      <c r="H1323" s="2" t="s">
        <v>41</v>
      </c>
      <c r="I1323" s="2" t="s">
        <v>63</v>
      </c>
      <c r="J1323" s="4" t="s">
        <v>140</v>
      </c>
      <c r="M1323" s="2">
        <f t="shared" si="101"/>
        <v>20</v>
      </c>
      <c r="N1323" s="2">
        <f t="shared" si="102"/>
        <v>50.2</v>
      </c>
      <c r="O1323" s="2">
        <f>IF(M1323="","",IF(M1323&gt;=1000,95,IF(M1323&lt;=12.5,50,LOOKUP(M1323,{12.5,15,20,30,45,60,75,105,115,150,200,225,250,600,1000},{50,55,60,62,65,68,70,72,75,80,82,85,87,90,95})+(M1323-LOOKUP(M1323,{12.5,15,20,30,45,60,75,105,115,150,200,225,250,600},{12.5,15,20,30,45,60,75,105,115,150,200,225,250,600}))/(LOOKUP(M1323,{12.5,15,20,30,45,60,75,105,115,150,200,225,250,600,1000},{15,20,30,45,60,75,105,115,150,200,225,250,600,1000,1000})-LOOKUP(M1323,{12.5,15,20,30,45,60,75,105,115,150,200,225,250,600},{12.5,15,20,30,45,60,75,105,115,150,200,225,250,600}))*(LOOKUP(M1323,{12.5,15,20,30,45,60,75,105,115,150,200,225,250,600,1000},{55,60,62,65,68,70,72,75,80,82,85,87,90,95,95})-LOOKUP(M1323,{12.5,15,20,30,45,60,75,105,115,150,200,225,250,600,1000},{50,55,60,62,65,68,70,72,75,80,82,85,87,90,95})))))</f>
        <v>60</v>
      </c>
      <c r="P1323" s="2">
        <f t="shared" si="103"/>
        <v>-9</v>
      </c>
      <c r="Q1323" s="2">
        <f t="shared" si="104"/>
        <v>-4.5</v>
      </c>
    </row>
    <row r="1324" customHeight="1" spans="1:17">
      <c r="B1324" s="2">
        <v>1323</v>
      </c>
      <c r="C1324" s="3">
        <f t="shared" si="105"/>
        <v>45.6</v>
      </c>
      <c r="D1324" s="2" t="s">
        <v>1759</v>
      </c>
      <c r="E1324" s="2">
        <v>50</v>
      </c>
      <c r="F1324" s="12">
        <v>65</v>
      </c>
      <c r="G1324" s="12">
        <v>66</v>
      </c>
      <c r="H1324" s="2" t="s">
        <v>37</v>
      </c>
      <c r="I1324" s="2" t="s">
        <v>435</v>
      </c>
      <c r="J1324" s="4" t="s">
        <v>105</v>
      </c>
      <c r="M1324" s="2">
        <f t="shared" si="101"/>
        <v>105</v>
      </c>
      <c r="N1324" s="2">
        <f t="shared" si="102"/>
        <v>54.6</v>
      </c>
      <c r="O1324" s="2">
        <f>IF(M1324="","",IF(M1324&gt;=1000,95,IF(M1324&lt;=12.5,50,LOOKUP(M1324,{12.5,15,20,30,45,60,75,105,115,150,200,225,250,600,1000},{50,55,60,62,65,68,70,72,75,80,82,85,87,90,95})+(M1324-LOOKUP(M1324,{12.5,15,20,30,45,60,75,105,115,150,200,225,250,600},{12.5,15,20,30,45,60,75,105,115,150,200,225,250,600}))/(LOOKUP(M1324,{12.5,15,20,30,45,60,75,105,115,150,200,225,250,600,1000},{15,20,30,45,60,75,105,115,150,200,225,250,600,1000,1000})-LOOKUP(M1324,{12.5,15,20,30,45,60,75,105,115,150,200,225,250,600},{12.5,15,20,30,45,60,75,105,115,150,200,225,250,600}))*(LOOKUP(M1324,{12.5,15,20,30,45,60,75,105,115,150,200,225,250,600,1000},{55,60,62,65,68,70,72,75,80,82,85,87,90,95,95})-LOOKUP(M1324,{12.5,15,20,30,45,60,75,105,115,150,200,225,250,600,1000},{50,55,60,62,65,68,70,72,75,80,82,85,87,90,95})))))</f>
        <v>72</v>
      </c>
      <c r="P1324" s="2">
        <f t="shared" si="103"/>
        <v>-22</v>
      </c>
      <c r="Q1324" s="2">
        <f t="shared" si="104"/>
        <v>-9</v>
      </c>
    </row>
    <row r="1325" customHeight="1" spans="1:17">
      <c r="B1325" s="2">
        <v>1324</v>
      </c>
      <c r="C1325" s="3">
        <f t="shared" si="105"/>
        <v>45.6</v>
      </c>
      <c r="D1325" s="2" t="s">
        <v>1760</v>
      </c>
      <c r="E1325" s="2">
        <v>53</v>
      </c>
      <c r="F1325" s="2">
        <v>57</v>
      </c>
      <c r="G1325" s="2">
        <v>51</v>
      </c>
      <c r="H1325" s="2" t="s">
        <v>367</v>
      </c>
      <c r="I1325" s="2" t="s">
        <v>33</v>
      </c>
      <c r="J1325" s="4" t="s">
        <v>105</v>
      </c>
      <c r="M1325" s="2">
        <f t="shared" si="101"/>
        <v>105</v>
      </c>
      <c r="N1325" s="2">
        <f t="shared" si="102"/>
        <v>53.6</v>
      </c>
      <c r="O1325" s="2">
        <f>IF(M1325="","",IF(M1325&gt;=1000,95,IF(M1325&lt;=12.5,50,LOOKUP(M1325,{12.5,15,20,30,45,60,75,105,115,150,200,225,250,600,1000},{50,55,60,62,65,68,70,72,75,80,82,85,87,90,95})+(M1325-LOOKUP(M1325,{12.5,15,20,30,45,60,75,105,115,150,200,225,250,600},{12.5,15,20,30,45,60,75,105,115,150,200,225,250,600}))/(LOOKUP(M1325,{12.5,15,20,30,45,60,75,105,115,150,200,225,250,600,1000},{15,20,30,45,60,75,105,115,150,200,225,250,600,1000,1000})-LOOKUP(M1325,{12.5,15,20,30,45,60,75,105,115,150,200,225,250,600},{12.5,15,20,30,45,60,75,105,115,150,200,225,250,600}))*(LOOKUP(M1325,{12.5,15,20,30,45,60,75,105,115,150,200,225,250,600,1000},{55,60,62,65,68,70,72,75,80,82,85,87,90,95,95})-LOOKUP(M1325,{12.5,15,20,30,45,60,75,105,115,150,200,225,250,600,1000},{50,55,60,62,65,68,70,72,75,80,82,85,87,90,95})))))</f>
        <v>72</v>
      </c>
      <c r="P1325" s="2">
        <f t="shared" si="103"/>
        <v>-19</v>
      </c>
      <c r="Q1325" s="2">
        <f t="shared" si="104"/>
        <v>-8</v>
      </c>
    </row>
    <row r="1326" customHeight="1" spans="1:17">
      <c r="B1326" s="2">
        <v>1325</v>
      </c>
      <c r="C1326" s="3">
        <f t="shared" si="105"/>
        <v>45.6</v>
      </c>
      <c r="D1326" s="2" t="s">
        <v>1761</v>
      </c>
      <c r="E1326" s="2">
        <v>55</v>
      </c>
      <c r="F1326" s="2">
        <v>48</v>
      </c>
      <c r="G1326" s="2">
        <v>35</v>
      </c>
      <c r="H1326" s="2" t="s">
        <v>339</v>
      </c>
      <c r="I1326" s="2" t="s">
        <v>503</v>
      </c>
      <c r="J1326" s="4" t="s">
        <v>34</v>
      </c>
      <c r="M1326" s="2">
        <f t="shared" si="101"/>
        <v>60</v>
      </c>
      <c r="N1326" s="2">
        <f t="shared" si="102"/>
        <v>51.6</v>
      </c>
      <c r="O1326" s="2">
        <f>IF(M1326="","",IF(M1326&gt;=1000,95,IF(M1326&lt;=12.5,50,LOOKUP(M1326,{12.5,15,20,30,45,60,75,105,115,150,200,225,250,600,1000},{50,55,60,62,65,68,70,72,75,80,82,85,87,90,95})+(M1326-LOOKUP(M1326,{12.5,15,20,30,45,60,75,105,115,150,200,225,250,600},{12.5,15,20,30,45,60,75,105,115,150,200,225,250,600}))/(LOOKUP(M1326,{12.5,15,20,30,45,60,75,105,115,150,200,225,250,600,1000},{15,20,30,45,60,75,105,115,150,200,225,250,600,1000,1000})-LOOKUP(M1326,{12.5,15,20,30,45,60,75,105,115,150,200,225,250,600},{12.5,15,20,30,45,60,75,105,115,150,200,225,250,600}))*(LOOKUP(M1326,{12.5,15,20,30,45,60,75,105,115,150,200,225,250,600,1000},{55,60,62,65,68,70,72,75,80,82,85,87,90,95,95})-LOOKUP(M1326,{12.5,15,20,30,45,60,75,105,115,150,200,225,250,600,1000},{50,55,60,62,65,68,70,72,75,80,82,85,87,90,95})))))</f>
        <v>68</v>
      </c>
      <c r="P1326" s="2">
        <f t="shared" si="103"/>
        <v>-13</v>
      </c>
      <c r="Q1326" s="2">
        <f t="shared" si="104"/>
        <v>-6</v>
      </c>
    </row>
    <row r="1327" customHeight="1" spans="1:17">
      <c r="A1327" s="2">
        <v>2026</v>
      </c>
      <c r="B1327" s="2">
        <v>1326</v>
      </c>
      <c r="C1327" s="3">
        <f t="shared" si="105"/>
        <v>45.46</v>
      </c>
      <c r="D1327" s="2" t="s">
        <v>1762</v>
      </c>
      <c r="E1327" s="2">
        <v>48</v>
      </c>
      <c r="F1327" s="12">
        <v>65</v>
      </c>
      <c r="G1327" s="12">
        <v>62</v>
      </c>
      <c r="H1327" s="2" t="s">
        <v>41</v>
      </c>
      <c r="I1327" s="2" t="s">
        <v>577</v>
      </c>
      <c r="J1327" s="4" t="s">
        <v>38</v>
      </c>
      <c r="M1327" s="2">
        <f t="shared" si="101"/>
        <v>45</v>
      </c>
      <c r="N1327" s="2">
        <f t="shared" si="102"/>
        <v>52.8</v>
      </c>
      <c r="O1327" s="2">
        <f>IF(M1327="","",IF(M1327&gt;=1000,95,IF(M1327&lt;=12.5,50,LOOKUP(M1327,{12.5,15,20,30,45,60,75,105,115,150,200,225,250,600,1000},{50,55,60,62,65,68,70,72,75,80,82,85,87,90,95})+(M1327-LOOKUP(M1327,{12.5,15,20,30,45,60,75,105,115,150,200,225,250,600},{12.5,15,20,30,45,60,75,105,115,150,200,225,250,600}))/(LOOKUP(M1327,{12.5,15,20,30,45,60,75,105,115,150,200,225,250,600,1000},{15,20,30,45,60,75,105,115,150,200,225,250,600,1000,1000})-LOOKUP(M1327,{12.5,15,20,30,45,60,75,105,115,150,200,225,250,600},{12.5,15,20,30,45,60,75,105,115,150,200,225,250,600}))*(LOOKUP(M1327,{12.5,15,20,30,45,60,75,105,115,150,200,225,250,600,1000},{55,60,62,65,68,70,72,75,80,82,85,87,90,95,95})-LOOKUP(M1327,{12.5,15,20,30,45,60,75,105,115,150,200,225,250,600,1000},{50,55,60,62,65,68,70,72,75,80,82,85,87,90,95})))))</f>
        <v>65</v>
      </c>
      <c r="P1327" s="2">
        <f t="shared" si="103"/>
        <v>-17</v>
      </c>
      <c r="Q1327" s="2">
        <f t="shared" si="104"/>
        <v>-7.34</v>
      </c>
    </row>
    <row r="1328" customHeight="1" spans="1:17">
      <c r="A1328" s="2">
        <v>2026</v>
      </c>
      <c r="B1328" s="2">
        <v>1327</v>
      </c>
      <c r="C1328" s="3">
        <f t="shared" si="105"/>
        <v>45.43</v>
      </c>
      <c r="D1328" s="2" t="s">
        <v>1763</v>
      </c>
      <c r="E1328" s="2">
        <v>50</v>
      </c>
      <c r="F1328" s="12">
        <v>60</v>
      </c>
      <c r="G1328" s="2">
        <v>51</v>
      </c>
      <c r="H1328" s="2" t="s">
        <v>54</v>
      </c>
      <c r="I1328" s="2" t="s">
        <v>28</v>
      </c>
      <c r="J1328" s="4" t="s">
        <v>38</v>
      </c>
      <c r="M1328" s="2">
        <f t="shared" si="101"/>
        <v>45</v>
      </c>
      <c r="N1328" s="2">
        <f t="shared" si="102"/>
        <v>52.1</v>
      </c>
      <c r="O1328" s="2">
        <f>IF(M1328="","",IF(M1328&gt;=1000,95,IF(M1328&lt;=12.5,50,LOOKUP(M1328,{12.5,15,20,30,45,60,75,105,115,150,200,225,250,600,1000},{50,55,60,62,65,68,70,72,75,80,82,85,87,90,95})+(M1328-LOOKUP(M1328,{12.5,15,20,30,45,60,75,105,115,150,200,225,250,600},{12.5,15,20,30,45,60,75,105,115,150,200,225,250,600}))/(LOOKUP(M1328,{12.5,15,20,30,45,60,75,105,115,150,200,225,250,600,1000},{15,20,30,45,60,75,105,115,150,200,225,250,600,1000,1000})-LOOKUP(M1328,{12.5,15,20,30,45,60,75,105,115,150,200,225,250,600},{12.5,15,20,30,45,60,75,105,115,150,200,225,250,600}))*(LOOKUP(M1328,{12.5,15,20,30,45,60,75,105,115,150,200,225,250,600,1000},{55,60,62,65,68,70,72,75,80,82,85,87,90,95,95})-LOOKUP(M1328,{12.5,15,20,30,45,60,75,105,115,150,200,225,250,600,1000},{50,55,60,62,65,68,70,72,75,80,82,85,87,90,95})))))</f>
        <v>65</v>
      </c>
      <c r="P1328" s="2">
        <f t="shared" si="103"/>
        <v>-15</v>
      </c>
      <c r="Q1328" s="2">
        <f t="shared" si="104"/>
        <v>-6.67</v>
      </c>
    </row>
    <row r="1329" customHeight="1" spans="1:17">
      <c r="B1329" s="2">
        <v>1328</v>
      </c>
      <c r="C1329" s="3">
        <f t="shared" si="105"/>
        <v>45.43</v>
      </c>
      <c r="D1329" s="2" t="s">
        <v>1764</v>
      </c>
      <c r="E1329" s="2">
        <v>53</v>
      </c>
      <c r="F1329" s="12">
        <v>64</v>
      </c>
      <c r="G1329" s="12">
        <v>62</v>
      </c>
      <c r="H1329" s="2" t="s">
        <v>175</v>
      </c>
      <c r="I1329" s="2" t="s">
        <v>128</v>
      </c>
      <c r="J1329" s="4" t="s">
        <v>59</v>
      </c>
      <c r="M1329" s="2">
        <f t="shared" si="101"/>
        <v>150</v>
      </c>
      <c r="N1329" s="2">
        <f t="shared" si="102"/>
        <v>56.1</v>
      </c>
      <c r="O1329" s="2">
        <f>IF(M1329="","",IF(M1329&gt;=1000,95,IF(M1329&lt;=12.5,50,LOOKUP(M1329,{12.5,15,20,30,45,60,75,105,115,150,200,225,250,600,1000},{50,55,60,62,65,68,70,72,75,80,82,85,87,90,95})+(M1329-LOOKUP(M1329,{12.5,15,20,30,45,60,75,105,115,150,200,225,250,600},{12.5,15,20,30,45,60,75,105,115,150,200,225,250,600}))/(LOOKUP(M1329,{12.5,15,20,30,45,60,75,105,115,150,200,225,250,600,1000},{15,20,30,45,60,75,105,115,150,200,225,250,600,1000,1000})-LOOKUP(M1329,{12.5,15,20,30,45,60,75,105,115,150,200,225,250,600},{12.5,15,20,30,45,60,75,105,115,150,200,225,250,600}))*(LOOKUP(M1329,{12.5,15,20,30,45,60,75,105,115,150,200,225,250,600,1000},{55,60,62,65,68,70,72,75,80,82,85,87,90,95,95})-LOOKUP(M1329,{12.5,15,20,30,45,60,75,105,115,150,200,225,250,600,1000},{50,55,60,62,65,68,70,72,75,80,82,85,87,90,95})))))</f>
        <v>80</v>
      </c>
      <c r="P1329" s="2">
        <f t="shared" si="103"/>
        <v>-27</v>
      </c>
      <c r="Q1329" s="2">
        <f t="shared" si="104"/>
        <v>-10.67</v>
      </c>
    </row>
    <row r="1330" customHeight="1" spans="1:17">
      <c r="B1330" s="2">
        <v>1329</v>
      </c>
      <c r="C1330" s="3">
        <f t="shared" si="105"/>
        <v>45.43</v>
      </c>
      <c r="D1330" s="2" t="s">
        <v>1765</v>
      </c>
      <c r="E1330" s="2">
        <v>55</v>
      </c>
      <c r="F1330" s="2">
        <v>50</v>
      </c>
      <c r="G1330" s="2">
        <v>36</v>
      </c>
      <c r="H1330" s="2" t="s">
        <v>997</v>
      </c>
      <c r="I1330" s="2" t="s">
        <v>63</v>
      </c>
      <c r="J1330" s="4" t="s">
        <v>24</v>
      </c>
      <c r="M1330" s="2">
        <f t="shared" si="101"/>
        <v>75</v>
      </c>
      <c r="N1330" s="2">
        <f t="shared" si="102"/>
        <v>52.1</v>
      </c>
      <c r="O1330" s="2">
        <f>IF(M1330="","",IF(M1330&gt;=1000,95,IF(M1330&lt;=12.5,50,LOOKUP(M1330,{12.5,15,20,30,45,60,75,105,115,150,200,225,250,600,1000},{50,55,60,62,65,68,70,72,75,80,82,85,87,90,95})+(M1330-LOOKUP(M1330,{12.5,15,20,30,45,60,75,105,115,150,200,225,250,600},{12.5,15,20,30,45,60,75,105,115,150,200,225,250,600}))/(LOOKUP(M1330,{12.5,15,20,30,45,60,75,105,115,150,200,225,250,600,1000},{15,20,30,45,60,75,105,115,150,200,225,250,600,1000,1000})-LOOKUP(M1330,{12.5,15,20,30,45,60,75,105,115,150,200,225,250,600},{12.5,15,20,30,45,60,75,105,115,150,200,225,250,600}))*(LOOKUP(M1330,{12.5,15,20,30,45,60,75,105,115,150,200,225,250,600,1000},{55,60,62,65,68,70,72,75,80,82,85,87,90,95,95})-LOOKUP(M1330,{12.5,15,20,30,45,60,75,105,115,150,200,225,250,600,1000},{50,55,60,62,65,68,70,72,75,80,82,85,87,90,95})))))</f>
        <v>70</v>
      </c>
      <c r="P1330" s="2">
        <f t="shared" si="103"/>
        <v>-15</v>
      </c>
      <c r="Q1330" s="2">
        <f t="shared" si="104"/>
        <v>-6.67</v>
      </c>
    </row>
    <row r="1331" customHeight="1" spans="1:17">
      <c r="A1331" s="2">
        <v>2026</v>
      </c>
      <c r="B1331" s="2">
        <v>1330</v>
      </c>
      <c r="C1331" s="3">
        <f t="shared" si="105"/>
        <v>45.4</v>
      </c>
      <c r="D1331" s="2" t="s">
        <v>1766</v>
      </c>
      <c r="E1331" s="2">
        <v>49</v>
      </c>
      <c r="F1331" s="12">
        <v>62</v>
      </c>
      <c r="G1331" s="12">
        <v>67</v>
      </c>
      <c r="H1331" s="2" t="s">
        <v>54</v>
      </c>
      <c r="I1331" s="2" t="s">
        <v>128</v>
      </c>
      <c r="J1331" s="4" t="s">
        <v>34</v>
      </c>
      <c r="M1331" s="2">
        <f t="shared" si="101"/>
        <v>60</v>
      </c>
      <c r="N1331" s="2">
        <f t="shared" si="102"/>
        <v>53.4</v>
      </c>
      <c r="O1331" s="2">
        <f>IF(M1331="","",IF(M1331&gt;=1000,95,IF(M1331&lt;=12.5,50,LOOKUP(M1331,{12.5,15,20,30,45,60,75,105,115,150,200,225,250,600,1000},{50,55,60,62,65,68,70,72,75,80,82,85,87,90,95})+(M1331-LOOKUP(M1331,{12.5,15,20,30,45,60,75,105,115,150,200,225,250,600},{12.5,15,20,30,45,60,75,105,115,150,200,225,250,600}))/(LOOKUP(M1331,{12.5,15,20,30,45,60,75,105,115,150,200,225,250,600,1000},{15,20,30,45,60,75,105,115,150,200,225,250,600,1000,1000})-LOOKUP(M1331,{12.5,15,20,30,45,60,75,105,115,150,200,225,250,600},{12.5,15,20,30,45,60,75,105,115,150,200,225,250,600}))*(LOOKUP(M1331,{12.5,15,20,30,45,60,75,105,115,150,200,225,250,600,1000},{55,60,62,65,68,70,72,75,80,82,85,87,90,95,95})-LOOKUP(M1331,{12.5,15,20,30,45,60,75,105,115,150,200,225,250,600,1000},{50,55,60,62,65,68,70,72,75,80,82,85,87,90,95})))))</f>
        <v>68</v>
      </c>
      <c r="P1331" s="2">
        <f t="shared" si="103"/>
        <v>-19</v>
      </c>
      <c r="Q1331" s="2">
        <f t="shared" si="104"/>
        <v>-8</v>
      </c>
    </row>
    <row r="1332" customHeight="1" spans="1:17">
      <c r="B1332" s="2">
        <v>1331</v>
      </c>
      <c r="C1332" s="3">
        <f t="shared" si="105"/>
        <v>45.4</v>
      </c>
      <c r="D1332" s="2" t="s">
        <v>1767</v>
      </c>
      <c r="E1332" s="2">
        <v>49</v>
      </c>
      <c r="F1332" s="2">
        <v>54</v>
      </c>
      <c r="G1332" s="9">
        <v>73</v>
      </c>
      <c r="H1332" s="2" t="s">
        <v>444</v>
      </c>
      <c r="I1332" s="2" t="s">
        <v>128</v>
      </c>
      <c r="J1332" s="4" t="s">
        <v>38</v>
      </c>
      <c r="M1332" s="2">
        <f t="shared" si="101"/>
        <v>45</v>
      </c>
      <c r="N1332" s="2">
        <f t="shared" si="102"/>
        <v>52.4</v>
      </c>
      <c r="O1332" s="2">
        <f>IF(M1332="","",IF(M1332&gt;=1000,95,IF(M1332&lt;=12.5,50,LOOKUP(M1332,{12.5,15,20,30,45,60,75,105,115,150,200,225,250,600,1000},{50,55,60,62,65,68,70,72,75,80,82,85,87,90,95})+(M1332-LOOKUP(M1332,{12.5,15,20,30,45,60,75,105,115,150,200,225,250,600},{12.5,15,20,30,45,60,75,105,115,150,200,225,250,600}))/(LOOKUP(M1332,{12.5,15,20,30,45,60,75,105,115,150,200,225,250,600,1000},{15,20,30,45,60,75,105,115,150,200,225,250,600,1000,1000})-LOOKUP(M1332,{12.5,15,20,30,45,60,75,105,115,150,200,225,250,600},{12.5,15,20,30,45,60,75,105,115,150,200,225,250,600}))*(LOOKUP(M1332,{12.5,15,20,30,45,60,75,105,115,150,200,225,250,600,1000},{55,60,62,65,68,70,72,75,80,82,85,87,90,95,95})-LOOKUP(M1332,{12.5,15,20,30,45,60,75,105,115,150,200,225,250,600,1000},{50,55,60,62,65,68,70,72,75,80,82,85,87,90,95})))))</f>
        <v>65</v>
      </c>
      <c r="P1332" s="2">
        <f t="shared" si="103"/>
        <v>-16</v>
      </c>
      <c r="Q1332" s="2">
        <f t="shared" si="104"/>
        <v>-7</v>
      </c>
    </row>
    <row r="1333" customHeight="1" spans="1:17">
      <c r="B1333" s="2">
        <v>1332</v>
      </c>
      <c r="C1333" s="3">
        <f t="shared" si="105"/>
        <v>45.36</v>
      </c>
      <c r="D1333" s="2" t="s">
        <v>1768</v>
      </c>
      <c r="E1333" s="2">
        <v>51</v>
      </c>
      <c r="F1333" s="12">
        <v>60</v>
      </c>
      <c r="G1333" s="2">
        <v>40</v>
      </c>
      <c r="H1333" s="2" t="s">
        <v>37</v>
      </c>
      <c r="I1333" s="2" t="s">
        <v>33</v>
      </c>
      <c r="J1333" s="4" t="s">
        <v>38</v>
      </c>
      <c r="M1333" s="2">
        <f t="shared" si="101"/>
        <v>45</v>
      </c>
      <c r="N1333" s="2">
        <f t="shared" si="102"/>
        <v>51.7</v>
      </c>
      <c r="O1333" s="2">
        <f>IF(M1333="","",IF(M1333&gt;=1000,95,IF(M1333&lt;=12.5,50,LOOKUP(M1333,{12.5,15,20,30,45,60,75,105,115,150,200,225,250,600,1000},{50,55,60,62,65,68,70,72,75,80,82,85,87,90,95})+(M1333-LOOKUP(M1333,{12.5,15,20,30,45,60,75,105,115,150,200,225,250,600},{12.5,15,20,30,45,60,75,105,115,150,200,225,250,600}))/(LOOKUP(M1333,{12.5,15,20,30,45,60,75,105,115,150,200,225,250,600,1000},{15,20,30,45,60,75,105,115,150,200,225,250,600,1000,1000})-LOOKUP(M1333,{12.5,15,20,30,45,60,75,105,115,150,200,225,250,600},{12.5,15,20,30,45,60,75,105,115,150,200,225,250,600}))*(LOOKUP(M1333,{12.5,15,20,30,45,60,75,105,115,150,200,225,250,600,1000},{55,60,62,65,68,70,72,75,80,82,85,87,90,95,95})-LOOKUP(M1333,{12.5,15,20,30,45,60,75,105,115,150,200,225,250,600,1000},{50,55,60,62,65,68,70,72,75,80,82,85,87,90,95})))))</f>
        <v>65</v>
      </c>
      <c r="P1333" s="2">
        <f t="shared" si="103"/>
        <v>-14</v>
      </c>
      <c r="Q1333" s="2">
        <f t="shared" si="104"/>
        <v>-6.34</v>
      </c>
    </row>
    <row r="1334" customHeight="1" spans="1:17">
      <c r="B1334" s="2">
        <v>1333</v>
      </c>
      <c r="C1334" s="3">
        <f t="shared" si="105"/>
        <v>45.3</v>
      </c>
      <c r="D1334" s="2" t="s">
        <v>1769</v>
      </c>
      <c r="E1334" s="2">
        <v>49</v>
      </c>
      <c r="F1334" s="12">
        <v>60</v>
      </c>
      <c r="G1334" s="12">
        <v>60</v>
      </c>
      <c r="H1334" s="2" t="s">
        <v>37</v>
      </c>
      <c r="I1334" s="2" t="s">
        <v>33</v>
      </c>
      <c r="J1334" s="4" t="s">
        <v>38</v>
      </c>
      <c r="M1334" s="2">
        <f t="shared" si="101"/>
        <v>45</v>
      </c>
      <c r="N1334" s="2">
        <f t="shared" si="102"/>
        <v>52.3</v>
      </c>
      <c r="O1334" s="2">
        <f>IF(M1334="","",IF(M1334&gt;=1000,95,IF(M1334&lt;=12.5,50,LOOKUP(M1334,{12.5,15,20,30,45,60,75,105,115,150,200,225,250,600,1000},{50,55,60,62,65,68,70,72,75,80,82,85,87,90,95})+(M1334-LOOKUP(M1334,{12.5,15,20,30,45,60,75,105,115,150,200,225,250,600},{12.5,15,20,30,45,60,75,105,115,150,200,225,250,600}))/(LOOKUP(M1334,{12.5,15,20,30,45,60,75,105,115,150,200,225,250,600,1000},{15,20,30,45,60,75,105,115,150,200,225,250,600,1000,1000})-LOOKUP(M1334,{12.5,15,20,30,45,60,75,105,115,150,200,225,250,600},{12.5,15,20,30,45,60,75,105,115,150,200,225,250,600}))*(LOOKUP(M1334,{12.5,15,20,30,45,60,75,105,115,150,200,225,250,600,1000},{55,60,62,65,68,70,72,75,80,82,85,87,90,95,95})-LOOKUP(M1334,{12.5,15,20,30,45,60,75,105,115,150,200,225,250,600,1000},{50,55,60,62,65,68,70,72,75,80,82,85,87,90,95})))))</f>
        <v>65</v>
      </c>
      <c r="P1334" s="2">
        <f t="shared" si="103"/>
        <v>-16</v>
      </c>
      <c r="Q1334" s="2">
        <f t="shared" si="104"/>
        <v>-7</v>
      </c>
    </row>
    <row r="1335" customHeight="1" spans="1:17">
      <c r="B1335" s="2">
        <v>1334</v>
      </c>
      <c r="C1335" s="3">
        <f t="shared" si="105"/>
        <v>45.3</v>
      </c>
      <c r="D1335" s="2" t="s">
        <v>1770</v>
      </c>
      <c r="E1335" s="2">
        <v>51</v>
      </c>
      <c r="F1335" s="12">
        <v>60</v>
      </c>
      <c r="G1335" s="2">
        <v>56</v>
      </c>
      <c r="H1335" s="2" t="s">
        <v>591</v>
      </c>
      <c r="I1335" s="2" t="s">
        <v>592</v>
      </c>
      <c r="J1335" s="4" t="s">
        <v>24</v>
      </c>
      <c r="M1335" s="2">
        <f t="shared" si="101"/>
        <v>75</v>
      </c>
      <c r="N1335" s="2">
        <f t="shared" si="102"/>
        <v>53.3</v>
      </c>
      <c r="O1335" s="2">
        <f>IF(M1335="","",IF(M1335&gt;=1000,95,IF(M1335&lt;=12.5,50,LOOKUP(M1335,{12.5,15,20,30,45,60,75,105,115,150,200,225,250,600,1000},{50,55,60,62,65,68,70,72,75,80,82,85,87,90,95})+(M1335-LOOKUP(M1335,{12.5,15,20,30,45,60,75,105,115,150,200,225,250,600},{12.5,15,20,30,45,60,75,105,115,150,200,225,250,600}))/(LOOKUP(M1335,{12.5,15,20,30,45,60,75,105,115,150,200,225,250,600,1000},{15,20,30,45,60,75,105,115,150,200,225,250,600,1000,1000})-LOOKUP(M1335,{12.5,15,20,30,45,60,75,105,115,150,200,225,250,600},{12.5,15,20,30,45,60,75,105,115,150,200,225,250,600}))*(LOOKUP(M1335,{12.5,15,20,30,45,60,75,105,115,150,200,225,250,600,1000},{55,60,62,65,68,70,72,75,80,82,85,87,90,95,95})-LOOKUP(M1335,{12.5,15,20,30,45,60,75,105,115,150,200,225,250,600,1000},{50,55,60,62,65,68,70,72,75,80,82,85,87,90,95})))))</f>
        <v>70</v>
      </c>
      <c r="P1335" s="2">
        <f t="shared" si="103"/>
        <v>-19</v>
      </c>
      <c r="Q1335" s="2">
        <f t="shared" si="104"/>
        <v>-8</v>
      </c>
    </row>
    <row r="1336" customHeight="1" spans="1:17">
      <c r="B1336" s="2">
        <v>1335</v>
      </c>
      <c r="C1336" s="3">
        <f t="shared" si="105"/>
        <v>45.26</v>
      </c>
      <c r="D1336" s="2" t="s">
        <v>1771</v>
      </c>
      <c r="E1336" s="2">
        <v>58</v>
      </c>
      <c r="F1336" s="2">
        <v>45</v>
      </c>
      <c r="G1336" s="2">
        <v>30</v>
      </c>
      <c r="H1336" s="2" t="s">
        <v>37</v>
      </c>
      <c r="I1336" s="2" t="s">
        <v>321</v>
      </c>
      <c r="J1336" s="4" t="s">
        <v>148</v>
      </c>
      <c r="M1336" s="2">
        <f t="shared" si="101"/>
        <v>115</v>
      </c>
      <c r="N1336" s="2">
        <f t="shared" si="102"/>
        <v>52.6</v>
      </c>
      <c r="O1336" s="2">
        <f>IF(M1336="","",IF(M1336&gt;=1000,95,IF(M1336&lt;=12.5,50,LOOKUP(M1336,{12.5,15,20,30,45,60,75,105,115,150,200,225,250,600,1000},{50,55,60,62,65,68,70,72,75,80,82,85,87,90,95})+(M1336-LOOKUP(M1336,{12.5,15,20,30,45,60,75,105,115,150,200,225,250,600},{12.5,15,20,30,45,60,75,105,115,150,200,225,250,600}))/(LOOKUP(M1336,{12.5,15,20,30,45,60,75,105,115,150,200,225,250,600,1000},{15,20,30,45,60,75,105,115,150,200,225,250,600,1000,1000})-LOOKUP(M1336,{12.5,15,20,30,45,60,75,105,115,150,200,225,250,600},{12.5,15,20,30,45,60,75,105,115,150,200,225,250,600}))*(LOOKUP(M1336,{12.5,15,20,30,45,60,75,105,115,150,200,225,250,600,1000},{55,60,62,65,68,70,72,75,80,82,85,87,90,95,95})-LOOKUP(M1336,{12.5,15,20,30,45,60,75,105,115,150,200,225,250,600,1000},{50,55,60,62,65,68,70,72,75,80,82,85,87,90,95})))))</f>
        <v>75</v>
      </c>
      <c r="P1336" s="2">
        <f t="shared" si="103"/>
        <v>-17</v>
      </c>
      <c r="Q1336" s="2">
        <f t="shared" si="104"/>
        <v>-7.34</v>
      </c>
    </row>
    <row r="1337" customHeight="1" spans="1:17">
      <c r="A1337" s="2">
        <v>2026</v>
      </c>
      <c r="B1337" s="2">
        <v>1336</v>
      </c>
      <c r="C1337" s="3">
        <f t="shared" si="105"/>
        <v>45.26</v>
      </c>
      <c r="D1337" s="2" t="s">
        <v>1772</v>
      </c>
      <c r="E1337" s="2">
        <v>48</v>
      </c>
      <c r="F1337" s="12">
        <v>66</v>
      </c>
      <c r="G1337" s="12">
        <v>68</v>
      </c>
      <c r="H1337" s="2" t="s">
        <v>108</v>
      </c>
      <c r="I1337" s="2" t="s">
        <v>128</v>
      </c>
      <c r="J1337" s="4" t="s">
        <v>34</v>
      </c>
      <c r="M1337" s="2">
        <f t="shared" si="101"/>
        <v>60</v>
      </c>
      <c r="N1337" s="2">
        <f t="shared" si="102"/>
        <v>53.6</v>
      </c>
      <c r="O1337" s="2">
        <f>IF(M1337="","",IF(M1337&gt;=1000,95,IF(M1337&lt;=12.5,50,LOOKUP(M1337,{12.5,15,20,30,45,60,75,105,115,150,200,225,250,600,1000},{50,55,60,62,65,68,70,72,75,80,82,85,87,90,95})+(M1337-LOOKUP(M1337,{12.5,15,20,30,45,60,75,105,115,150,200,225,250,600},{12.5,15,20,30,45,60,75,105,115,150,200,225,250,600}))/(LOOKUP(M1337,{12.5,15,20,30,45,60,75,105,115,150,200,225,250,600,1000},{15,20,30,45,60,75,105,115,150,200,225,250,600,1000,1000})-LOOKUP(M1337,{12.5,15,20,30,45,60,75,105,115,150,200,225,250,600},{12.5,15,20,30,45,60,75,105,115,150,200,225,250,600}))*(LOOKUP(M1337,{12.5,15,20,30,45,60,75,105,115,150,200,225,250,600,1000},{55,60,62,65,68,70,72,75,80,82,85,87,90,95,95})-LOOKUP(M1337,{12.5,15,20,30,45,60,75,105,115,150,200,225,250,600,1000},{50,55,60,62,65,68,70,72,75,80,82,85,87,90,95})))))</f>
        <v>68</v>
      </c>
      <c r="P1337" s="2">
        <f t="shared" si="103"/>
        <v>-20</v>
      </c>
      <c r="Q1337" s="2">
        <f t="shared" si="104"/>
        <v>-8.34</v>
      </c>
    </row>
    <row r="1338" customHeight="1" spans="1:17">
      <c r="B1338" s="2">
        <v>1337</v>
      </c>
      <c r="C1338" s="3">
        <f t="shared" si="105"/>
        <v>45.2</v>
      </c>
      <c r="D1338" s="2" t="s">
        <v>1773</v>
      </c>
      <c r="E1338" s="2">
        <v>55</v>
      </c>
      <c r="F1338" s="2">
        <v>58</v>
      </c>
      <c r="G1338" s="2">
        <v>51</v>
      </c>
      <c r="H1338" s="2" t="s">
        <v>515</v>
      </c>
      <c r="I1338" s="2" t="s">
        <v>128</v>
      </c>
      <c r="J1338" s="4" t="s">
        <v>59</v>
      </c>
      <c r="M1338" s="2">
        <f t="shared" si="101"/>
        <v>150</v>
      </c>
      <c r="N1338" s="2">
        <f t="shared" si="102"/>
        <v>55.2</v>
      </c>
      <c r="O1338" s="2">
        <f>IF(M1338="","",IF(M1338&gt;=1000,95,IF(M1338&lt;=12.5,50,LOOKUP(M1338,{12.5,15,20,30,45,60,75,105,115,150,200,225,250,600,1000},{50,55,60,62,65,68,70,72,75,80,82,85,87,90,95})+(M1338-LOOKUP(M1338,{12.5,15,20,30,45,60,75,105,115,150,200,225,250,600},{12.5,15,20,30,45,60,75,105,115,150,200,225,250,600}))/(LOOKUP(M1338,{12.5,15,20,30,45,60,75,105,115,150,200,225,250,600,1000},{15,20,30,45,60,75,105,115,150,200,225,250,600,1000,1000})-LOOKUP(M1338,{12.5,15,20,30,45,60,75,105,115,150,200,225,250,600},{12.5,15,20,30,45,60,75,105,115,150,200,225,250,600}))*(LOOKUP(M1338,{12.5,15,20,30,45,60,75,105,115,150,200,225,250,600,1000},{55,60,62,65,68,70,72,75,80,82,85,87,90,95,95})-LOOKUP(M1338,{12.5,15,20,30,45,60,75,105,115,150,200,225,250,600,1000},{50,55,60,62,65,68,70,72,75,80,82,85,87,90,95})))))</f>
        <v>80</v>
      </c>
      <c r="P1338" s="2">
        <f t="shared" si="103"/>
        <v>-25</v>
      </c>
      <c r="Q1338" s="2">
        <f t="shared" si="104"/>
        <v>-10</v>
      </c>
    </row>
    <row r="1339" customHeight="1" spans="1:17">
      <c r="B1339" s="2">
        <v>1338</v>
      </c>
      <c r="C1339" s="3">
        <f t="shared" si="105"/>
        <v>45.2</v>
      </c>
      <c r="D1339" s="2" t="s">
        <v>1774</v>
      </c>
      <c r="E1339" s="2">
        <v>52</v>
      </c>
      <c r="F1339" s="2">
        <v>45</v>
      </c>
      <c r="G1339" s="2">
        <v>38</v>
      </c>
      <c r="H1339" s="2" t="s">
        <v>41</v>
      </c>
      <c r="I1339" s="2" t="s">
        <v>63</v>
      </c>
      <c r="J1339" s="4" t="s">
        <v>140</v>
      </c>
      <c r="M1339" s="2">
        <f t="shared" si="101"/>
        <v>20</v>
      </c>
      <c r="N1339" s="2">
        <f t="shared" si="102"/>
        <v>49.2</v>
      </c>
      <c r="O1339" s="2">
        <f>IF(M1339="","",IF(M1339&gt;=1000,95,IF(M1339&lt;=12.5,50,LOOKUP(M1339,{12.5,15,20,30,45,60,75,105,115,150,200,225,250,600,1000},{50,55,60,62,65,68,70,72,75,80,82,85,87,90,95})+(M1339-LOOKUP(M1339,{12.5,15,20,30,45,60,75,105,115,150,200,225,250,600},{12.5,15,20,30,45,60,75,105,115,150,200,225,250,600}))/(LOOKUP(M1339,{12.5,15,20,30,45,60,75,105,115,150,200,225,250,600,1000},{15,20,30,45,60,75,105,115,150,200,225,250,600,1000,1000})-LOOKUP(M1339,{12.5,15,20,30,45,60,75,105,115,150,200,225,250,600},{12.5,15,20,30,45,60,75,105,115,150,200,225,250,600}))*(LOOKUP(M1339,{12.5,15,20,30,45,60,75,105,115,150,200,225,250,600,1000},{55,60,62,65,68,70,72,75,80,82,85,87,90,95,95})-LOOKUP(M1339,{12.5,15,20,30,45,60,75,105,115,150,200,225,250,600,1000},{50,55,60,62,65,68,70,72,75,80,82,85,87,90,95})))))</f>
        <v>60</v>
      </c>
      <c r="P1339" s="2">
        <f t="shared" si="103"/>
        <v>-8</v>
      </c>
      <c r="Q1339" s="2">
        <f t="shared" si="104"/>
        <v>-4</v>
      </c>
    </row>
    <row r="1340" customHeight="1" spans="1:17">
      <c r="B1340" s="2">
        <v>1339</v>
      </c>
      <c r="C1340" s="3">
        <f t="shared" si="105"/>
        <v>45.2</v>
      </c>
      <c r="D1340" s="2" t="s">
        <v>1775</v>
      </c>
      <c r="E1340" s="2">
        <v>59</v>
      </c>
      <c r="F1340" s="2">
        <v>21</v>
      </c>
      <c r="G1340" s="2">
        <v>42</v>
      </c>
      <c r="H1340" s="2" t="s">
        <v>244</v>
      </c>
      <c r="I1340" s="2" t="s">
        <v>1776</v>
      </c>
      <c r="J1340" s="4" t="s">
        <v>34</v>
      </c>
      <c r="M1340" s="2">
        <f t="shared" si="101"/>
        <v>60</v>
      </c>
      <c r="N1340" s="2">
        <f t="shared" si="102"/>
        <v>49.7</v>
      </c>
      <c r="O1340" s="2">
        <f>IF(M1340="","",IF(M1340&gt;=1000,95,IF(M1340&lt;=12.5,50,LOOKUP(M1340,{12.5,15,20,30,45,60,75,105,115,150,200,225,250,600,1000},{50,55,60,62,65,68,70,72,75,80,82,85,87,90,95})+(M1340-LOOKUP(M1340,{12.5,15,20,30,45,60,75,105,115,150,200,225,250,600},{12.5,15,20,30,45,60,75,105,115,150,200,225,250,600}))/(LOOKUP(M1340,{12.5,15,20,30,45,60,75,105,115,150,200,225,250,600,1000},{15,20,30,45,60,75,105,115,150,200,225,250,600,1000,1000})-LOOKUP(M1340,{12.5,15,20,30,45,60,75,105,115,150,200,225,250,600},{12.5,15,20,30,45,60,75,105,115,150,200,225,250,600}))*(LOOKUP(M1340,{12.5,15,20,30,45,60,75,105,115,150,200,225,250,600,1000},{55,60,62,65,68,70,72,75,80,82,85,87,90,95,95})-LOOKUP(M1340,{12.5,15,20,30,45,60,75,105,115,150,200,225,250,600,1000},{50,55,60,62,65,68,70,72,75,80,82,85,87,90,95})))))</f>
        <v>68</v>
      </c>
      <c r="P1340" s="2">
        <f t="shared" si="103"/>
        <v>-9</v>
      </c>
      <c r="Q1340" s="2">
        <f t="shared" si="104"/>
        <v>-4.5</v>
      </c>
    </row>
    <row r="1341" customHeight="1" spans="1:17">
      <c r="B1341" s="2">
        <v>1340</v>
      </c>
      <c r="C1341" s="3">
        <f t="shared" si="105"/>
        <v>45.16</v>
      </c>
      <c r="D1341" s="2" t="s">
        <v>1777</v>
      </c>
      <c r="E1341" s="2">
        <v>55</v>
      </c>
      <c r="F1341" s="2">
        <v>50</v>
      </c>
      <c r="G1341" s="2">
        <v>50</v>
      </c>
      <c r="H1341" s="2" t="s">
        <v>41</v>
      </c>
      <c r="I1341" s="2" t="s">
        <v>128</v>
      </c>
      <c r="J1341" s="4" t="s">
        <v>148</v>
      </c>
      <c r="M1341" s="2">
        <f t="shared" si="101"/>
        <v>115</v>
      </c>
      <c r="N1341" s="2">
        <f t="shared" si="102"/>
        <v>53.5</v>
      </c>
      <c r="O1341" s="2">
        <f>IF(M1341="","",IF(M1341&gt;=1000,95,IF(M1341&lt;=12.5,50,LOOKUP(M1341,{12.5,15,20,30,45,60,75,105,115,150,200,225,250,600,1000},{50,55,60,62,65,68,70,72,75,80,82,85,87,90,95})+(M1341-LOOKUP(M1341,{12.5,15,20,30,45,60,75,105,115,150,200,225,250,600},{12.5,15,20,30,45,60,75,105,115,150,200,225,250,600}))/(LOOKUP(M1341,{12.5,15,20,30,45,60,75,105,115,150,200,225,250,600,1000},{15,20,30,45,60,75,105,115,150,200,225,250,600,1000,1000})-LOOKUP(M1341,{12.5,15,20,30,45,60,75,105,115,150,200,225,250,600},{12.5,15,20,30,45,60,75,105,115,150,200,225,250,600}))*(LOOKUP(M1341,{12.5,15,20,30,45,60,75,105,115,150,200,225,250,600,1000},{55,60,62,65,68,70,72,75,80,82,85,87,90,95,95})-LOOKUP(M1341,{12.5,15,20,30,45,60,75,105,115,150,200,225,250,600,1000},{50,55,60,62,65,68,70,72,75,80,82,85,87,90,95})))))</f>
        <v>75</v>
      </c>
      <c r="P1341" s="2">
        <f t="shared" si="103"/>
        <v>-20</v>
      </c>
      <c r="Q1341" s="2">
        <f t="shared" si="104"/>
        <v>-8.34</v>
      </c>
    </row>
    <row r="1342" customHeight="1" spans="1:17">
      <c r="B1342" s="2">
        <v>1341</v>
      </c>
      <c r="C1342" s="3">
        <f t="shared" si="105"/>
        <v>45.07</v>
      </c>
      <c r="D1342" s="2" t="s">
        <v>1778</v>
      </c>
      <c r="E1342" s="2">
        <v>52</v>
      </c>
      <c r="F1342" s="12">
        <v>65</v>
      </c>
      <c r="G1342" s="2">
        <v>50</v>
      </c>
      <c r="H1342" s="2" t="s">
        <v>91</v>
      </c>
      <c r="I1342" s="2" t="s">
        <v>183</v>
      </c>
      <c r="J1342" s="4" t="s">
        <v>148</v>
      </c>
      <c r="M1342" s="2">
        <f t="shared" si="101"/>
        <v>115</v>
      </c>
      <c r="N1342" s="2">
        <f t="shared" si="102"/>
        <v>54.4</v>
      </c>
      <c r="O1342" s="2">
        <f>IF(M1342="","",IF(M1342&gt;=1000,95,IF(M1342&lt;=12.5,50,LOOKUP(M1342,{12.5,15,20,30,45,60,75,105,115,150,200,225,250,600,1000},{50,55,60,62,65,68,70,72,75,80,82,85,87,90,95})+(M1342-LOOKUP(M1342,{12.5,15,20,30,45,60,75,105,115,150,200,225,250,600},{12.5,15,20,30,45,60,75,105,115,150,200,225,250,600}))/(LOOKUP(M1342,{12.5,15,20,30,45,60,75,105,115,150,200,225,250,600,1000},{15,20,30,45,60,75,105,115,150,200,225,250,600,1000,1000})-LOOKUP(M1342,{12.5,15,20,30,45,60,75,105,115,150,200,225,250,600},{12.5,15,20,30,45,60,75,105,115,150,200,225,250,600}))*(LOOKUP(M1342,{12.5,15,20,30,45,60,75,105,115,150,200,225,250,600,1000},{55,60,62,65,68,70,72,75,80,82,85,87,90,95,95})-LOOKUP(M1342,{12.5,15,20,30,45,60,75,105,115,150,200,225,250,600,1000},{50,55,60,62,65,68,70,72,75,80,82,85,87,90,95})))))</f>
        <v>75</v>
      </c>
      <c r="P1342" s="2">
        <f t="shared" si="103"/>
        <v>-23</v>
      </c>
      <c r="Q1342" s="2">
        <f t="shared" si="104"/>
        <v>-9.33</v>
      </c>
    </row>
    <row r="1343" customHeight="1" spans="1:17">
      <c r="B1343" s="2">
        <v>1342</v>
      </c>
      <c r="C1343" s="3">
        <f t="shared" si="105"/>
        <v>45.06</v>
      </c>
      <c r="D1343" s="2" t="s">
        <v>1779</v>
      </c>
      <c r="E1343" s="2">
        <v>51</v>
      </c>
      <c r="F1343" s="2">
        <v>56</v>
      </c>
      <c r="G1343" s="2">
        <v>45</v>
      </c>
      <c r="H1343" s="2" t="s">
        <v>37</v>
      </c>
      <c r="I1343" s="2" t="s">
        <v>63</v>
      </c>
      <c r="J1343" s="4" t="s">
        <v>38</v>
      </c>
      <c r="M1343" s="2">
        <f t="shared" si="101"/>
        <v>45</v>
      </c>
      <c r="N1343" s="2">
        <f t="shared" si="102"/>
        <v>51.4</v>
      </c>
      <c r="O1343" s="2">
        <f>IF(M1343="","",IF(M1343&gt;=1000,95,IF(M1343&lt;=12.5,50,LOOKUP(M1343,{12.5,15,20,30,45,60,75,105,115,150,200,225,250,600,1000},{50,55,60,62,65,68,70,72,75,80,82,85,87,90,95})+(M1343-LOOKUP(M1343,{12.5,15,20,30,45,60,75,105,115,150,200,225,250,600},{12.5,15,20,30,45,60,75,105,115,150,200,225,250,600}))/(LOOKUP(M1343,{12.5,15,20,30,45,60,75,105,115,150,200,225,250,600,1000},{15,20,30,45,60,75,105,115,150,200,225,250,600,1000,1000})-LOOKUP(M1343,{12.5,15,20,30,45,60,75,105,115,150,200,225,250,600},{12.5,15,20,30,45,60,75,105,115,150,200,225,250,600}))*(LOOKUP(M1343,{12.5,15,20,30,45,60,75,105,115,150,200,225,250,600,1000},{55,60,62,65,68,70,72,75,80,82,85,87,90,95,95})-LOOKUP(M1343,{12.5,15,20,30,45,60,75,105,115,150,200,225,250,600,1000},{50,55,60,62,65,68,70,72,75,80,82,85,87,90,95})))))</f>
        <v>65</v>
      </c>
      <c r="P1343" s="2">
        <f t="shared" si="103"/>
        <v>-14</v>
      </c>
      <c r="Q1343" s="2">
        <f t="shared" si="104"/>
        <v>-6.34</v>
      </c>
    </row>
    <row r="1344" customHeight="1" spans="1:17">
      <c r="B1344" s="2">
        <v>1343</v>
      </c>
      <c r="C1344" s="3">
        <f t="shared" si="105"/>
        <v>45.03</v>
      </c>
      <c r="D1344" s="2" t="s">
        <v>1780</v>
      </c>
      <c r="E1344" s="2">
        <v>55</v>
      </c>
      <c r="F1344" s="2">
        <v>40</v>
      </c>
      <c r="G1344" s="2">
        <v>52</v>
      </c>
      <c r="H1344" s="2" t="s">
        <v>367</v>
      </c>
      <c r="I1344" s="2" t="s">
        <v>33</v>
      </c>
      <c r="J1344" s="4" t="s">
        <v>24</v>
      </c>
      <c r="M1344" s="2">
        <f t="shared" si="101"/>
        <v>75</v>
      </c>
      <c r="N1344" s="2">
        <f t="shared" si="102"/>
        <v>51.7</v>
      </c>
      <c r="O1344" s="2">
        <f>IF(M1344="","",IF(M1344&gt;=1000,95,IF(M1344&lt;=12.5,50,LOOKUP(M1344,{12.5,15,20,30,45,60,75,105,115,150,200,225,250,600,1000},{50,55,60,62,65,68,70,72,75,80,82,85,87,90,95})+(M1344-LOOKUP(M1344,{12.5,15,20,30,45,60,75,105,115,150,200,225,250,600},{12.5,15,20,30,45,60,75,105,115,150,200,225,250,600}))/(LOOKUP(M1344,{12.5,15,20,30,45,60,75,105,115,150,200,225,250,600,1000},{15,20,30,45,60,75,105,115,150,200,225,250,600,1000,1000})-LOOKUP(M1344,{12.5,15,20,30,45,60,75,105,115,150,200,225,250,600},{12.5,15,20,30,45,60,75,105,115,150,200,225,250,600}))*(LOOKUP(M1344,{12.5,15,20,30,45,60,75,105,115,150,200,225,250,600,1000},{55,60,62,65,68,70,72,75,80,82,85,87,90,95,95})-LOOKUP(M1344,{12.5,15,20,30,45,60,75,105,115,150,200,225,250,600,1000},{50,55,60,62,65,68,70,72,75,80,82,85,87,90,95})))))</f>
        <v>70</v>
      </c>
      <c r="P1344" s="2">
        <f t="shared" si="103"/>
        <v>-15</v>
      </c>
      <c r="Q1344" s="2">
        <f t="shared" si="104"/>
        <v>-6.67</v>
      </c>
    </row>
    <row r="1345" customHeight="1" spans="1:17">
      <c r="A1345" s="2">
        <v>2026</v>
      </c>
      <c r="B1345" s="2">
        <v>1344</v>
      </c>
      <c r="C1345" s="3">
        <f t="shared" si="105"/>
        <v>45</v>
      </c>
      <c r="D1345" s="2" t="s">
        <v>1781</v>
      </c>
      <c r="E1345" s="2">
        <v>50</v>
      </c>
      <c r="F1345" s="12">
        <v>60</v>
      </c>
      <c r="G1345" s="9">
        <v>70</v>
      </c>
      <c r="H1345" s="2" t="s">
        <v>961</v>
      </c>
      <c r="I1345" s="2" t="s">
        <v>58</v>
      </c>
      <c r="J1345" s="4" t="s">
        <v>105</v>
      </c>
      <c r="M1345" s="2">
        <f t="shared" si="101"/>
        <v>105</v>
      </c>
      <c r="N1345" s="2">
        <f t="shared" si="102"/>
        <v>54</v>
      </c>
      <c r="O1345" s="2">
        <f>IF(M1345="","",IF(M1345&gt;=1000,95,IF(M1345&lt;=12.5,50,LOOKUP(M1345,{12.5,15,20,30,45,60,75,105,115,150,200,225,250,600,1000},{50,55,60,62,65,68,70,72,75,80,82,85,87,90,95})+(M1345-LOOKUP(M1345,{12.5,15,20,30,45,60,75,105,115,150,200,225,250,600},{12.5,15,20,30,45,60,75,105,115,150,200,225,250,600}))/(LOOKUP(M1345,{12.5,15,20,30,45,60,75,105,115,150,200,225,250,600,1000},{15,20,30,45,60,75,105,115,150,200,225,250,600,1000,1000})-LOOKUP(M1345,{12.5,15,20,30,45,60,75,105,115,150,200,225,250,600},{12.5,15,20,30,45,60,75,105,115,150,200,225,250,600}))*(LOOKUP(M1345,{12.5,15,20,30,45,60,75,105,115,150,200,225,250,600,1000},{55,60,62,65,68,70,72,75,80,82,85,87,90,95,95})-LOOKUP(M1345,{12.5,15,20,30,45,60,75,105,115,150,200,225,250,600,1000},{50,55,60,62,65,68,70,72,75,80,82,85,87,90,95})))))</f>
        <v>72</v>
      </c>
      <c r="P1345" s="2">
        <f t="shared" si="103"/>
        <v>-22</v>
      </c>
      <c r="Q1345" s="2">
        <f t="shared" si="104"/>
        <v>-9</v>
      </c>
    </row>
    <row r="1346" customHeight="1" spans="1:17">
      <c r="B1346" s="2">
        <v>1345</v>
      </c>
      <c r="C1346" s="3">
        <f t="shared" si="105"/>
        <v>45</v>
      </c>
      <c r="D1346" s="2" t="s">
        <v>1782</v>
      </c>
      <c r="E1346" s="2">
        <v>50</v>
      </c>
      <c r="F1346" s="2">
        <v>55</v>
      </c>
      <c r="G1346" s="2">
        <v>40</v>
      </c>
      <c r="H1346" s="2" t="s">
        <v>37</v>
      </c>
      <c r="I1346" s="2" t="s">
        <v>28</v>
      </c>
      <c r="J1346" s="4" t="s">
        <v>140</v>
      </c>
      <c r="M1346" s="2">
        <f t="shared" ref="M1346:M1409" si="106">IF(J1346="1000+",1000,(LEFT(J1346,FIND("-",J1346)-1)+RIGHT(J1346,LEN(J1346)-FIND("-",J1346)))/2)</f>
        <v>20</v>
      </c>
      <c r="N1346" s="2">
        <f t="shared" ref="N1346:N1409" si="107">ROUND(E1346*0.7+F1346*0.2+G1346*0.1,2)</f>
        <v>50</v>
      </c>
      <c r="O1346" s="2">
        <f>IF(M1346="","",IF(M1346&gt;=1000,95,IF(M1346&lt;=12.5,50,LOOKUP(M1346,{12.5,15,20,30,45,60,75,105,115,150,200,225,250,600,1000},{50,55,60,62,65,68,70,72,75,80,82,85,87,90,95})+(M1346-LOOKUP(M1346,{12.5,15,20,30,45,60,75,105,115,150,200,225,250,600},{12.5,15,20,30,45,60,75,105,115,150,200,225,250,600}))/(LOOKUP(M1346,{12.5,15,20,30,45,60,75,105,115,150,200,225,250,600,1000},{15,20,30,45,60,75,105,115,150,200,225,250,600,1000,1000})-LOOKUP(M1346,{12.5,15,20,30,45,60,75,105,115,150,200,225,250,600},{12.5,15,20,30,45,60,75,105,115,150,200,225,250,600}))*(LOOKUP(M1346,{12.5,15,20,30,45,60,75,105,115,150,200,225,250,600,1000},{55,60,62,65,68,70,72,75,80,82,85,87,90,95,95})-LOOKUP(M1346,{12.5,15,20,30,45,60,75,105,115,150,200,225,250,600,1000},{50,55,60,62,65,68,70,72,75,80,82,85,87,90,95})))))</f>
        <v>60</v>
      </c>
      <c r="P1346" s="2">
        <f t="shared" si="103"/>
        <v>-10</v>
      </c>
      <c r="Q1346" s="2">
        <f t="shared" si="104"/>
        <v>-5</v>
      </c>
    </row>
    <row r="1347" customHeight="1" spans="1:17">
      <c r="B1347" s="2">
        <v>1346</v>
      </c>
      <c r="C1347" s="3">
        <f t="shared" si="105"/>
        <v>45</v>
      </c>
      <c r="D1347" s="2" t="s">
        <v>1783</v>
      </c>
      <c r="E1347" s="2">
        <v>47</v>
      </c>
      <c r="F1347" s="2">
        <v>50</v>
      </c>
      <c r="G1347" s="2">
        <v>36</v>
      </c>
      <c r="H1347" s="2" t="s">
        <v>91</v>
      </c>
      <c r="I1347" s="2" t="s">
        <v>503</v>
      </c>
      <c r="J1347" s="4" t="s">
        <v>77</v>
      </c>
      <c r="M1347" s="2">
        <f t="shared" si="106"/>
        <v>12.5</v>
      </c>
      <c r="N1347" s="2">
        <f t="shared" si="107"/>
        <v>46.5</v>
      </c>
      <c r="O1347" s="2">
        <f>IF(M1347="","",IF(M1347&gt;=1000,95,IF(M1347&lt;=12.5,50,LOOKUP(M1347,{12.5,15,20,30,45,60,75,105,115,150,200,225,250,600,1000},{50,55,60,62,65,68,70,72,75,80,82,85,87,90,95})+(M1347-LOOKUP(M1347,{12.5,15,20,30,45,60,75,105,115,150,200,225,250,600},{12.5,15,20,30,45,60,75,105,115,150,200,225,250,600}))/(LOOKUP(M1347,{12.5,15,20,30,45,60,75,105,115,150,200,225,250,600,1000},{15,20,30,45,60,75,105,115,150,200,225,250,600,1000,1000})-LOOKUP(M1347,{12.5,15,20,30,45,60,75,105,115,150,200,225,250,600},{12.5,15,20,30,45,60,75,105,115,150,200,225,250,600}))*(LOOKUP(M1347,{12.5,15,20,30,45,60,75,105,115,150,200,225,250,600,1000},{55,60,62,65,68,70,72,75,80,82,85,87,90,95,95})-LOOKUP(M1347,{12.5,15,20,30,45,60,75,105,115,150,200,225,250,600,1000},{50,55,60,62,65,68,70,72,75,80,82,85,87,90,95})))))</f>
        <v>50</v>
      </c>
      <c r="P1347" s="2">
        <f t="shared" si="103"/>
        <v>-3</v>
      </c>
      <c r="Q1347" s="2">
        <f t="shared" si="104"/>
        <v>-1.5</v>
      </c>
    </row>
    <row r="1348" customHeight="1" spans="1:17">
      <c r="B1348" s="2">
        <v>1347</v>
      </c>
      <c r="C1348" s="3">
        <f t="shared" si="105"/>
        <v>44.9</v>
      </c>
      <c r="D1348" s="2" t="s">
        <v>1784</v>
      </c>
      <c r="E1348" s="2">
        <v>56</v>
      </c>
      <c r="F1348" s="12">
        <v>62</v>
      </c>
      <c r="G1348" s="2">
        <v>53</v>
      </c>
      <c r="H1348" s="2" t="s">
        <v>1305</v>
      </c>
      <c r="I1348" s="2" t="s">
        <v>1195</v>
      </c>
      <c r="J1348" s="4" t="s">
        <v>123</v>
      </c>
      <c r="M1348" s="2">
        <f t="shared" si="106"/>
        <v>250</v>
      </c>
      <c r="N1348" s="2">
        <f t="shared" si="107"/>
        <v>56.9</v>
      </c>
      <c r="O1348" s="2">
        <f>IF(M1348="","",IF(M1348&gt;=1000,95,IF(M1348&lt;=12.5,50,LOOKUP(M1348,{12.5,15,20,30,45,60,75,105,115,150,200,225,250,600,1000},{50,55,60,62,65,68,70,72,75,80,82,85,87,90,95})+(M1348-LOOKUP(M1348,{12.5,15,20,30,45,60,75,105,115,150,200,225,250,600},{12.5,15,20,30,45,60,75,105,115,150,200,225,250,600}))/(LOOKUP(M1348,{12.5,15,20,30,45,60,75,105,115,150,200,225,250,600,1000},{15,20,30,45,60,75,105,115,150,200,225,250,600,1000,1000})-LOOKUP(M1348,{12.5,15,20,30,45,60,75,105,115,150,200,225,250,600},{12.5,15,20,30,45,60,75,105,115,150,200,225,250,600}))*(LOOKUP(M1348,{12.5,15,20,30,45,60,75,105,115,150,200,225,250,600,1000},{55,60,62,65,68,70,72,75,80,82,85,87,90,95,95})-LOOKUP(M1348,{12.5,15,20,30,45,60,75,105,115,150,200,225,250,600,1000},{50,55,60,62,65,68,70,72,75,80,82,85,87,90,95})))))</f>
        <v>87</v>
      </c>
      <c r="P1348" s="2">
        <f t="shared" si="103"/>
        <v>-31</v>
      </c>
      <c r="Q1348" s="2">
        <f t="shared" si="104"/>
        <v>-12</v>
      </c>
    </row>
    <row r="1349" customHeight="1" spans="1:17">
      <c r="A1349" s="2">
        <v>2026</v>
      </c>
      <c r="B1349" s="2">
        <v>1348</v>
      </c>
      <c r="C1349" s="3">
        <f t="shared" si="105"/>
        <v>44.87</v>
      </c>
      <c r="D1349" s="2" t="s">
        <v>1785</v>
      </c>
      <c r="E1349" s="2">
        <v>52</v>
      </c>
      <c r="F1349" s="12">
        <v>61</v>
      </c>
      <c r="G1349" s="2">
        <v>56</v>
      </c>
      <c r="H1349" s="2" t="s">
        <v>41</v>
      </c>
      <c r="I1349" s="2" t="s">
        <v>58</v>
      </c>
      <c r="J1349" s="4" t="s">
        <v>148</v>
      </c>
      <c r="M1349" s="2">
        <f t="shared" si="106"/>
        <v>115</v>
      </c>
      <c r="N1349" s="2">
        <f t="shared" si="107"/>
        <v>54.2</v>
      </c>
      <c r="O1349" s="2">
        <f>IF(M1349="","",IF(M1349&gt;=1000,95,IF(M1349&lt;=12.5,50,LOOKUP(M1349,{12.5,15,20,30,45,60,75,105,115,150,200,225,250,600,1000},{50,55,60,62,65,68,70,72,75,80,82,85,87,90,95})+(M1349-LOOKUP(M1349,{12.5,15,20,30,45,60,75,105,115,150,200,225,250,600},{12.5,15,20,30,45,60,75,105,115,150,200,225,250,600}))/(LOOKUP(M1349,{12.5,15,20,30,45,60,75,105,115,150,200,225,250,600,1000},{15,20,30,45,60,75,105,115,150,200,225,250,600,1000,1000})-LOOKUP(M1349,{12.5,15,20,30,45,60,75,105,115,150,200,225,250,600},{12.5,15,20,30,45,60,75,105,115,150,200,225,250,600}))*(LOOKUP(M1349,{12.5,15,20,30,45,60,75,105,115,150,200,225,250,600,1000},{55,60,62,65,68,70,72,75,80,82,85,87,90,95,95})-LOOKUP(M1349,{12.5,15,20,30,45,60,75,105,115,150,200,225,250,600,1000},{50,55,60,62,65,68,70,72,75,80,82,85,87,90,95})))))</f>
        <v>75</v>
      </c>
      <c r="P1349" s="2">
        <f t="shared" si="103"/>
        <v>-23</v>
      </c>
      <c r="Q1349" s="2">
        <f t="shared" si="104"/>
        <v>-9.33</v>
      </c>
    </row>
    <row r="1350" customHeight="1" spans="1:17">
      <c r="B1350" s="2">
        <v>1349</v>
      </c>
      <c r="C1350" s="3">
        <f t="shared" si="105"/>
        <v>44.87</v>
      </c>
      <c r="D1350" s="2" t="s">
        <v>1786</v>
      </c>
      <c r="E1350" s="2">
        <v>51</v>
      </c>
      <c r="F1350" s="2">
        <v>55</v>
      </c>
      <c r="G1350" s="2">
        <v>35</v>
      </c>
      <c r="H1350" s="2" t="s">
        <v>122</v>
      </c>
      <c r="I1350" s="2" t="s">
        <v>321</v>
      </c>
      <c r="J1350" s="4" t="s">
        <v>88</v>
      </c>
      <c r="M1350" s="2">
        <f t="shared" si="106"/>
        <v>30</v>
      </c>
      <c r="N1350" s="2">
        <f t="shared" si="107"/>
        <v>50.2</v>
      </c>
      <c r="O1350" s="2">
        <f>IF(M1350="","",IF(M1350&gt;=1000,95,IF(M1350&lt;=12.5,50,LOOKUP(M1350,{12.5,15,20,30,45,60,75,105,115,150,200,225,250,600,1000},{50,55,60,62,65,68,70,72,75,80,82,85,87,90,95})+(M1350-LOOKUP(M1350,{12.5,15,20,30,45,60,75,105,115,150,200,225,250,600},{12.5,15,20,30,45,60,75,105,115,150,200,225,250,600}))/(LOOKUP(M1350,{12.5,15,20,30,45,60,75,105,115,150,200,225,250,600,1000},{15,20,30,45,60,75,105,115,150,200,225,250,600,1000,1000})-LOOKUP(M1350,{12.5,15,20,30,45,60,75,105,115,150,200,225,250,600},{12.5,15,20,30,45,60,75,105,115,150,200,225,250,600}))*(LOOKUP(M1350,{12.5,15,20,30,45,60,75,105,115,150,200,225,250,600,1000},{55,60,62,65,68,70,72,75,80,82,85,87,90,95,95})-LOOKUP(M1350,{12.5,15,20,30,45,60,75,105,115,150,200,225,250,600,1000},{50,55,60,62,65,68,70,72,75,80,82,85,87,90,95})))))</f>
        <v>62</v>
      </c>
      <c r="P1350" s="2">
        <f t="shared" ref="P1350:P1413" si="108">E1350-O1350</f>
        <v>-11</v>
      </c>
      <c r="Q1350" s="2">
        <f t="shared" ref="Q1350:Q1413" si="109">ROUND(SIGN(P1350)*IF(ABS(P1350)&lt;=10,ABS(P1350)*0.5,IF(ABS(P1350)&lt;=15,5+(ABS(P1350)-10)*(1.67/5),6.67+(ABS(P1350)-15)*0.333)),2)</f>
        <v>-5.33</v>
      </c>
    </row>
    <row r="1351" customHeight="1" spans="1:17">
      <c r="A1351" s="2">
        <v>2026</v>
      </c>
      <c r="B1351" s="2">
        <v>1350</v>
      </c>
      <c r="C1351" s="3">
        <f t="shared" si="105"/>
        <v>44.86</v>
      </c>
      <c r="D1351" s="2" t="s">
        <v>1787</v>
      </c>
      <c r="E1351" s="2">
        <v>51</v>
      </c>
      <c r="F1351" s="2">
        <v>55</v>
      </c>
      <c r="G1351" s="2">
        <v>45</v>
      </c>
      <c r="H1351" s="2" t="s">
        <v>41</v>
      </c>
      <c r="I1351" s="2" t="s">
        <v>63</v>
      </c>
      <c r="J1351" s="4" t="s">
        <v>38</v>
      </c>
      <c r="M1351" s="2">
        <f t="shared" si="106"/>
        <v>45</v>
      </c>
      <c r="N1351" s="2">
        <f t="shared" si="107"/>
        <v>51.2</v>
      </c>
      <c r="O1351" s="2">
        <f>IF(M1351="","",IF(M1351&gt;=1000,95,IF(M1351&lt;=12.5,50,LOOKUP(M1351,{12.5,15,20,30,45,60,75,105,115,150,200,225,250,600,1000},{50,55,60,62,65,68,70,72,75,80,82,85,87,90,95})+(M1351-LOOKUP(M1351,{12.5,15,20,30,45,60,75,105,115,150,200,225,250,600},{12.5,15,20,30,45,60,75,105,115,150,200,225,250,600}))/(LOOKUP(M1351,{12.5,15,20,30,45,60,75,105,115,150,200,225,250,600,1000},{15,20,30,45,60,75,105,115,150,200,225,250,600,1000,1000})-LOOKUP(M1351,{12.5,15,20,30,45,60,75,105,115,150,200,225,250,600},{12.5,15,20,30,45,60,75,105,115,150,200,225,250,600}))*(LOOKUP(M1351,{12.5,15,20,30,45,60,75,105,115,150,200,225,250,600,1000},{55,60,62,65,68,70,72,75,80,82,85,87,90,95,95})-LOOKUP(M1351,{12.5,15,20,30,45,60,75,105,115,150,200,225,250,600,1000},{50,55,60,62,65,68,70,72,75,80,82,85,87,90,95})))))</f>
        <v>65</v>
      </c>
      <c r="P1351" s="2">
        <f t="shared" si="108"/>
        <v>-14</v>
      </c>
      <c r="Q1351" s="2">
        <f t="shared" si="109"/>
        <v>-6.34</v>
      </c>
    </row>
    <row r="1352" customHeight="1" spans="1:17">
      <c r="A1352" s="2">
        <v>2026</v>
      </c>
      <c r="B1352" s="2">
        <v>1351</v>
      </c>
      <c r="C1352" s="3">
        <f t="shared" si="105"/>
        <v>44.83</v>
      </c>
      <c r="D1352" s="2" t="s">
        <v>1788</v>
      </c>
      <c r="E1352" s="2">
        <v>50</v>
      </c>
      <c r="F1352" s="2">
        <v>55</v>
      </c>
      <c r="G1352" s="2">
        <v>45</v>
      </c>
      <c r="H1352" s="2" t="s">
        <v>54</v>
      </c>
      <c r="I1352" s="2" t="s">
        <v>63</v>
      </c>
      <c r="J1352" s="4" t="s">
        <v>88</v>
      </c>
      <c r="M1352" s="2">
        <f t="shared" si="106"/>
        <v>30</v>
      </c>
      <c r="N1352" s="2">
        <f t="shared" si="107"/>
        <v>50.5</v>
      </c>
      <c r="O1352" s="2">
        <f>IF(M1352="","",IF(M1352&gt;=1000,95,IF(M1352&lt;=12.5,50,LOOKUP(M1352,{12.5,15,20,30,45,60,75,105,115,150,200,225,250,600,1000},{50,55,60,62,65,68,70,72,75,80,82,85,87,90,95})+(M1352-LOOKUP(M1352,{12.5,15,20,30,45,60,75,105,115,150,200,225,250,600},{12.5,15,20,30,45,60,75,105,115,150,200,225,250,600}))/(LOOKUP(M1352,{12.5,15,20,30,45,60,75,105,115,150,200,225,250,600,1000},{15,20,30,45,60,75,105,115,150,200,225,250,600,1000,1000})-LOOKUP(M1352,{12.5,15,20,30,45,60,75,105,115,150,200,225,250,600},{12.5,15,20,30,45,60,75,105,115,150,200,225,250,600}))*(LOOKUP(M1352,{12.5,15,20,30,45,60,75,105,115,150,200,225,250,600,1000},{55,60,62,65,68,70,72,75,80,82,85,87,90,95,95})-LOOKUP(M1352,{12.5,15,20,30,45,60,75,105,115,150,200,225,250,600,1000},{50,55,60,62,65,68,70,72,75,80,82,85,87,90,95})))))</f>
        <v>62</v>
      </c>
      <c r="P1352" s="2">
        <f t="shared" si="108"/>
        <v>-12</v>
      </c>
      <c r="Q1352" s="2">
        <f t="shared" si="109"/>
        <v>-5.67</v>
      </c>
    </row>
    <row r="1353" customHeight="1" spans="1:17">
      <c r="A1353" s="2">
        <v>2026</v>
      </c>
      <c r="B1353" s="2">
        <v>1352</v>
      </c>
      <c r="C1353" s="3">
        <f t="shared" si="105"/>
        <v>44.8</v>
      </c>
      <c r="D1353" s="2" t="s">
        <v>1789</v>
      </c>
      <c r="E1353" s="2">
        <v>50</v>
      </c>
      <c r="F1353" s="12">
        <v>62</v>
      </c>
      <c r="G1353" s="12">
        <v>64</v>
      </c>
      <c r="H1353" s="2" t="s">
        <v>37</v>
      </c>
      <c r="I1353" s="2" t="s">
        <v>435</v>
      </c>
      <c r="J1353" s="4" t="s">
        <v>105</v>
      </c>
      <c r="M1353" s="2">
        <f t="shared" si="106"/>
        <v>105</v>
      </c>
      <c r="N1353" s="2">
        <f t="shared" si="107"/>
        <v>53.8</v>
      </c>
      <c r="O1353" s="2">
        <f>IF(M1353="","",IF(M1353&gt;=1000,95,IF(M1353&lt;=12.5,50,LOOKUP(M1353,{12.5,15,20,30,45,60,75,105,115,150,200,225,250,600,1000},{50,55,60,62,65,68,70,72,75,80,82,85,87,90,95})+(M1353-LOOKUP(M1353,{12.5,15,20,30,45,60,75,105,115,150,200,225,250,600},{12.5,15,20,30,45,60,75,105,115,150,200,225,250,600}))/(LOOKUP(M1353,{12.5,15,20,30,45,60,75,105,115,150,200,225,250,600,1000},{15,20,30,45,60,75,105,115,150,200,225,250,600,1000,1000})-LOOKUP(M1353,{12.5,15,20,30,45,60,75,105,115,150,200,225,250,600},{12.5,15,20,30,45,60,75,105,115,150,200,225,250,600}))*(LOOKUP(M1353,{12.5,15,20,30,45,60,75,105,115,150,200,225,250,600,1000},{55,60,62,65,68,70,72,75,80,82,85,87,90,95,95})-LOOKUP(M1353,{12.5,15,20,30,45,60,75,105,115,150,200,225,250,600,1000},{50,55,60,62,65,68,70,72,75,80,82,85,87,90,95})))))</f>
        <v>72</v>
      </c>
      <c r="P1353" s="2">
        <f t="shared" si="108"/>
        <v>-22</v>
      </c>
      <c r="Q1353" s="2">
        <f t="shared" si="109"/>
        <v>-9</v>
      </c>
    </row>
    <row r="1354" customHeight="1" spans="1:17">
      <c r="A1354" s="2">
        <v>2026</v>
      </c>
      <c r="B1354" s="2">
        <v>1353</v>
      </c>
      <c r="C1354" s="3">
        <f t="shared" si="105"/>
        <v>44.7</v>
      </c>
      <c r="D1354" s="2" t="s">
        <v>1790</v>
      </c>
      <c r="E1354" s="2">
        <v>49</v>
      </c>
      <c r="F1354" s="2">
        <v>59</v>
      </c>
      <c r="G1354" s="2">
        <v>46</v>
      </c>
      <c r="H1354" s="2" t="s">
        <v>54</v>
      </c>
      <c r="I1354" s="2" t="s">
        <v>28</v>
      </c>
      <c r="J1354" s="4" t="s">
        <v>88</v>
      </c>
      <c r="M1354" s="2">
        <f t="shared" si="106"/>
        <v>30</v>
      </c>
      <c r="N1354" s="2">
        <f t="shared" si="107"/>
        <v>50.7</v>
      </c>
      <c r="O1354" s="2">
        <f>IF(M1354="","",IF(M1354&gt;=1000,95,IF(M1354&lt;=12.5,50,LOOKUP(M1354,{12.5,15,20,30,45,60,75,105,115,150,200,225,250,600,1000},{50,55,60,62,65,68,70,72,75,80,82,85,87,90,95})+(M1354-LOOKUP(M1354,{12.5,15,20,30,45,60,75,105,115,150,200,225,250,600},{12.5,15,20,30,45,60,75,105,115,150,200,225,250,600}))/(LOOKUP(M1354,{12.5,15,20,30,45,60,75,105,115,150,200,225,250,600,1000},{15,20,30,45,60,75,105,115,150,200,225,250,600,1000,1000})-LOOKUP(M1354,{12.5,15,20,30,45,60,75,105,115,150,200,225,250,600},{12.5,15,20,30,45,60,75,105,115,150,200,225,250,600}))*(LOOKUP(M1354,{12.5,15,20,30,45,60,75,105,115,150,200,225,250,600,1000},{55,60,62,65,68,70,72,75,80,82,85,87,90,95,95})-LOOKUP(M1354,{12.5,15,20,30,45,60,75,105,115,150,200,225,250,600,1000},{50,55,60,62,65,68,70,72,75,80,82,85,87,90,95})))))</f>
        <v>62</v>
      </c>
      <c r="P1354" s="2">
        <f t="shared" si="108"/>
        <v>-13</v>
      </c>
      <c r="Q1354" s="2">
        <f t="shared" si="109"/>
        <v>-6</v>
      </c>
    </row>
    <row r="1355" customHeight="1" spans="1:17">
      <c r="B1355" s="2">
        <v>1354</v>
      </c>
      <c r="C1355" s="3">
        <f t="shared" si="105"/>
        <v>44.63</v>
      </c>
      <c r="D1355" s="2" t="s">
        <v>1791</v>
      </c>
      <c r="E1355" s="2">
        <v>50</v>
      </c>
      <c r="F1355" s="2">
        <v>54</v>
      </c>
      <c r="G1355" s="2">
        <v>45</v>
      </c>
      <c r="H1355" s="2" t="s">
        <v>41</v>
      </c>
      <c r="I1355" s="2" t="s">
        <v>63</v>
      </c>
      <c r="J1355" s="4" t="s">
        <v>88</v>
      </c>
      <c r="M1355" s="2">
        <f t="shared" si="106"/>
        <v>30</v>
      </c>
      <c r="N1355" s="2">
        <f t="shared" si="107"/>
        <v>50.3</v>
      </c>
      <c r="O1355" s="2">
        <f>IF(M1355="","",IF(M1355&gt;=1000,95,IF(M1355&lt;=12.5,50,LOOKUP(M1355,{12.5,15,20,30,45,60,75,105,115,150,200,225,250,600,1000},{50,55,60,62,65,68,70,72,75,80,82,85,87,90,95})+(M1355-LOOKUP(M1355,{12.5,15,20,30,45,60,75,105,115,150,200,225,250,600},{12.5,15,20,30,45,60,75,105,115,150,200,225,250,600}))/(LOOKUP(M1355,{12.5,15,20,30,45,60,75,105,115,150,200,225,250,600,1000},{15,20,30,45,60,75,105,115,150,200,225,250,600,1000,1000})-LOOKUP(M1355,{12.5,15,20,30,45,60,75,105,115,150,200,225,250,600},{12.5,15,20,30,45,60,75,105,115,150,200,225,250,600}))*(LOOKUP(M1355,{12.5,15,20,30,45,60,75,105,115,150,200,225,250,600,1000},{55,60,62,65,68,70,72,75,80,82,85,87,90,95,95})-LOOKUP(M1355,{12.5,15,20,30,45,60,75,105,115,150,200,225,250,600,1000},{50,55,60,62,65,68,70,72,75,80,82,85,87,90,95})))))</f>
        <v>62</v>
      </c>
      <c r="P1355" s="2">
        <f t="shared" si="108"/>
        <v>-12</v>
      </c>
      <c r="Q1355" s="2">
        <f t="shared" si="109"/>
        <v>-5.67</v>
      </c>
    </row>
    <row r="1356" customHeight="1" spans="1:17">
      <c r="B1356" s="2">
        <v>1355</v>
      </c>
      <c r="C1356" s="3">
        <f t="shared" si="105"/>
        <v>44.63</v>
      </c>
      <c r="D1356" s="2" t="s">
        <v>1792</v>
      </c>
      <c r="E1356" s="2">
        <v>52</v>
      </c>
      <c r="F1356" s="2">
        <v>50</v>
      </c>
      <c r="G1356" s="2">
        <v>59</v>
      </c>
      <c r="H1356" s="2" t="s">
        <v>17</v>
      </c>
      <c r="I1356" s="2" t="s">
        <v>229</v>
      </c>
      <c r="J1356" s="4" t="s">
        <v>24</v>
      </c>
      <c r="M1356" s="2">
        <f t="shared" si="106"/>
        <v>75</v>
      </c>
      <c r="N1356" s="2">
        <f t="shared" si="107"/>
        <v>52.3</v>
      </c>
      <c r="O1356" s="2">
        <f>IF(M1356="","",IF(M1356&gt;=1000,95,IF(M1356&lt;=12.5,50,LOOKUP(M1356,{12.5,15,20,30,45,60,75,105,115,150,200,225,250,600,1000},{50,55,60,62,65,68,70,72,75,80,82,85,87,90,95})+(M1356-LOOKUP(M1356,{12.5,15,20,30,45,60,75,105,115,150,200,225,250,600},{12.5,15,20,30,45,60,75,105,115,150,200,225,250,600}))/(LOOKUP(M1356,{12.5,15,20,30,45,60,75,105,115,150,200,225,250,600,1000},{15,20,30,45,60,75,105,115,150,200,225,250,600,1000,1000})-LOOKUP(M1356,{12.5,15,20,30,45,60,75,105,115,150,200,225,250,600},{12.5,15,20,30,45,60,75,105,115,150,200,225,250,600}))*(LOOKUP(M1356,{12.5,15,20,30,45,60,75,105,115,150,200,225,250,600,1000},{55,60,62,65,68,70,72,75,80,82,85,87,90,95,95})-LOOKUP(M1356,{12.5,15,20,30,45,60,75,105,115,150,200,225,250,600,1000},{50,55,60,62,65,68,70,72,75,80,82,85,87,90,95})))))</f>
        <v>70</v>
      </c>
      <c r="P1356" s="2">
        <f t="shared" si="108"/>
        <v>-18</v>
      </c>
      <c r="Q1356" s="2">
        <f t="shared" si="109"/>
        <v>-7.67</v>
      </c>
    </row>
    <row r="1357" customHeight="1" spans="1:17">
      <c r="A1357" s="2">
        <v>2026</v>
      </c>
      <c r="B1357" s="2">
        <v>1356</v>
      </c>
      <c r="C1357" s="3">
        <f t="shared" si="105"/>
        <v>44.6</v>
      </c>
      <c r="D1357" s="2" t="s">
        <v>1793</v>
      </c>
      <c r="E1357" s="2">
        <v>50</v>
      </c>
      <c r="F1357" s="2">
        <v>55</v>
      </c>
      <c r="G1357" s="2">
        <v>36</v>
      </c>
      <c r="H1357" s="2" t="s">
        <v>54</v>
      </c>
      <c r="I1357" s="2" t="s">
        <v>28</v>
      </c>
      <c r="J1357" s="4" t="s">
        <v>140</v>
      </c>
      <c r="M1357" s="2">
        <f t="shared" si="106"/>
        <v>20</v>
      </c>
      <c r="N1357" s="2">
        <f t="shared" si="107"/>
        <v>49.6</v>
      </c>
      <c r="O1357" s="2">
        <f>IF(M1357="","",IF(M1357&gt;=1000,95,IF(M1357&lt;=12.5,50,LOOKUP(M1357,{12.5,15,20,30,45,60,75,105,115,150,200,225,250,600,1000},{50,55,60,62,65,68,70,72,75,80,82,85,87,90,95})+(M1357-LOOKUP(M1357,{12.5,15,20,30,45,60,75,105,115,150,200,225,250,600},{12.5,15,20,30,45,60,75,105,115,150,200,225,250,600}))/(LOOKUP(M1357,{12.5,15,20,30,45,60,75,105,115,150,200,225,250,600,1000},{15,20,30,45,60,75,105,115,150,200,225,250,600,1000,1000})-LOOKUP(M1357,{12.5,15,20,30,45,60,75,105,115,150,200,225,250,600},{12.5,15,20,30,45,60,75,105,115,150,200,225,250,600}))*(LOOKUP(M1357,{12.5,15,20,30,45,60,75,105,115,150,200,225,250,600,1000},{55,60,62,65,68,70,72,75,80,82,85,87,90,95,95})-LOOKUP(M1357,{12.5,15,20,30,45,60,75,105,115,150,200,225,250,600,1000},{50,55,60,62,65,68,70,72,75,80,82,85,87,90,95})))))</f>
        <v>60</v>
      </c>
      <c r="P1357" s="2">
        <f t="shared" si="108"/>
        <v>-10</v>
      </c>
      <c r="Q1357" s="2">
        <f t="shared" si="109"/>
        <v>-5</v>
      </c>
    </row>
    <row r="1358" customHeight="1" spans="1:17">
      <c r="B1358" s="2">
        <v>1357</v>
      </c>
      <c r="C1358" s="3">
        <f t="shared" si="105"/>
        <v>44.47</v>
      </c>
      <c r="D1358" s="2" t="s">
        <v>1794</v>
      </c>
      <c r="E1358" s="2">
        <v>54</v>
      </c>
      <c r="F1358" s="2">
        <v>52</v>
      </c>
      <c r="G1358" s="12">
        <v>66</v>
      </c>
      <c r="H1358" s="2" t="s">
        <v>421</v>
      </c>
      <c r="I1358" s="2" t="s">
        <v>577</v>
      </c>
      <c r="J1358" s="4" t="s">
        <v>59</v>
      </c>
      <c r="M1358" s="2">
        <f t="shared" si="106"/>
        <v>150</v>
      </c>
      <c r="N1358" s="2">
        <f t="shared" si="107"/>
        <v>54.8</v>
      </c>
      <c r="O1358" s="2">
        <f>IF(M1358="","",IF(M1358&gt;=1000,95,IF(M1358&lt;=12.5,50,LOOKUP(M1358,{12.5,15,20,30,45,60,75,105,115,150,200,225,250,600,1000},{50,55,60,62,65,68,70,72,75,80,82,85,87,90,95})+(M1358-LOOKUP(M1358,{12.5,15,20,30,45,60,75,105,115,150,200,225,250,600},{12.5,15,20,30,45,60,75,105,115,150,200,225,250,600}))/(LOOKUP(M1358,{12.5,15,20,30,45,60,75,105,115,150,200,225,250,600,1000},{15,20,30,45,60,75,105,115,150,200,225,250,600,1000,1000})-LOOKUP(M1358,{12.5,15,20,30,45,60,75,105,115,150,200,225,250,600},{12.5,15,20,30,45,60,75,105,115,150,200,225,250,600}))*(LOOKUP(M1358,{12.5,15,20,30,45,60,75,105,115,150,200,225,250,600,1000},{55,60,62,65,68,70,72,75,80,82,85,87,90,95,95})-LOOKUP(M1358,{12.5,15,20,30,45,60,75,105,115,150,200,225,250,600,1000},{50,55,60,62,65,68,70,72,75,80,82,85,87,90,95})))))</f>
        <v>80</v>
      </c>
      <c r="P1358" s="2">
        <f t="shared" si="108"/>
        <v>-26</v>
      </c>
      <c r="Q1358" s="2">
        <f t="shared" si="109"/>
        <v>-10.33</v>
      </c>
    </row>
    <row r="1359" customHeight="1" spans="1:17">
      <c r="B1359" s="2">
        <v>1358</v>
      </c>
      <c r="C1359" s="3">
        <f t="shared" si="105"/>
        <v>44.46</v>
      </c>
      <c r="D1359" s="2" t="s">
        <v>1795</v>
      </c>
      <c r="E1359" s="2">
        <v>50</v>
      </c>
      <c r="F1359" s="12">
        <v>60</v>
      </c>
      <c r="G1359" s="2">
        <v>58</v>
      </c>
      <c r="H1359" s="2" t="s">
        <v>37</v>
      </c>
      <c r="I1359" s="2" t="s">
        <v>435</v>
      </c>
      <c r="J1359" s="4" t="s">
        <v>24</v>
      </c>
      <c r="M1359" s="2">
        <f t="shared" si="106"/>
        <v>75</v>
      </c>
      <c r="N1359" s="2">
        <f t="shared" si="107"/>
        <v>52.8</v>
      </c>
      <c r="O1359" s="2">
        <f>IF(M1359="","",IF(M1359&gt;=1000,95,IF(M1359&lt;=12.5,50,LOOKUP(M1359,{12.5,15,20,30,45,60,75,105,115,150,200,225,250,600,1000},{50,55,60,62,65,68,70,72,75,80,82,85,87,90,95})+(M1359-LOOKUP(M1359,{12.5,15,20,30,45,60,75,105,115,150,200,225,250,600},{12.5,15,20,30,45,60,75,105,115,150,200,225,250,600}))/(LOOKUP(M1359,{12.5,15,20,30,45,60,75,105,115,150,200,225,250,600,1000},{15,20,30,45,60,75,105,115,150,200,225,250,600,1000,1000})-LOOKUP(M1359,{12.5,15,20,30,45,60,75,105,115,150,200,225,250,600},{12.5,15,20,30,45,60,75,105,115,150,200,225,250,600}))*(LOOKUP(M1359,{12.5,15,20,30,45,60,75,105,115,150,200,225,250,600,1000},{55,60,62,65,68,70,72,75,80,82,85,87,90,95,95})-LOOKUP(M1359,{12.5,15,20,30,45,60,75,105,115,150,200,225,250,600,1000},{50,55,60,62,65,68,70,72,75,80,82,85,87,90,95})))))</f>
        <v>70</v>
      </c>
      <c r="P1359" s="2">
        <f t="shared" si="108"/>
        <v>-20</v>
      </c>
      <c r="Q1359" s="2">
        <f t="shared" si="109"/>
        <v>-8.34</v>
      </c>
    </row>
    <row r="1360" customHeight="1" spans="1:17">
      <c r="B1360" s="2">
        <v>1359</v>
      </c>
      <c r="C1360" s="3">
        <f t="shared" si="105"/>
        <v>44.4</v>
      </c>
      <c r="D1360" s="2" t="s">
        <v>1796</v>
      </c>
      <c r="E1360" s="2">
        <v>50</v>
      </c>
      <c r="F1360" s="2">
        <v>53</v>
      </c>
      <c r="G1360" s="2">
        <v>38</v>
      </c>
      <c r="H1360" s="2" t="s">
        <v>41</v>
      </c>
      <c r="I1360" s="2" t="s">
        <v>33</v>
      </c>
      <c r="J1360" s="4" t="s">
        <v>140</v>
      </c>
      <c r="M1360" s="2">
        <f t="shared" si="106"/>
        <v>20</v>
      </c>
      <c r="N1360" s="2">
        <f t="shared" si="107"/>
        <v>49.4</v>
      </c>
      <c r="O1360" s="2">
        <f>IF(M1360="","",IF(M1360&gt;=1000,95,IF(M1360&lt;=12.5,50,LOOKUP(M1360,{12.5,15,20,30,45,60,75,105,115,150,200,225,250,600,1000},{50,55,60,62,65,68,70,72,75,80,82,85,87,90,95})+(M1360-LOOKUP(M1360,{12.5,15,20,30,45,60,75,105,115,150,200,225,250,600},{12.5,15,20,30,45,60,75,105,115,150,200,225,250,600}))/(LOOKUP(M1360,{12.5,15,20,30,45,60,75,105,115,150,200,225,250,600,1000},{15,20,30,45,60,75,105,115,150,200,225,250,600,1000,1000})-LOOKUP(M1360,{12.5,15,20,30,45,60,75,105,115,150,200,225,250,600},{12.5,15,20,30,45,60,75,105,115,150,200,225,250,600}))*(LOOKUP(M1360,{12.5,15,20,30,45,60,75,105,115,150,200,225,250,600,1000},{55,60,62,65,68,70,72,75,80,82,85,87,90,95,95})-LOOKUP(M1360,{12.5,15,20,30,45,60,75,105,115,150,200,225,250,600,1000},{50,55,60,62,65,68,70,72,75,80,82,85,87,90,95})))))</f>
        <v>60</v>
      </c>
      <c r="P1360" s="2">
        <f t="shared" si="108"/>
        <v>-10</v>
      </c>
      <c r="Q1360" s="2">
        <f t="shared" si="109"/>
        <v>-5</v>
      </c>
    </row>
    <row r="1361" customHeight="1" spans="1:17">
      <c r="B1361" s="2">
        <v>1360</v>
      </c>
      <c r="C1361" s="3">
        <f t="shared" si="105"/>
        <v>44.33</v>
      </c>
      <c r="D1361" s="2" t="s">
        <v>1797</v>
      </c>
      <c r="E1361" s="2">
        <v>50</v>
      </c>
      <c r="F1361" s="2">
        <v>55</v>
      </c>
      <c r="G1361" s="12">
        <v>60</v>
      </c>
      <c r="H1361" s="2" t="s">
        <v>32</v>
      </c>
      <c r="I1361" s="2" t="s">
        <v>63</v>
      </c>
      <c r="J1361" s="4" t="s">
        <v>34</v>
      </c>
      <c r="M1361" s="2">
        <f t="shared" si="106"/>
        <v>60</v>
      </c>
      <c r="N1361" s="2">
        <f t="shared" si="107"/>
        <v>52</v>
      </c>
      <c r="O1361" s="2">
        <f>IF(M1361="","",IF(M1361&gt;=1000,95,IF(M1361&lt;=12.5,50,LOOKUP(M1361,{12.5,15,20,30,45,60,75,105,115,150,200,225,250,600,1000},{50,55,60,62,65,68,70,72,75,80,82,85,87,90,95})+(M1361-LOOKUP(M1361,{12.5,15,20,30,45,60,75,105,115,150,200,225,250,600},{12.5,15,20,30,45,60,75,105,115,150,200,225,250,600}))/(LOOKUP(M1361,{12.5,15,20,30,45,60,75,105,115,150,200,225,250,600,1000},{15,20,30,45,60,75,105,115,150,200,225,250,600,1000,1000})-LOOKUP(M1361,{12.5,15,20,30,45,60,75,105,115,150,200,225,250,600},{12.5,15,20,30,45,60,75,105,115,150,200,225,250,600}))*(LOOKUP(M1361,{12.5,15,20,30,45,60,75,105,115,150,200,225,250,600,1000},{55,60,62,65,68,70,72,75,80,82,85,87,90,95,95})-LOOKUP(M1361,{12.5,15,20,30,45,60,75,105,115,150,200,225,250,600,1000},{50,55,60,62,65,68,70,72,75,80,82,85,87,90,95})))))</f>
        <v>68</v>
      </c>
      <c r="P1361" s="2">
        <f t="shared" si="108"/>
        <v>-18</v>
      </c>
      <c r="Q1361" s="2">
        <f t="shared" si="109"/>
        <v>-7.67</v>
      </c>
    </row>
    <row r="1362" customHeight="1" spans="1:17">
      <c r="B1362" s="2">
        <v>1361</v>
      </c>
      <c r="C1362" s="3">
        <f t="shared" si="105"/>
        <v>44.33</v>
      </c>
      <c r="D1362" s="2" t="s">
        <v>1798</v>
      </c>
      <c r="E1362" s="2">
        <v>50</v>
      </c>
      <c r="F1362" s="2">
        <v>55</v>
      </c>
      <c r="G1362" s="2">
        <v>40</v>
      </c>
      <c r="H1362" s="2" t="s">
        <v>37</v>
      </c>
      <c r="I1362" s="2" t="s">
        <v>28</v>
      </c>
      <c r="J1362" s="4" t="s">
        <v>88</v>
      </c>
      <c r="M1362" s="2">
        <f t="shared" si="106"/>
        <v>30</v>
      </c>
      <c r="N1362" s="2">
        <f t="shared" si="107"/>
        <v>50</v>
      </c>
      <c r="O1362" s="2">
        <f>IF(M1362="","",IF(M1362&gt;=1000,95,IF(M1362&lt;=12.5,50,LOOKUP(M1362,{12.5,15,20,30,45,60,75,105,115,150,200,225,250,600,1000},{50,55,60,62,65,68,70,72,75,80,82,85,87,90,95})+(M1362-LOOKUP(M1362,{12.5,15,20,30,45,60,75,105,115,150,200,225,250,600},{12.5,15,20,30,45,60,75,105,115,150,200,225,250,600}))/(LOOKUP(M1362,{12.5,15,20,30,45,60,75,105,115,150,200,225,250,600,1000},{15,20,30,45,60,75,105,115,150,200,225,250,600,1000,1000})-LOOKUP(M1362,{12.5,15,20,30,45,60,75,105,115,150,200,225,250,600},{12.5,15,20,30,45,60,75,105,115,150,200,225,250,600}))*(LOOKUP(M1362,{12.5,15,20,30,45,60,75,105,115,150,200,225,250,600,1000},{55,60,62,65,68,70,72,75,80,82,85,87,90,95,95})-LOOKUP(M1362,{12.5,15,20,30,45,60,75,105,115,150,200,225,250,600,1000},{50,55,60,62,65,68,70,72,75,80,82,85,87,90,95})))))</f>
        <v>62</v>
      </c>
      <c r="P1362" s="2">
        <f t="shared" si="108"/>
        <v>-12</v>
      </c>
      <c r="Q1362" s="2">
        <f t="shared" si="109"/>
        <v>-5.67</v>
      </c>
    </row>
    <row r="1363" customHeight="1" spans="1:17">
      <c r="B1363" s="2">
        <v>1362</v>
      </c>
      <c r="C1363" s="3">
        <f t="shared" si="105"/>
        <v>44.26</v>
      </c>
      <c r="D1363" s="2" t="s">
        <v>1799</v>
      </c>
      <c r="E1363" s="2">
        <v>48</v>
      </c>
      <c r="F1363" s="12">
        <v>65</v>
      </c>
      <c r="G1363" s="12">
        <v>60</v>
      </c>
      <c r="H1363" s="2" t="s">
        <v>113</v>
      </c>
      <c r="I1363" s="2" t="s">
        <v>33</v>
      </c>
      <c r="J1363" s="4" t="s">
        <v>34</v>
      </c>
      <c r="M1363" s="2">
        <f t="shared" si="106"/>
        <v>60</v>
      </c>
      <c r="N1363" s="2">
        <f t="shared" si="107"/>
        <v>52.6</v>
      </c>
      <c r="O1363" s="2">
        <f>IF(M1363="","",IF(M1363&gt;=1000,95,IF(M1363&lt;=12.5,50,LOOKUP(M1363,{12.5,15,20,30,45,60,75,105,115,150,200,225,250,600,1000},{50,55,60,62,65,68,70,72,75,80,82,85,87,90,95})+(M1363-LOOKUP(M1363,{12.5,15,20,30,45,60,75,105,115,150,200,225,250,600},{12.5,15,20,30,45,60,75,105,115,150,200,225,250,600}))/(LOOKUP(M1363,{12.5,15,20,30,45,60,75,105,115,150,200,225,250,600,1000},{15,20,30,45,60,75,105,115,150,200,225,250,600,1000,1000})-LOOKUP(M1363,{12.5,15,20,30,45,60,75,105,115,150,200,225,250,600},{12.5,15,20,30,45,60,75,105,115,150,200,225,250,600}))*(LOOKUP(M1363,{12.5,15,20,30,45,60,75,105,115,150,200,225,250,600,1000},{55,60,62,65,68,70,72,75,80,82,85,87,90,95,95})-LOOKUP(M1363,{12.5,15,20,30,45,60,75,105,115,150,200,225,250,600,1000},{50,55,60,62,65,68,70,72,75,80,82,85,87,90,95})))))</f>
        <v>68</v>
      </c>
      <c r="P1363" s="2">
        <f t="shared" si="108"/>
        <v>-20</v>
      </c>
      <c r="Q1363" s="2">
        <f t="shared" si="109"/>
        <v>-8.34</v>
      </c>
    </row>
    <row r="1364" customHeight="1" spans="1:17">
      <c r="A1364" s="2">
        <v>2026</v>
      </c>
      <c r="B1364" s="2">
        <v>1363</v>
      </c>
      <c r="C1364" s="3">
        <f t="shared" ref="C1364:C1427" si="110">ROUND(MAX(MIN(N1364+Q1364,100),0),2)</f>
        <v>44.2</v>
      </c>
      <c r="D1364" s="2" t="s">
        <v>1800</v>
      </c>
      <c r="E1364" s="2">
        <v>56</v>
      </c>
      <c r="F1364" s="2">
        <v>30</v>
      </c>
      <c r="G1364" s="2">
        <v>10</v>
      </c>
      <c r="H1364" s="2" t="s">
        <v>643</v>
      </c>
      <c r="I1364" s="2" t="s">
        <v>33</v>
      </c>
      <c r="J1364" s="4" t="s">
        <v>140</v>
      </c>
      <c r="M1364" s="2">
        <f t="shared" si="106"/>
        <v>20</v>
      </c>
      <c r="N1364" s="2">
        <f t="shared" si="107"/>
        <v>46.2</v>
      </c>
      <c r="O1364" s="2">
        <f>IF(M1364="","",IF(M1364&gt;=1000,95,IF(M1364&lt;=12.5,50,LOOKUP(M1364,{12.5,15,20,30,45,60,75,105,115,150,200,225,250,600,1000},{50,55,60,62,65,68,70,72,75,80,82,85,87,90,95})+(M1364-LOOKUP(M1364,{12.5,15,20,30,45,60,75,105,115,150,200,225,250,600},{12.5,15,20,30,45,60,75,105,115,150,200,225,250,600}))/(LOOKUP(M1364,{12.5,15,20,30,45,60,75,105,115,150,200,225,250,600,1000},{15,20,30,45,60,75,105,115,150,200,225,250,600,1000,1000})-LOOKUP(M1364,{12.5,15,20,30,45,60,75,105,115,150,200,225,250,600},{12.5,15,20,30,45,60,75,105,115,150,200,225,250,600}))*(LOOKUP(M1364,{12.5,15,20,30,45,60,75,105,115,150,200,225,250,600,1000},{55,60,62,65,68,70,72,75,80,82,85,87,90,95,95})-LOOKUP(M1364,{12.5,15,20,30,45,60,75,105,115,150,200,225,250,600,1000},{50,55,60,62,65,68,70,72,75,80,82,85,87,90,95})))))</f>
        <v>60</v>
      </c>
      <c r="P1364" s="2">
        <f t="shared" si="108"/>
        <v>-4</v>
      </c>
      <c r="Q1364" s="2">
        <f t="shared" si="109"/>
        <v>-2</v>
      </c>
    </row>
    <row r="1365" customHeight="1" spans="1:17">
      <c r="B1365" s="2">
        <v>1364</v>
      </c>
      <c r="C1365" s="3">
        <f t="shared" si="110"/>
        <v>44.17</v>
      </c>
      <c r="D1365" s="2" t="s">
        <v>1801</v>
      </c>
      <c r="E1365" s="2">
        <v>57</v>
      </c>
      <c r="F1365" s="2">
        <v>48</v>
      </c>
      <c r="G1365" s="2">
        <v>40</v>
      </c>
      <c r="H1365" s="2" t="s">
        <v>113</v>
      </c>
      <c r="I1365" s="2" t="s">
        <v>33</v>
      </c>
      <c r="J1365" s="4" t="s">
        <v>59</v>
      </c>
      <c r="M1365" s="2">
        <f t="shared" si="106"/>
        <v>150</v>
      </c>
      <c r="N1365" s="2">
        <f t="shared" si="107"/>
        <v>53.5</v>
      </c>
      <c r="O1365" s="2">
        <f>IF(M1365="","",IF(M1365&gt;=1000,95,IF(M1365&lt;=12.5,50,LOOKUP(M1365,{12.5,15,20,30,45,60,75,105,115,150,200,225,250,600,1000},{50,55,60,62,65,68,70,72,75,80,82,85,87,90,95})+(M1365-LOOKUP(M1365,{12.5,15,20,30,45,60,75,105,115,150,200,225,250,600},{12.5,15,20,30,45,60,75,105,115,150,200,225,250,600}))/(LOOKUP(M1365,{12.5,15,20,30,45,60,75,105,115,150,200,225,250,600,1000},{15,20,30,45,60,75,105,115,150,200,225,250,600,1000,1000})-LOOKUP(M1365,{12.5,15,20,30,45,60,75,105,115,150,200,225,250,600},{12.5,15,20,30,45,60,75,105,115,150,200,225,250,600}))*(LOOKUP(M1365,{12.5,15,20,30,45,60,75,105,115,150,200,225,250,600,1000},{55,60,62,65,68,70,72,75,80,82,85,87,90,95,95})-LOOKUP(M1365,{12.5,15,20,30,45,60,75,105,115,150,200,225,250,600,1000},{50,55,60,62,65,68,70,72,75,80,82,85,87,90,95})))))</f>
        <v>80</v>
      </c>
      <c r="P1365" s="2">
        <f t="shared" si="108"/>
        <v>-23</v>
      </c>
      <c r="Q1365" s="2">
        <f t="shared" si="109"/>
        <v>-9.33</v>
      </c>
    </row>
    <row r="1366" customHeight="1" spans="1:17">
      <c r="A1366" s="2">
        <v>2026</v>
      </c>
      <c r="B1366" s="2">
        <v>1365</v>
      </c>
      <c r="C1366" s="3">
        <f t="shared" si="110"/>
        <v>44.13</v>
      </c>
      <c r="D1366" s="2" t="s">
        <v>1802</v>
      </c>
      <c r="E1366" s="2">
        <v>50</v>
      </c>
      <c r="F1366" s="2">
        <v>48</v>
      </c>
      <c r="G1366" s="2">
        <v>52</v>
      </c>
      <c r="H1366" s="2" t="s">
        <v>41</v>
      </c>
      <c r="I1366" s="2" t="s">
        <v>63</v>
      </c>
      <c r="J1366" s="4" t="s">
        <v>88</v>
      </c>
      <c r="M1366" s="2">
        <f t="shared" si="106"/>
        <v>30</v>
      </c>
      <c r="N1366" s="2">
        <f t="shared" si="107"/>
        <v>49.8</v>
      </c>
      <c r="O1366" s="2">
        <f>IF(M1366="","",IF(M1366&gt;=1000,95,IF(M1366&lt;=12.5,50,LOOKUP(M1366,{12.5,15,20,30,45,60,75,105,115,150,200,225,250,600,1000},{50,55,60,62,65,68,70,72,75,80,82,85,87,90,95})+(M1366-LOOKUP(M1366,{12.5,15,20,30,45,60,75,105,115,150,200,225,250,600},{12.5,15,20,30,45,60,75,105,115,150,200,225,250,600}))/(LOOKUP(M1366,{12.5,15,20,30,45,60,75,105,115,150,200,225,250,600,1000},{15,20,30,45,60,75,105,115,150,200,225,250,600,1000,1000})-LOOKUP(M1366,{12.5,15,20,30,45,60,75,105,115,150,200,225,250,600},{12.5,15,20,30,45,60,75,105,115,150,200,225,250,600}))*(LOOKUP(M1366,{12.5,15,20,30,45,60,75,105,115,150,200,225,250,600,1000},{55,60,62,65,68,70,72,75,80,82,85,87,90,95,95})-LOOKUP(M1366,{12.5,15,20,30,45,60,75,105,115,150,200,225,250,600,1000},{50,55,60,62,65,68,70,72,75,80,82,85,87,90,95})))))</f>
        <v>62</v>
      </c>
      <c r="P1366" s="2">
        <f t="shared" si="108"/>
        <v>-12</v>
      </c>
      <c r="Q1366" s="2">
        <f t="shared" si="109"/>
        <v>-5.67</v>
      </c>
    </row>
    <row r="1367" customHeight="1" spans="1:17">
      <c r="B1367" s="2">
        <v>1366</v>
      </c>
      <c r="C1367" s="3">
        <f t="shared" si="110"/>
        <v>44.07</v>
      </c>
      <c r="D1367" s="2" t="s">
        <v>1803</v>
      </c>
      <c r="E1367" s="2">
        <v>52</v>
      </c>
      <c r="F1367" s="2">
        <v>57</v>
      </c>
      <c r="G1367" s="2">
        <v>56</v>
      </c>
      <c r="H1367" s="2" t="s">
        <v>46</v>
      </c>
      <c r="I1367" s="2" t="s">
        <v>128</v>
      </c>
      <c r="J1367" s="4" t="s">
        <v>148</v>
      </c>
      <c r="M1367" s="2">
        <f t="shared" si="106"/>
        <v>115</v>
      </c>
      <c r="N1367" s="2">
        <f t="shared" si="107"/>
        <v>53.4</v>
      </c>
      <c r="O1367" s="2">
        <f>IF(M1367="","",IF(M1367&gt;=1000,95,IF(M1367&lt;=12.5,50,LOOKUP(M1367,{12.5,15,20,30,45,60,75,105,115,150,200,225,250,600,1000},{50,55,60,62,65,68,70,72,75,80,82,85,87,90,95})+(M1367-LOOKUP(M1367,{12.5,15,20,30,45,60,75,105,115,150,200,225,250,600},{12.5,15,20,30,45,60,75,105,115,150,200,225,250,600}))/(LOOKUP(M1367,{12.5,15,20,30,45,60,75,105,115,150,200,225,250,600,1000},{15,20,30,45,60,75,105,115,150,200,225,250,600,1000,1000})-LOOKUP(M1367,{12.5,15,20,30,45,60,75,105,115,150,200,225,250,600},{12.5,15,20,30,45,60,75,105,115,150,200,225,250,600}))*(LOOKUP(M1367,{12.5,15,20,30,45,60,75,105,115,150,200,225,250,600,1000},{55,60,62,65,68,70,72,75,80,82,85,87,90,95,95})-LOOKUP(M1367,{12.5,15,20,30,45,60,75,105,115,150,200,225,250,600,1000},{50,55,60,62,65,68,70,72,75,80,82,85,87,90,95})))))</f>
        <v>75</v>
      </c>
      <c r="P1367" s="2">
        <f t="shared" si="108"/>
        <v>-23</v>
      </c>
      <c r="Q1367" s="2">
        <f t="shared" si="109"/>
        <v>-9.33</v>
      </c>
    </row>
    <row r="1368" customHeight="1" spans="1:17">
      <c r="B1368" s="2">
        <v>1367</v>
      </c>
      <c r="C1368" s="3">
        <f t="shared" si="110"/>
        <v>44.06</v>
      </c>
      <c r="D1368" s="2" t="s">
        <v>1804</v>
      </c>
      <c r="E1368" s="2">
        <v>51</v>
      </c>
      <c r="F1368" s="2">
        <v>52</v>
      </c>
      <c r="G1368" s="2">
        <v>53</v>
      </c>
      <c r="H1368" s="2" t="s">
        <v>997</v>
      </c>
      <c r="I1368" s="2" t="s">
        <v>63</v>
      </c>
      <c r="J1368" s="4" t="s">
        <v>34</v>
      </c>
      <c r="M1368" s="2">
        <f t="shared" si="106"/>
        <v>60</v>
      </c>
      <c r="N1368" s="2">
        <f t="shared" si="107"/>
        <v>51.4</v>
      </c>
      <c r="O1368" s="2">
        <f>IF(M1368="","",IF(M1368&gt;=1000,95,IF(M1368&lt;=12.5,50,LOOKUP(M1368,{12.5,15,20,30,45,60,75,105,115,150,200,225,250,600,1000},{50,55,60,62,65,68,70,72,75,80,82,85,87,90,95})+(M1368-LOOKUP(M1368,{12.5,15,20,30,45,60,75,105,115,150,200,225,250,600},{12.5,15,20,30,45,60,75,105,115,150,200,225,250,600}))/(LOOKUP(M1368,{12.5,15,20,30,45,60,75,105,115,150,200,225,250,600,1000},{15,20,30,45,60,75,105,115,150,200,225,250,600,1000,1000})-LOOKUP(M1368,{12.5,15,20,30,45,60,75,105,115,150,200,225,250,600},{12.5,15,20,30,45,60,75,105,115,150,200,225,250,600}))*(LOOKUP(M1368,{12.5,15,20,30,45,60,75,105,115,150,200,225,250,600,1000},{55,60,62,65,68,70,72,75,80,82,85,87,90,95,95})-LOOKUP(M1368,{12.5,15,20,30,45,60,75,105,115,150,200,225,250,600,1000},{50,55,60,62,65,68,70,72,75,80,82,85,87,90,95})))))</f>
        <v>68</v>
      </c>
      <c r="P1368" s="2">
        <f t="shared" si="108"/>
        <v>-17</v>
      </c>
      <c r="Q1368" s="2">
        <f t="shared" si="109"/>
        <v>-7.34</v>
      </c>
    </row>
    <row r="1369" customHeight="1" spans="1:17">
      <c r="B1369" s="2">
        <v>1368</v>
      </c>
      <c r="C1369" s="3">
        <f t="shared" si="110"/>
        <v>44.03</v>
      </c>
      <c r="D1369" s="2" t="s">
        <v>1805</v>
      </c>
      <c r="E1369" s="2">
        <v>47</v>
      </c>
      <c r="F1369" s="12">
        <v>64</v>
      </c>
      <c r="G1369" s="12">
        <v>60</v>
      </c>
      <c r="H1369" s="2" t="s">
        <v>367</v>
      </c>
      <c r="I1369" s="2" t="s">
        <v>33</v>
      </c>
      <c r="J1369" s="4" t="s">
        <v>38</v>
      </c>
      <c r="M1369" s="2">
        <f t="shared" si="106"/>
        <v>45</v>
      </c>
      <c r="N1369" s="2">
        <f t="shared" si="107"/>
        <v>51.7</v>
      </c>
      <c r="O1369" s="2">
        <f>IF(M1369="","",IF(M1369&gt;=1000,95,IF(M1369&lt;=12.5,50,LOOKUP(M1369,{12.5,15,20,30,45,60,75,105,115,150,200,225,250,600,1000},{50,55,60,62,65,68,70,72,75,80,82,85,87,90,95})+(M1369-LOOKUP(M1369,{12.5,15,20,30,45,60,75,105,115,150,200,225,250,600},{12.5,15,20,30,45,60,75,105,115,150,200,225,250,600}))/(LOOKUP(M1369,{12.5,15,20,30,45,60,75,105,115,150,200,225,250,600,1000},{15,20,30,45,60,75,105,115,150,200,225,250,600,1000,1000})-LOOKUP(M1369,{12.5,15,20,30,45,60,75,105,115,150,200,225,250,600},{12.5,15,20,30,45,60,75,105,115,150,200,225,250,600}))*(LOOKUP(M1369,{12.5,15,20,30,45,60,75,105,115,150,200,225,250,600,1000},{55,60,62,65,68,70,72,75,80,82,85,87,90,95,95})-LOOKUP(M1369,{12.5,15,20,30,45,60,75,105,115,150,200,225,250,600,1000},{50,55,60,62,65,68,70,72,75,80,82,85,87,90,95})))))</f>
        <v>65</v>
      </c>
      <c r="P1369" s="2">
        <f t="shared" si="108"/>
        <v>-18</v>
      </c>
      <c r="Q1369" s="2">
        <f t="shared" si="109"/>
        <v>-7.67</v>
      </c>
    </row>
    <row r="1370" customHeight="1" spans="1:17">
      <c r="B1370" s="2">
        <v>1369</v>
      </c>
      <c r="C1370" s="3">
        <f t="shared" si="110"/>
        <v>43.94</v>
      </c>
      <c r="D1370" s="2" t="s">
        <v>1806</v>
      </c>
      <c r="E1370" s="2">
        <v>47</v>
      </c>
      <c r="F1370" s="10">
        <v>80</v>
      </c>
      <c r="G1370" s="9">
        <v>77</v>
      </c>
      <c r="H1370" s="2" t="s">
        <v>175</v>
      </c>
      <c r="I1370" s="2" t="s">
        <v>612</v>
      </c>
      <c r="J1370" s="4" t="s">
        <v>59</v>
      </c>
      <c r="M1370" s="2">
        <f t="shared" si="106"/>
        <v>150</v>
      </c>
      <c r="N1370" s="2">
        <f t="shared" si="107"/>
        <v>56.6</v>
      </c>
      <c r="O1370" s="2">
        <f>IF(M1370="","",IF(M1370&gt;=1000,95,IF(M1370&lt;=12.5,50,LOOKUP(M1370,{12.5,15,20,30,45,60,75,105,115,150,200,225,250,600,1000},{50,55,60,62,65,68,70,72,75,80,82,85,87,90,95})+(M1370-LOOKUP(M1370,{12.5,15,20,30,45,60,75,105,115,150,200,225,250,600},{12.5,15,20,30,45,60,75,105,115,150,200,225,250,600}))/(LOOKUP(M1370,{12.5,15,20,30,45,60,75,105,115,150,200,225,250,600,1000},{15,20,30,45,60,75,105,115,150,200,225,250,600,1000,1000})-LOOKUP(M1370,{12.5,15,20,30,45,60,75,105,115,150,200,225,250,600},{12.5,15,20,30,45,60,75,105,115,150,200,225,250,600}))*(LOOKUP(M1370,{12.5,15,20,30,45,60,75,105,115,150,200,225,250,600,1000},{55,60,62,65,68,70,72,75,80,82,85,87,90,95,95})-LOOKUP(M1370,{12.5,15,20,30,45,60,75,105,115,150,200,225,250,600,1000},{50,55,60,62,65,68,70,72,75,80,82,85,87,90,95})))))</f>
        <v>80</v>
      </c>
      <c r="P1370" s="2">
        <f t="shared" si="108"/>
        <v>-33</v>
      </c>
      <c r="Q1370" s="2">
        <f t="shared" si="109"/>
        <v>-12.66</v>
      </c>
    </row>
    <row r="1371" customHeight="1" spans="1:17">
      <c r="B1371" s="2">
        <v>1370</v>
      </c>
      <c r="C1371" s="3">
        <f t="shared" si="110"/>
        <v>43.93</v>
      </c>
      <c r="D1371" s="2" t="s">
        <v>1807</v>
      </c>
      <c r="E1371" s="2">
        <v>55</v>
      </c>
      <c r="F1371" s="2">
        <v>57</v>
      </c>
      <c r="G1371" s="2">
        <v>57</v>
      </c>
      <c r="H1371" s="2" t="s">
        <v>41</v>
      </c>
      <c r="I1371" s="2" t="s">
        <v>449</v>
      </c>
      <c r="J1371" s="4" t="s">
        <v>19</v>
      </c>
      <c r="M1371" s="2">
        <f t="shared" si="106"/>
        <v>225</v>
      </c>
      <c r="N1371" s="2">
        <f t="shared" si="107"/>
        <v>55.6</v>
      </c>
      <c r="O1371" s="2">
        <f>IF(M1371="","",IF(M1371&gt;=1000,95,IF(M1371&lt;=12.5,50,LOOKUP(M1371,{12.5,15,20,30,45,60,75,105,115,150,200,225,250,600,1000},{50,55,60,62,65,68,70,72,75,80,82,85,87,90,95})+(M1371-LOOKUP(M1371,{12.5,15,20,30,45,60,75,105,115,150,200,225,250,600},{12.5,15,20,30,45,60,75,105,115,150,200,225,250,600}))/(LOOKUP(M1371,{12.5,15,20,30,45,60,75,105,115,150,200,225,250,600,1000},{15,20,30,45,60,75,105,115,150,200,225,250,600,1000,1000})-LOOKUP(M1371,{12.5,15,20,30,45,60,75,105,115,150,200,225,250,600},{12.5,15,20,30,45,60,75,105,115,150,200,225,250,600}))*(LOOKUP(M1371,{12.5,15,20,30,45,60,75,105,115,150,200,225,250,600,1000},{55,60,62,65,68,70,72,75,80,82,85,87,90,95,95})-LOOKUP(M1371,{12.5,15,20,30,45,60,75,105,115,150,200,225,250,600,1000},{50,55,60,62,65,68,70,72,75,80,82,85,87,90,95})))))</f>
        <v>85</v>
      </c>
      <c r="P1371" s="2">
        <f t="shared" si="108"/>
        <v>-30</v>
      </c>
      <c r="Q1371" s="2">
        <f t="shared" si="109"/>
        <v>-11.67</v>
      </c>
    </row>
    <row r="1372" customHeight="1" spans="1:17">
      <c r="B1372" s="2">
        <v>1371</v>
      </c>
      <c r="C1372" s="3">
        <f t="shared" si="110"/>
        <v>43.9</v>
      </c>
      <c r="D1372" s="2" t="s">
        <v>1808</v>
      </c>
      <c r="E1372" s="2">
        <v>50</v>
      </c>
      <c r="F1372" s="12">
        <v>60</v>
      </c>
      <c r="G1372" s="2">
        <v>59</v>
      </c>
      <c r="H1372" s="2" t="s">
        <v>1809</v>
      </c>
      <c r="I1372" s="2" t="s">
        <v>33</v>
      </c>
      <c r="J1372" s="4" t="s">
        <v>105</v>
      </c>
      <c r="M1372" s="2">
        <f t="shared" si="106"/>
        <v>105</v>
      </c>
      <c r="N1372" s="2">
        <f t="shared" si="107"/>
        <v>52.9</v>
      </c>
      <c r="O1372" s="2">
        <f>IF(M1372="","",IF(M1372&gt;=1000,95,IF(M1372&lt;=12.5,50,LOOKUP(M1372,{12.5,15,20,30,45,60,75,105,115,150,200,225,250,600,1000},{50,55,60,62,65,68,70,72,75,80,82,85,87,90,95})+(M1372-LOOKUP(M1372,{12.5,15,20,30,45,60,75,105,115,150,200,225,250,600},{12.5,15,20,30,45,60,75,105,115,150,200,225,250,600}))/(LOOKUP(M1372,{12.5,15,20,30,45,60,75,105,115,150,200,225,250,600,1000},{15,20,30,45,60,75,105,115,150,200,225,250,600,1000,1000})-LOOKUP(M1372,{12.5,15,20,30,45,60,75,105,115,150,200,225,250,600},{12.5,15,20,30,45,60,75,105,115,150,200,225,250,600}))*(LOOKUP(M1372,{12.5,15,20,30,45,60,75,105,115,150,200,225,250,600,1000},{55,60,62,65,68,70,72,75,80,82,85,87,90,95,95})-LOOKUP(M1372,{12.5,15,20,30,45,60,75,105,115,150,200,225,250,600,1000},{50,55,60,62,65,68,70,72,75,80,82,85,87,90,95})))))</f>
        <v>72</v>
      </c>
      <c r="P1372" s="2">
        <f t="shared" si="108"/>
        <v>-22</v>
      </c>
      <c r="Q1372" s="2">
        <f t="shared" si="109"/>
        <v>-9</v>
      </c>
    </row>
    <row r="1373" customHeight="1" spans="1:17">
      <c r="B1373" s="2">
        <v>1372</v>
      </c>
      <c r="C1373" s="3">
        <f t="shared" si="110"/>
        <v>43.9</v>
      </c>
      <c r="D1373" s="2" t="s">
        <v>1810</v>
      </c>
      <c r="E1373" s="2">
        <v>54</v>
      </c>
      <c r="F1373" s="2">
        <v>54</v>
      </c>
      <c r="G1373" s="12">
        <v>63</v>
      </c>
      <c r="H1373" s="2" t="s">
        <v>421</v>
      </c>
      <c r="I1373" s="2" t="s">
        <v>33</v>
      </c>
      <c r="J1373" s="4" t="s">
        <v>51</v>
      </c>
      <c r="M1373" s="2">
        <f t="shared" si="106"/>
        <v>200</v>
      </c>
      <c r="N1373" s="2">
        <f t="shared" si="107"/>
        <v>54.9</v>
      </c>
      <c r="O1373" s="2">
        <f>IF(M1373="","",IF(M1373&gt;=1000,95,IF(M1373&lt;=12.5,50,LOOKUP(M1373,{12.5,15,20,30,45,60,75,105,115,150,200,225,250,600,1000},{50,55,60,62,65,68,70,72,75,80,82,85,87,90,95})+(M1373-LOOKUP(M1373,{12.5,15,20,30,45,60,75,105,115,150,200,225,250,600},{12.5,15,20,30,45,60,75,105,115,150,200,225,250,600}))/(LOOKUP(M1373,{12.5,15,20,30,45,60,75,105,115,150,200,225,250,600,1000},{15,20,30,45,60,75,105,115,150,200,225,250,600,1000,1000})-LOOKUP(M1373,{12.5,15,20,30,45,60,75,105,115,150,200,225,250,600},{12.5,15,20,30,45,60,75,105,115,150,200,225,250,600}))*(LOOKUP(M1373,{12.5,15,20,30,45,60,75,105,115,150,200,225,250,600,1000},{55,60,62,65,68,70,72,75,80,82,85,87,90,95,95})-LOOKUP(M1373,{12.5,15,20,30,45,60,75,105,115,150,200,225,250,600,1000},{50,55,60,62,65,68,70,72,75,80,82,85,87,90,95})))))</f>
        <v>82</v>
      </c>
      <c r="P1373" s="2">
        <f t="shared" si="108"/>
        <v>-28</v>
      </c>
      <c r="Q1373" s="2">
        <f t="shared" si="109"/>
        <v>-11</v>
      </c>
    </row>
    <row r="1374" customHeight="1" spans="1:17">
      <c r="B1374" s="2">
        <v>1373</v>
      </c>
      <c r="C1374" s="3">
        <f t="shared" si="110"/>
        <v>43.83</v>
      </c>
      <c r="D1374" s="2" t="s">
        <v>1811</v>
      </c>
      <c r="E1374" s="2">
        <v>50</v>
      </c>
      <c r="F1374" s="2">
        <v>55</v>
      </c>
      <c r="G1374" s="2">
        <v>55</v>
      </c>
      <c r="H1374" s="2" t="s">
        <v>41</v>
      </c>
      <c r="I1374" s="2" t="s">
        <v>128</v>
      </c>
      <c r="J1374" s="4" t="s">
        <v>34</v>
      </c>
      <c r="M1374" s="2">
        <f t="shared" si="106"/>
        <v>60</v>
      </c>
      <c r="N1374" s="2">
        <f t="shared" si="107"/>
        <v>51.5</v>
      </c>
      <c r="O1374" s="2">
        <f>IF(M1374="","",IF(M1374&gt;=1000,95,IF(M1374&lt;=12.5,50,LOOKUP(M1374,{12.5,15,20,30,45,60,75,105,115,150,200,225,250,600,1000},{50,55,60,62,65,68,70,72,75,80,82,85,87,90,95})+(M1374-LOOKUP(M1374,{12.5,15,20,30,45,60,75,105,115,150,200,225,250,600},{12.5,15,20,30,45,60,75,105,115,150,200,225,250,600}))/(LOOKUP(M1374,{12.5,15,20,30,45,60,75,105,115,150,200,225,250,600,1000},{15,20,30,45,60,75,105,115,150,200,225,250,600,1000,1000})-LOOKUP(M1374,{12.5,15,20,30,45,60,75,105,115,150,200,225,250,600},{12.5,15,20,30,45,60,75,105,115,150,200,225,250,600}))*(LOOKUP(M1374,{12.5,15,20,30,45,60,75,105,115,150,200,225,250,600,1000},{55,60,62,65,68,70,72,75,80,82,85,87,90,95,95})-LOOKUP(M1374,{12.5,15,20,30,45,60,75,105,115,150,200,225,250,600,1000},{50,55,60,62,65,68,70,72,75,80,82,85,87,90,95})))))</f>
        <v>68</v>
      </c>
      <c r="P1374" s="2">
        <f t="shared" si="108"/>
        <v>-18</v>
      </c>
      <c r="Q1374" s="2">
        <f t="shared" si="109"/>
        <v>-7.67</v>
      </c>
    </row>
    <row r="1375" customHeight="1" spans="1:17">
      <c r="B1375" s="2">
        <v>1374</v>
      </c>
      <c r="C1375" s="3">
        <f t="shared" si="110"/>
        <v>43.8</v>
      </c>
      <c r="D1375" s="2" t="s">
        <v>1812</v>
      </c>
      <c r="E1375" s="2">
        <v>51</v>
      </c>
      <c r="F1375" s="2">
        <v>54</v>
      </c>
      <c r="G1375" s="2">
        <v>53</v>
      </c>
      <c r="H1375" s="2" t="s">
        <v>244</v>
      </c>
      <c r="I1375" s="2" t="s">
        <v>128</v>
      </c>
      <c r="J1375" s="4" t="s">
        <v>24</v>
      </c>
      <c r="M1375" s="2">
        <f t="shared" si="106"/>
        <v>75</v>
      </c>
      <c r="N1375" s="2">
        <f t="shared" si="107"/>
        <v>51.8</v>
      </c>
      <c r="O1375" s="2">
        <f>IF(M1375="","",IF(M1375&gt;=1000,95,IF(M1375&lt;=12.5,50,LOOKUP(M1375,{12.5,15,20,30,45,60,75,105,115,150,200,225,250,600,1000},{50,55,60,62,65,68,70,72,75,80,82,85,87,90,95})+(M1375-LOOKUP(M1375,{12.5,15,20,30,45,60,75,105,115,150,200,225,250,600},{12.5,15,20,30,45,60,75,105,115,150,200,225,250,600}))/(LOOKUP(M1375,{12.5,15,20,30,45,60,75,105,115,150,200,225,250,600,1000},{15,20,30,45,60,75,105,115,150,200,225,250,600,1000,1000})-LOOKUP(M1375,{12.5,15,20,30,45,60,75,105,115,150,200,225,250,600},{12.5,15,20,30,45,60,75,105,115,150,200,225,250,600}))*(LOOKUP(M1375,{12.5,15,20,30,45,60,75,105,115,150,200,225,250,600,1000},{55,60,62,65,68,70,72,75,80,82,85,87,90,95,95})-LOOKUP(M1375,{12.5,15,20,30,45,60,75,105,115,150,200,225,250,600,1000},{50,55,60,62,65,68,70,72,75,80,82,85,87,90,95})))))</f>
        <v>70</v>
      </c>
      <c r="P1375" s="2">
        <f t="shared" si="108"/>
        <v>-19</v>
      </c>
      <c r="Q1375" s="2">
        <f t="shared" si="109"/>
        <v>-8</v>
      </c>
    </row>
    <row r="1376" customHeight="1" spans="1:17">
      <c r="A1376" s="2">
        <v>2026</v>
      </c>
      <c r="B1376" s="2">
        <v>1375</v>
      </c>
      <c r="C1376" s="3">
        <f t="shared" si="110"/>
        <v>43.76</v>
      </c>
      <c r="D1376" s="2" t="s">
        <v>1813</v>
      </c>
      <c r="E1376" s="2">
        <v>51</v>
      </c>
      <c r="F1376" s="2">
        <v>45</v>
      </c>
      <c r="G1376" s="2">
        <v>54</v>
      </c>
      <c r="H1376" s="2" t="s">
        <v>94</v>
      </c>
      <c r="I1376" s="2" t="s">
        <v>63</v>
      </c>
      <c r="J1376" s="4" t="s">
        <v>38</v>
      </c>
      <c r="M1376" s="2">
        <f t="shared" si="106"/>
        <v>45</v>
      </c>
      <c r="N1376" s="2">
        <f t="shared" si="107"/>
        <v>50.1</v>
      </c>
      <c r="O1376" s="2">
        <f>IF(M1376="","",IF(M1376&gt;=1000,95,IF(M1376&lt;=12.5,50,LOOKUP(M1376,{12.5,15,20,30,45,60,75,105,115,150,200,225,250,600,1000},{50,55,60,62,65,68,70,72,75,80,82,85,87,90,95})+(M1376-LOOKUP(M1376,{12.5,15,20,30,45,60,75,105,115,150,200,225,250,600},{12.5,15,20,30,45,60,75,105,115,150,200,225,250,600}))/(LOOKUP(M1376,{12.5,15,20,30,45,60,75,105,115,150,200,225,250,600,1000},{15,20,30,45,60,75,105,115,150,200,225,250,600,1000,1000})-LOOKUP(M1376,{12.5,15,20,30,45,60,75,105,115,150,200,225,250,600},{12.5,15,20,30,45,60,75,105,115,150,200,225,250,600}))*(LOOKUP(M1376,{12.5,15,20,30,45,60,75,105,115,150,200,225,250,600,1000},{55,60,62,65,68,70,72,75,80,82,85,87,90,95,95})-LOOKUP(M1376,{12.5,15,20,30,45,60,75,105,115,150,200,225,250,600,1000},{50,55,60,62,65,68,70,72,75,80,82,85,87,90,95})))))</f>
        <v>65</v>
      </c>
      <c r="P1376" s="2">
        <f t="shared" si="108"/>
        <v>-14</v>
      </c>
      <c r="Q1376" s="2">
        <f t="shared" si="109"/>
        <v>-6.34</v>
      </c>
    </row>
    <row r="1377" customHeight="1" spans="1:17">
      <c r="A1377" s="2">
        <v>2026</v>
      </c>
      <c r="B1377" s="2">
        <v>1376</v>
      </c>
      <c r="C1377" s="3">
        <f t="shared" si="110"/>
        <v>43.73</v>
      </c>
      <c r="D1377" s="2" t="s">
        <v>1814</v>
      </c>
      <c r="E1377" s="2">
        <v>47</v>
      </c>
      <c r="F1377" s="12">
        <v>67</v>
      </c>
      <c r="G1377" s="12">
        <v>61</v>
      </c>
      <c r="H1377" s="2" t="s">
        <v>54</v>
      </c>
      <c r="I1377" s="2" t="s">
        <v>55</v>
      </c>
      <c r="J1377" s="4" t="s">
        <v>34</v>
      </c>
      <c r="M1377" s="2">
        <f t="shared" si="106"/>
        <v>60</v>
      </c>
      <c r="N1377" s="2">
        <f t="shared" si="107"/>
        <v>52.4</v>
      </c>
      <c r="O1377" s="2">
        <f>IF(M1377="","",IF(M1377&gt;=1000,95,IF(M1377&lt;=12.5,50,LOOKUP(M1377,{12.5,15,20,30,45,60,75,105,115,150,200,225,250,600,1000},{50,55,60,62,65,68,70,72,75,80,82,85,87,90,95})+(M1377-LOOKUP(M1377,{12.5,15,20,30,45,60,75,105,115,150,200,225,250,600},{12.5,15,20,30,45,60,75,105,115,150,200,225,250,600}))/(LOOKUP(M1377,{12.5,15,20,30,45,60,75,105,115,150,200,225,250,600,1000},{15,20,30,45,60,75,105,115,150,200,225,250,600,1000,1000})-LOOKUP(M1377,{12.5,15,20,30,45,60,75,105,115,150,200,225,250,600},{12.5,15,20,30,45,60,75,105,115,150,200,225,250,600}))*(LOOKUP(M1377,{12.5,15,20,30,45,60,75,105,115,150,200,225,250,600,1000},{55,60,62,65,68,70,72,75,80,82,85,87,90,95,95})-LOOKUP(M1377,{12.5,15,20,30,45,60,75,105,115,150,200,225,250,600,1000},{50,55,60,62,65,68,70,72,75,80,82,85,87,90,95})))))</f>
        <v>68</v>
      </c>
      <c r="P1377" s="2">
        <f t="shared" si="108"/>
        <v>-21</v>
      </c>
      <c r="Q1377" s="2">
        <f t="shared" si="109"/>
        <v>-8.67</v>
      </c>
    </row>
    <row r="1378" customHeight="1" spans="1:17">
      <c r="A1378" s="2">
        <v>2026</v>
      </c>
      <c r="B1378" s="2">
        <v>1377</v>
      </c>
      <c r="C1378" s="3">
        <f t="shared" si="110"/>
        <v>43.73</v>
      </c>
      <c r="D1378" s="2" t="s">
        <v>1815</v>
      </c>
      <c r="E1378" s="2">
        <v>50</v>
      </c>
      <c r="F1378" s="2">
        <v>54</v>
      </c>
      <c r="G1378" s="2">
        <v>46</v>
      </c>
      <c r="H1378" s="2" t="s">
        <v>643</v>
      </c>
      <c r="I1378" s="2" t="s">
        <v>63</v>
      </c>
      <c r="J1378" s="4" t="s">
        <v>38</v>
      </c>
      <c r="M1378" s="2">
        <f t="shared" si="106"/>
        <v>45</v>
      </c>
      <c r="N1378" s="2">
        <f t="shared" si="107"/>
        <v>50.4</v>
      </c>
      <c r="O1378" s="2">
        <f>IF(M1378="","",IF(M1378&gt;=1000,95,IF(M1378&lt;=12.5,50,LOOKUP(M1378,{12.5,15,20,30,45,60,75,105,115,150,200,225,250,600,1000},{50,55,60,62,65,68,70,72,75,80,82,85,87,90,95})+(M1378-LOOKUP(M1378,{12.5,15,20,30,45,60,75,105,115,150,200,225,250,600},{12.5,15,20,30,45,60,75,105,115,150,200,225,250,600}))/(LOOKUP(M1378,{12.5,15,20,30,45,60,75,105,115,150,200,225,250,600,1000},{15,20,30,45,60,75,105,115,150,200,225,250,600,1000,1000})-LOOKUP(M1378,{12.5,15,20,30,45,60,75,105,115,150,200,225,250,600},{12.5,15,20,30,45,60,75,105,115,150,200,225,250,600}))*(LOOKUP(M1378,{12.5,15,20,30,45,60,75,105,115,150,200,225,250,600,1000},{55,60,62,65,68,70,72,75,80,82,85,87,90,95,95})-LOOKUP(M1378,{12.5,15,20,30,45,60,75,105,115,150,200,225,250,600,1000},{50,55,60,62,65,68,70,72,75,80,82,85,87,90,95})))))</f>
        <v>65</v>
      </c>
      <c r="P1378" s="2">
        <f t="shared" si="108"/>
        <v>-15</v>
      </c>
      <c r="Q1378" s="2">
        <f t="shared" si="109"/>
        <v>-6.67</v>
      </c>
    </row>
    <row r="1379" customHeight="1" spans="1:17">
      <c r="B1379" s="2">
        <v>1378</v>
      </c>
      <c r="C1379" s="3">
        <f t="shared" si="110"/>
        <v>43.63</v>
      </c>
      <c r="D1379" s="2" t="s">
        <v>1816</v>
      </c>
      <c r="E1379" s="2">
        <v>53</v>
      </c>
      <c r="F1379" s="2">
        <v>57</v>
      </c>
      <c r="G1379" s="2">
        <v>58</v>
      </c>
      <c r="H1379" s="2" t="s">
        <v>41</v>
      </c>
      <c r="I1379" s="2" t="s">
        <v>447</v>
      </c>
      <c r="J1379" s="4" t="s">
        <v>59</v>
      </c>
      <c r="M1379" s="2">
        <f t="shared" si="106"/>
        <v>150</v>
      </c>
      <c r="N1379" s="2">
        <f t="shared" si="107"/>
        <v>54.3</v>
      </c>
      <c r="O1379" s="2">
        <f>IF(M1379="","",IF(M1379&gt;=1000,95,IF(M1379&lt;=12.5,50,LOOKUP(M1379,{12.5,15,20,30,45,60,75,105,115,150,200,225,250,600,1000},{50,55,60,62,65,68,70,72,75,80,82,85,87,90,95})+(M1379-LOOKUP(M1379,{12.5,15,20,30,45,60,75,105,115,150,200,225,250,600},{12.5,15,20,30,45,60,75,105,115,150,200,225,250,600}))/(LOOKUP(M1379,{12.5,15,20,30,45,60,75,105,115,150,200,225,250,600,1000},{15,20,30,45,60,75,105,115,150,200,225,250,600,1000,1000})-LOOKUP(M1379,{12.5,15,20,30,45,60,75,105,115,150,200,225,250,600},{12.5,15,20,30,45,60,75,105,115,150,200,225,250,600}))*(LOOKUP(M1379,{12.5,15,20,30,45,60,75,105,115,150,200,225,250,600,1000},{55,60,62,65,68,70,72,75,80,82,85,87,90,95,95})-LOOKUP(M1379,{12.5,15,20,30,45,60,75,105,115,150,200,225,250,600,1000},{50,55,60,62,65,68,70,72,75,80,82,85,87,90,95})))))</f>
        <v>80</v>
      </c>
      <c r="P1379" s="2">
        <f t="shared" si="108"/>
        <v>-27</v>
      </c>
      <c r="Q1379" s="2">
        <f t="shared" si="109"/>
        <v>-10.67</v>
      </c>
    </row>
    <row r="1380" customHeight="1" spans="1:17">
      <c r="A1380" s="2">
        <v>2026</v>
      </c>
      <c r="B1380" s="2">
        <v>1379</v>
      </c>
      <c r="C1380" s="3">
        <f t="shared" si="110"/>
        <v>43.53</v>
      </c>
      <c r="D1380" s="2" t="s">
        <v>1817</v>
      </c>
      <c r="E1380" s="2">
        <v>47</v>
      </c>
      <c r="F1380" s="12">
        <v>60</v>
      </c>
      <c r="G1380" s="2">
        <v>53</v>
      </c>
      <c r="H1380" s="2" t="s">
        <v>54</v>
      </c>
      <c r="I1380" s="2" t="s">
        <v>28</v>
      </c>
      <c r="J1380" s="4" t="s">
        <v>88</v>
      </c>
      <c r="M1380" s="2">
        <f t="shared" si="106"/>
        <v>30</v>
      </c>
      <c r="N1380" s="2">
        <f t="shared" si="107"/>
        <v>50.2</v>
      </c>
      <c r="O1380" s="2">
        <f>IF(M1380="","",IF(M1380&gt;=1000,95,IF(M1380&lt;=12.5,50,LOOKUP(M1380,{12.5,15,20,30,45,60,75,105,115,150,200,225,250,600,1000},{50,55,60,62,65,68,70,72,75,80,82,85,87,90,95})+(M1380-LOOKUP(M1380,{12.5,15,20,30,45,60,75,105,115,150,200,225,250,600},{12.5,15,20,30,45,60,75,105,115,150,200,225,250,600}))/(LOOKUP(M1380,{12.5,15,20,30,45,60,75,105,115,150,200,225,250,600,1000},{15,20,30,45,60,75,105,115,150,200,225,250,600,1000,1000})-LOOKUP(M1380,{12.5,15,20,30,45,60,75,105,115,150,200,225,250,600},{12.5,15,20,30,45,60,75,105,115,150,200,225,250,600}))*(LOOKUP(M1380,{12.5,15,20,30,45,60,75,105,115,150,200,225,250,600,1000},{55,60,62,65,68,70,72,75,80,82,85,87,90,95,95})-LOOKUP(M1380,{12.5,15,20,30,45,60,75,105,115,150,200,225,250,600,1000},{50,55,60,62,65,68,70,72,75,80,82,85,87,90,95})))))</f>
        <v>62</v>
      </c>
      <c r="P1380" s="2">
        <f t="shared" si="108"/>
        <v>-15</v>
      </c>
      <c r="Q1380" s="2">
        <f t="shared" si="109"/>
        <v>-6.67</v>
      </c>
    </row>
    <row r="1381" customHeight="1" spans="1:17">
      <c r="B1381" s="2">
        <v>1380</v>
      </c>
      <c r="C1381" s="3">
        <f t="shared" si="110"/>
        <v>43.53</v>
      </c>
      <c r="D1381" s="2" t="s">
        <v>1818</v>
      </c>
      <c r="E1381" s="2">
        <v>53</v>
      </c>
      <c r="F1381" s="2">
        <v>45</v>
      </c>
      <c r="G1381" s="2">
        <v>31</v>
      </c>
      <c r="H1381" s="2" t="s">
        <v>41</v>
      </c>
      <c r="I1381" s="2" t="s">
        <v>128</v>
      </c>
      <c r="J1381" s="4" t="s">
        <v>38</v>
      </c>
      <c r="M1381" s="2">
        <f t="shared" si="106"/>
        <v>45</v>
      </c>
      <c r="N1381" s="2">
        <f t="shared" si="107"/>
        <v>49.2</v>
      </c>
      <c r="O1381" s="2">
        <f>IF(M1381="","",IF(M1381&gt;=1000,95,IF(M1381&lt;=12.5,50,LOOKUP(M1381,{12.5,15,20,30,45,60,75,105,115,150,200,225,250,600,1000},{50,55,60,62,65,68,70,72,75,80,82,85,87,90,95})+(M1381-LOOKUP(M1381,{12.5,15,20,30,45,60,75,105,115,150,200,225,250,600},{12.5,15,20,30,45,60,75,105,115,150,200,225,250,600}))/(LOOKUP(M1381,{12.5,15,20,30,45,60,75,105,115,150,200,225,250,600,1000},{15,20,30,45,60,75,105,115,150,200,225,250,600,1000,1000})-LOOKUP(M1381,{12.5,15,20,30,45,60,75,105,115,150,200,225,250,600},{12.5,15,20,30,45,60,75,105,115,150,200,225,250,600}))*(LOOKUP(M1381,{12.5,15,20,30,45,60,75,105,115,150,200,225,250,600,1000},{55,60,62,65,68,70,72,75,80,82,85,87,90,95,95})-LOOKUP(M1381,{12.5,15,20,30,45,60,75,105,115,150,200,225,250,600,1000},{50,55,60,62,65,68,70,72,75,80,82,85,87,90,95})))))</f>
        <v>65</v>
      </c>
      <c r="P1381" s="2">
        <f t="shared" si="108"/>
        <v>-12</v>
      </c>
      <c r="Q1381" s="2">
        <f t="shared" si="109"/>
        <v>-5.67</v>
      </c>
    </row>
    <row r="1382" customHeight="1" spans="1:17">
      <c r="B1382" s="2">
        <v>1381</v>
      </c>
      <c r="C1382" s="3">
        <f t="shared" si="110"/>
        <v>43.5</v>
      </c>
      <c r="D1382" s="2" t="s">
        <v>1819</v>
      </c>
      <c r="E1382" s="2">
        <v>50</v>
      </c>
      <c r="F1382" s="12">
        <v>60</v>
      </c>
      <c r="G1382" s="12">
        <v>65</v>
      </c>
      <c r="H1382" s="2" t="s">
        <v>41</v>
      </c>
      <c r="I1382" s="2" t="s">
        <v>852</v>
      </c>
      <c r="J1382" s="4" t="s">
        <v>148</v>
      </c>
      <c r="M1382" s="2">
        <f t="shared" si="106"/>
        <v>115</v>
      </c>
      <c r="N1382" s="2">
        <f t="shared" si="107"/>
        <v>53.5</v>
      </c>
      <c r="O1382" s="2">
        <f>IF(M1382="","",IF(M1382&gt;=1000,95,IF(M1382&lt;=12.5,50,LOOKUP(M1382,{12.5,15,20,30,45,60,75,105,115,150,200,225,250,600,1000},{50,55,60,62,65,68,70,72,75,80,82,85,87,90,95})+(M1382-LOOKUP(M1382,{12.5,15,20,30,45,60,75,105,115,150,200,225,250,600},{12.5,15,20,30,45,60,75,105,115,150,200,225,250,600}))/(LOOKUP(M1382,{12.5,15,20,30,45,60,75,105,115,150,200,225,250,600,1000},{15,20,30,45,60,75,105,115,150,200,225,250,600,1000,1000})-LOOKUP(M1382,{12.5,15,20,30,45,60,75,105,115,150,200,225,250,600},{12.5,15,20,30,45,60,75,105,115,150,200,225,250,600}))*(LOOKUP(M1382,{12.5,15,20,30,45,60,75,105,115,150,200,225,250,600,1000},{55,60,62,65,68,70,72,75,80,82,85,87,90,95,95})-LOOKUP(M1382,{12.5,15,20,30,45,60,75,105,115,150,200,225,250,600,1000},{50,55,60,62,65,68,70,72,75,80,82,85,87,90,95})))))</f>
        <v>75</v>
      </c>
      <c r="P1382" s="2">
        <f t="shared" si="108"/>
        <v>-25</v>
      </c>
      <c r="Q1382" s="2">
        <f t="shared" si="109"/>
        <v>-10</v>
      </c>
    </row>
    <row r="1383" customHeight="1" spans="1:17">
      <c r="B1383" s="2">
        <v>1382</v>
      </c>
      <c r="C1383" s="3">
        <f t="shared" si="110"/>
        <v>43.5</v>
      </c>
      <c r="D1383" s="2" t="s">
        <v>1820</v>
      </c>
      <c r="E1383" s="2">
        <v>52</v>
      </c>
      <c r="F1383" s="2">
        <v>50</v>
      </c>
      <c r="G1383" s="2">
        <v>31</v>
      </c>
      <c r="H1383" s="2" t="s">
        <v>41</v>
      </c>
      <c r="I1383" s="2" t="s">
        <v>321</v>
      </c>
      <c r="J1383" s="4" t="s">
        <v>38</v>
      </c>
      <c r="M1383" s="2">
        <f t="shared" si="106"/>
        <v>45</v>
      </c>
      <c r="N1383" s="2">
        <f t="shared" si="107"/>
        <v>49.5</v>
      </c>
      <c r="O1383" s="2">
        <f>IF(M1383="","",IF(M1383&gt;=1000,95,IF(M1383&lt;=12.5,50,LOOKUP(M1383,{12.5,15,20,30,45,60,75,105,115,150,200,225,250,600,1000},{50,55,60,62,65,68,70,72,75,80,82,85,87,90,95})+(M1383-LOOKUP(M1383,{12.5,15,20,30,45,60,75,105,115,150,200,225,250,600},{12.5,15,20,30,45,60,75,105,115,150,200,225,250,600}))/(LOOKUP(M1383,{12.5,15,20,30,45,60,75,105,115,150,200,225,250,600,1000},{15,20,30,45,60,75,105,115,150,200,225,250,600,1000,1000})-LOOKUP(M1383,{12.5,15,20,30,45,60,75,105,115,150,200,225,250,600},{12.5,15,20,30,45,60,75,105,115,150,200,225,250,600}))*(LOOKUP(M1383,{12.5,15,20,30,45,60,75,105,115,150,200,225,250,600,1000},{55,60,62,65,68,70,72,75,80,82,85,87,90,95,95})-LOOKUP(M1383,{12.5,15,20,30,45,60,75,105,115,150,200,225,250,600,1000},{50,55,60,62,65,68,70,72,75,80,82,85,87,90,95})))))</f>
        <v>65</v>
      </c>
      <c r="P1383" s="2">
        <f t="shared" si="108"/>
        <v>-13</v>
      </c>
      <c r="Q1383" s="2">
        <f t="shared" si="109"/>
        <v>-6</v>
      </c>
    </row>
    <row r="1384" customHeight="1" spans="1:17">
      <c r="B1384" s="2">
        <v>1383</v>
      </c>
      <c r="C1384" s="3">
        <f t="shared" si="110"/>
        <v>43.47</v>
      </c>
      <c r="D1384" s="2" t="s">
        <v>1821</v>
      </c>
      <c r="E1384" s="2">
        <v>52</v>
      </c>
      <c r="F1384" s="2">
        <v>56</v>
      </c>
      <c r="G1384" s="2">
        <v>52</v>
      </c>
      <c r="H1384" s="2" t="s">
        <v>175</v>
      </c>
      <c r="I1384" s="2" t="s">
        <v>128</v>
      </c>
      <c r="J1384" s="4" t="s">
        <v>148</v>
      </c>
      <c r="M1384" s="2">
        <f t="shared" si="106"/>
        <v>115</v>
      </c>
      <c r="N1384" s="2">
        <f t="shared" si="107"/>
        <v>52.8</v>
      </c>
      <c r="O1384" s="2">
        <f>IF(M1384="","",IF(M1384&gt;=1000,95,IF(M1384&lt;=12.5,50,LOOKUP(M1384,{12.5,15,20,30,45,60,75,105,115,150,200,225,250,600,1000},{50,55,60,62,65,68,70,72,75,80,82,85,87,90,95})+(M1384-LOOKUP(M1384,{12.5,15,20,30,45,60,75,105,115,150,200,225,250,600},{12.5,15,20,30,45,60,75,105,115,150,200,225,250,600}))/(LOOKUP(M1384,{12.5,15,20,30,45,60,75,105,115,150,200,225,250,600,1000},{15,20,30,45,60,75,105,115,150,200,225,250,600,1000,1000})-LOOKUP(M1384,{12.5,15,20,30,45,60,75,105,115,150,200,225,250,600},{12.5,15,20,30,45,60,75,105,115,150,200,225,250,600}))*(LOOKUP(M1384,{12.5,15,20,30,45,60,75,105,115,150,200,225,250,600,1000},{55,60,62,65,68,70,72,75,80,82,85,87,90,95,95})-LOOKUP(M1384,{12.5,15,20,30,45,60,75,105,115,150,200,225,250,600,1000},{50,55,60,62,65,68,70,72,75,80,82,85,87,90,95})))))</f>
        <v>75</v>
      </c>
      <c r="P1384" s="2">
        <f t="shared" si="108"/>
        <v>-23</v>
      </c>
      <c r="Q1384" s="2">
        <f t="shared" si="109"/>
        <v>-9.33</v>
      </c>
    </row>
    <row r="1385" customHeight="1" spans="1:17">
      <c r="A1385" s="2">
        <v>2026</v>
      </c>
      <c r="B1385" s="2">
        <v>1384</v>
      </c>
      <c r="C1385" s="3">
        <f t="shared" si="110"/>
        <v>43.43</v>
      </c>
      <c r="D1385" s="2" t="s">
        <v>1822</v>
      </c>
      <c r="E1385" s="2">
        <v>52</v>
      </c>
      <c r="F1385" s="2">
        <v>49</v>
      </c>
      <c r="G1385" s="2">
        <v>49</v>
      </c>
      <c r="H1385" s="2" t="s">
        <v>54</v>
      </c>
      <c r="I1385" s="2" t="s">
        <v>104</v>
      </c>
      <c r="J1385" s="4" t="s">
        <v>24</v>
      </c>
      <c r="M1385" s="2">
        <f t="shared" si="106"/>
        <v>75</v>
      </c>
      <c r="N1385" s="2">
        <f t="shared" si="107"/>
        <v>51.1</v>
      </c>
      <c r="O1385" s="2">
        <f>IF(M1385="","",IF(M1385&gt;=1000,95,IF(M1385&lt;=12.5,50,LOOKUP(M1385,{12.5,15,20,30,45,60,75,105,115,150,200,225,250,600,1000},{50,55,60,62,65,68,70,72,75,80,82,85,87,90,95})+(M1385-LOOKUP(M1385,{12.5,15,20,30,45,60,75,105,115,150,200,225,250,600},{12.5,15,20,30,45,60,75,105,115,150,200,225,250,600}))/(LOOKUP(M1385,{12.5,15,20,30,45,60,75,105,115,150,200,225,250,600,1000},{15,20,30,45,60,75,105,115,150,200,225,250,600,1000,1000})-LOOKUP(M1385,{12.5,15,20,30,45,60,75,105,115,150,200,225,250,600},{12.5,15,20,30,45,60,75,105,115,150,200,225,250,600}))*(LOOKUP(M1385,{12.5,15,20,30,45,60,75,105,115,150,200,225,250,600,1000},{55,60,62,65,68,70,72,75,80,82,85,87,90,95,95})-LOOKUP(M1385,{12.5,15,20,30,45,60,75,105,115,150,200,225,250,600,1000},{50,55,60,62,65,68,70,72,75,80,82,85,87,90,95})))))</f>
        <v>70</v>
      </c>
      <c r="P1385" s="2">
        <f t="shared" si="108"/>
        <v>-18</v>
      </c>
      <c r="Q1385" s="2">
        <f t="shared" si="109"/>
        <v>-7.67</v>
      </c>
    </row>
    <row r="1386" customHeight="1" spans="1:17">
      <c r="B1386" s="2">
        <v>1385</v>
      </c>
      <c r="C1386" s="3">
        <f t="shared" si="110"/>
        <v>43.4</v>
      </c>
      <c r="D1386" s="2" t="s">
        <v>1823</v>
      </c>
      <c r="E1386" s="2">
        <v>49</v>
      </c>
      <c r="F1386" s="2">
        <v>57</v>
      </c>
      <c r="G1386" s="2">
        <v>57</v>
      </c>
      <c r="H1386" s="2" t="s">
        <v>91</v>
      </c>
      <c r="I1386" s="2" t="s">
        <v>717</v>
      </c>
      <c r="J1386" s="4" t="s">
        <v>34</v>
      </c>
      <c r="M1386" s="2">
        <f t="shared" si="106"/>
        <v>60</v>
      </c>
      <c r="N1386" s="2">
        <f t="shared" si="107"/>
        <v>51.4</v>
      </c>
      <c r="O1386" s="2">
        <f>IF(M1386="","",IF(M1386&gt;=1000,95,IF(M1386&lt;=12.5,50,LOOKUP(M1386,{12.5,15,20,30,45,60,75,105,115,150,200,225,250,600,1000},{50,55,60,62,65,68,70,72,75,80,82,85,87,90,95})+(M1386-LOOKUP(M1386,{12.5,15,20,30,45,60,75,105,115,150,200,225,250,600},{12.5,15,20,30,45,60,75,105,115,150,200,225,250,600}))/(LOOKUP(M1386,{12.5,15,20,30,45,60,75,105,115,150,200,225,250,600,1000},{15,20,30,45,60,75,105,115,150,200,225,250,600,1000,1000})-LOOKUP(M1386,{12.5,15,20,30,45,60,75,105,115,150,200,225,250,600},{12.5,15,20,30,45,60,75,105,115,150,200,225,250,600}))*(LOOKUP(M1386,{12.5,15,20,30,45,60,75,105,115,150,200,225,250,600,1000},{55,60,62,65,68,70,72,75,80,82,85,87,90,95,95})-LOOKUP(M1386,{12.5,15,20,30,45,60,75,105,115,150,200,225,250,600,1000},{50,55,60,62,65,68,70,72,75,80,82,85,87,90,95})))))</f>
        <v>68</v>
      </c>
      <c r="P1386" s="2">
        <f t="shared" si="108"/>
        <v>-19</v>
      </c>
      <c r="Q1386" s="2">
        <f t="shared" si="109"/>
        <v>-8</v>
      </c>
    </row>
    <row r="1387" customHeight="1" spans="1:17">
      <c r="B1387" s="2">
        <v>1386</v>
      </c>
      <c r="C1387" s="3">
        <f t="shared" si="110"/>
        <v>43.23</v>
      </c>
      <c r="D1387" s="2" t="s">
        <v>1824</v>
      </c>
      <c r="E1387" s="2">
        <v>52</v>
      </c>
      <c r="F1387" s="12">
        <v>62</v>
      </c>
      <c r="G1387" s="12">
        <v>61</v>
      </c>
      <c r="H1387" s="2" t="s">
        <v>421</v>
      </c>
      <c r="I1387" s="2" t="s">
        <v>55</v>
      </c>
      <c r="J1387" s="4" t="s">
        <v>51</v>
      </c>
      <c r="M1387" s="2">
        <f t="shared" si="106"/>
        <v>200</v>
      </c>
      <c r="N1387" s="2">
        <f t="shared" si="107"/>
        <v>54.9</v>
      </c>
      <c r="O1387" s="2">
        <f>IF(M1387="","",IF(M1387&gt;=1000,95,IF(M1387&lt;=12.5,50,LOOKUP(M1387,{12.5,15,20,30,45,60,75,105,115,150,200,225,250,600,1000},{50,55,60,62,65,68,70,72,75,80,82,85,87,90,95})+(M1387-LOOKUP(M1387,{12.5,15,20,30,45,60,75,105,115,150,200,225,250,600},{12.5,15,20,30,45,60,75,105,115,150,200,225,250,600}))/(LOOKUP(M1387,{12.5,15,20,30,45,60,75,105,115,150,200,225,250,600,1000},{15,20,30,45,60,75,105,115,150,200,225,250,600,1000,1000})-LOOKUP(M1387,{12.5,15,20,30,45,60,75,105,115,150,200,225,250,600},{12.5,15,20,30,45,60,75,105,115,150,200,225,250,600}))*(LOOKUP(M1387,{12.5,15,20,30,45,60,75,105,115,150,200,225,250,600,1000},{55,60,62,65,68,70,72,75,80,82,85,87,90,95,95})-LOOKUP(M1387,{12.5,15,20,30,45,60,75,105,115,150,200,225,250,600,1000},{50,55,60,62,65,68,70,72,75,80,82,85,87,90,95})))))</f>
        <v>82</v>
      </c>
      <c r="P1387" s="2">
        <f t="shared" si="108"/>
        <v>-30</v>
      </c>
      <c r="Q1387" s="2">
        <f t="shared" si="109"/>
        <v>-11.67</v>
      </c>
    </row>
    <row r="1388" customHeight="1" spans="1:17">
      <c r="B1388" s="2">
        <v>1387</v>
      </c>
      <c r="C1388" s="3">
        <f t="shared" si="110"/>
        <v>43.23</v>
      </c>
      <c r="D1388" s="2" t="s">
        <v>1825</v>
      </c>
      <c r="E1388" s="2">
        <v>51</v>
      </c>
      <c r="F1388" s="12">
        <v>65</v>
      </c>
      <c r="G1388" s="2">
        <v>42</v>
      </c>
      <c r="H1388" s="2" t="s">
        <v>41</v>
      </c>
      <c r="I1388" s="2" t="s">
        <v>183</v>
      </c>
      <c r="J1388" s="4" t="s">
        <v>148</v>
      </c>
      <c r="M1388" s="2">
        <f t="shared" si="106"/>
        <v>115</v>
      </c>
      <c r="N1388" s="2">
        <f t="shared" si="107"/>
        <v>52.9</v>
      </c>
      <c r="O1388" s="2">
        <f>IF(M1388="","",IF(M1388&gt;=1000,95,IF(M1388&lt;=12.5,50,LOOKUP(M1388,{12.5,15,20,30,45,60,75,105,115,150,200,225,250,600,1000},{50,55,60,62,65,68,70,72,75,80,82,85,87,90,95})+(M1388-LOOKUP(M1388,{12.5,15,20,30,45,60,75,105,115,150,200,225,250,600},{12.5,15,20,30,45,60,75,105,115,150,200,225,250,600}))/(LOOKUP(M1388,{12.5,15,20,30,45,60,75,105,115,150,200,225,250,600,1000},{15,20,30,45,60,75,105,115,150,200,225,250,600,1000,1000})-LOOKUP(M1388,{12.5,15,20,30,45,60,75,105,115,150,200,225,250,600},{12.5,15,20,30,45,60,75,105,115,150,200,225,250,600}))*(LOOKUP(M1388,{12.5,15,20,30,45,60,75,105,115,150,200,225,250,600,1000},{55,60,62,65,68,70,72,75,80,82,85,87,90,95,95})-LOOKUP(M1388,{12.5,15,20,30,45,60,75,105,115,150,200,225,250,600,1000},{50,55,60,62,65,68,70,72,75,80,82,85,87,90,95})))))</f>
        <v>75</v>
      </c>
      <c r="P1388" s="2">
        <f t="shared" si="108"/>
        <v>-24</v>
      </c>
      <c r="Q1388" s="2">
        <f t="shared" si="109"/>
        <v>-9.67</v>
      </c>
    </row>
    <row r="1389" customHeight="1" spans="1:17">
      <c r="B1389" s="2">
        <v>1388</v>
      </c>
      <c r="C1389" s="3">
        <f t="shared" si="110"/>
        <v>43.2</v>
      </c>
      <c r="D1389" s="2" t="s">
        <v>1826</v>
      </c>
      <c r="E1389" s="2">
        <v>52</v>
      </c>
      <c r="F1389" s="2">
        <v>54</v>
      </c>
      <c r="G1389" s="9">
        <v>70</v>
      </c>
      <c r="H1389" s="2" t="s">
        <v>848</v>
      </c>
      <c r="I1389" s="2" t="s">
        <v>128</v>
      </c>
      <c r="J1389" s="4" t="s">
        <v>59</v>
      </c>
      <c r="M1389" s="2">
        <f t="shared" si="106"/>
        <v>150</v>
      </c>
      <c r="N1389" s="2">
        <f t="shared" si="107"/>
        <v>54.2</v>
      </c>
      <c r="O1389" s="2">
        <f>IF(M1389="","",IF(M1389&gt;=1000,95,IF(M1389&lt;=12.5,50,LOOKUP(M1389,{12.5,15,20,30,45,60,75,105,115,150,200,225,250,600,1000},{50,55,60,62,65,68,70,72,75,80,82,85,87,90,95})+(M1389-LOOKUP(M1389,{12.5,15,20,30,45,60,75,105,115,150,200,225,250,600},{12.5,15,20,30,45,60,75,105,115,150,200,225,250,600}))/(LOOKUP(M1389,{12.5,15,20,30,45,60,75,105,115,150,200,225,250,600,1000},{15,20,30,45,60,75,105,115,150,200,225,250,600,1000,1000})-LOOKUP(M1389,{12.5,15,20,30,45,60,75,105,115,150,200,225,250,600},{12.5,15,20,30,45,60,75,105,115,150,200,225,250,600}))*(LOOKUP(M1389,{12.5,15,20,30,45,60,75,105,115,150,200,225,250,600,1000},{55,60,62,65,68,70,72,75,80,82,85,87,90,95,95})-LOOKUP(M1389,{12.5,15,20,30,45,60,75,105,115,150,200,225,250,600,1000},{50,55,60,62,65,68,70,72,75,80,82,85,87,90,95})))))</f>
        <v>80</v>
      </c>
      <c r="P1389" s="2">
        <f t="shared" si="108"/>
        <v>-28</v>
      </c>
      <c r="Q1389" s="2">
        <f t="shared" si="109"/>
        <v>-11</v>
      </c>
    </row>
    <row r="1390" customHeight="1" spans="1:17">
      <c r="A1390" s="2">
        <v>2026</v>
      </c>
      <c r="B1390" s="2">
        <v>1389</v>
      </c>
      <c r="C1390" s="3">
        <f t="shared" si="110"/>
        <v>43.2</v>
      </c>
      <c r="D1390" s="2" t="s">
        <v>1827</v>
      </c>
      <c r="E1390" s="2">
        <v>50</v>
      </c>
      <c r="F1390" s="12">
        <v>61</v>
      </c>
      <c r="G1390" s="2">
        <v>50</v>
      </c>
      <c r="H1390" s="2" t="s">
        <v>99</v>
      </c>
      <c r="I1390" s="2" t="s">
        <v>63</v>
      </c>
      <c r="J1390" s="4" t="s">
        <v>105</v>
      </c>
      <c r="M1390" s="2">
        <f t="shared" si="106"/>
        <v>105</v>
      </c>
      <c r="N1390" s="2">
        <f t="shared" si="107"/>
        <v>52.2</v>
      </c>
      <c r="O1390" s="2">
        <f>IF(M1390="","",IF(M1390&gt;=1000,95,IF(M1390&lt;=12.5,50,LOOKUP(M1390,{12.5,15,20,30,45,60,75,105,115,150,200,225,250,600,1000},{50,55,60,62,65,68,70,72,75,80,82,85,87,90,95})+(M1390-LOOKUP(M1390,{12.5,15,20,30,45,60,75,105,115,150,200,225,250,600},{12.5,15,20,30,45,60,75,105,115,150,200,225,250,600}))/(LOOKUP(M1390,{12.5,15,20,30,45,60,75,105,115,150,200,225,250,600,1000},{15,20,30,45,60,75,105,115,150,200,225,250,600,1000,1000})-LOOKUP(M1390,{12.5,15,20,30,45,60,75,105,115,150,200,225,250,600},{12.5,15,20,30,45,60,75,105,115,150,200,225,250,600}))*(LOOKUP(M1390,{12.5,15,20,30,45,60,75,105,115,150,200,225,250,600,1000},{55,60,62,65,68,70,72,75,80,82,85,87,90,95,95})-LOOKUP(M1390,{12.5,15,20,30,45,60,75,105,115,150,200,225,250,600,1000},{50,55,60,62,65,68,70,72,75,80,82,85,87,90,95})))))</f>
        <v>72</v>
      </c>
      <c r="P1390" s="2">
        <f t="shared" si="108"/>
        <v>-22</v>
      </c>
      <c r="Q1390" s="2">
        <f t="shared" si="109"/>
        <v>-9</v>
      </c>
    </row>
    <row r="1391" customHeight="1" spans="1:17">
      <c r="B1391" s="2">
        <v>1390</v>
      </c>
      <c r="C1391" s="3">
        <f t="shared" si="110"/>
        <v>43.16</v>
      </c>
      <c r="D1391" s="2" t="s">
        <v>1828</v>
      </c>
      <c r="E1391" s="2">
        <v>50</v>
      </c>
      <c r="F1391" s="2">
        <v>55</v>
      </c>
      <c r="G1391" s="2">
        <v>55</v>
      </c>
      <c r="H1391" s="2" t="s">
        <v>41</v>
      </c>
      <c r="I1391" s="2" t="s">
        <v>128</v>
      </c>
      <c r="J1391" s="4" t="s">
        <v>24</v>
      </c>
      <c r="M1391" s="2">
        <f t="shared" si="106"/>
        <v>75</v>
      </c>
      <c r="N1391" s="2">
        <f t="shared" si="107"/>
        <v>51.5</v>
      </c>
      <c r="O1391" s="2">
        <f>IF(M1391="","",IF(M1391&gt;=1000,95,IF(M1391&lt;=12.5,50,LOOKUP(M1391,{12.5,15,20,30,45,60,75,105,115,150,200,225,250,600,1000},{50,55,60,62,65,68,70,72,75,80,82,85,87,90,95})+(M1391-LOOKUP(M1391,{12.5,15,20,30,45,60,75,105,115,150,200,225,250,600},{12.5,15,20,30,45,60,75,105,115,150,200,225,250,600}))/(LOOKUP(M1391,{12.5,15,20,30,45,60,75,105,115,150,200,225,250,600,1000},{15,20,30,45,60,75,105,115,150,200,225,250,600,1000,1000})-LOOKUP(M1391,{12.5,15,20,30,45,60,75,105,115,150,200,225,250,600},{12.5,15,20,30,45,60,75,105,115,150,200,225,250,600}))*(LOOKUP(M1391,{12.5,15,20,30,45,60,75,105,115,150,200,225,250,600,1000},{55,60,62,65,68,70,72,75,80,82,85,87,90,95,95})-LOOKUP(M1391,{12.5,15,20,30,45,60,75,105,115,150,200,225,250,600,1000},{50,55,60,62,65,68,70,72,75,80,82,85,87,90,95})))))</f>
        <v>70</v>
      </c>
      <c r="P1391" s="2">
        <f t="shared" si="108"/>
        <v>-20</v>
      </c>
      <c r="Q1391" s="2">
        <f t="shared" si="109"/>
        <v>-8.34</v>
      </c>
    </row>
    <row r="1392" customHeight="1" spans="1:17">
      <c r="B1392" s="2">
        <v>1391</v>
      </c>
      <c r="C1392" s="3">
        <f t="shared" si="110"/>
        <v>43.16</v>
      </c>
      <c r="D1392" s="2" t="s">
        <v>1829</v>
      </c>
      <c r="E1392" s="2">
        <v>50</v>
      </c>
      <c r="F1392" s="2">
        <v>55</v>
      </c>
      <c r="G1392" s="2">
        <v>55</v>
      </c>
      <c r="H1392" s="2" t="s">
        <v>611</v>
      </c>
      <c r="I1392" s="2" t="s">
        <v>128</v>
      </c>
      <c r="J1392" s="4" t="s">
        <v>24</v>
      </c>
      <c r="M1392" s="2">
        <f t="shared" si="106"/>
        <v>75</v>
      </c>
      <c r="N1392" s="2">
        <f t="shared" si="107"/>
        <v>51.5</v>
      </c>
      <c r="O1392" s="2">
        <f>IF(M1392="","",IF(M1392&gt;=1000,95,IF(M1392&lt;=12.5,50,LOOKUP(M1392,{12.5,15,20,30,45,60,75,105,115,150,200,225,250,600,1000},{50,55,60,62,65,68,70,72,75,80,82,85,87,90,95})+(M1392-LOOKUP(M1392,{12.5,15,20,30,45,60,75,105,115,150,200,225,250,600},{12.5,15,20,30,45,60,75,105,115,150,200,225,250,600}))/(LOOKUP(M1392,{12.5,15,20,30,45,60,75,105,115,150,200,225,250,600,1000},{15,20,30,45,60,75,105,115,150,200,225,250,600,1000,1000})-LOOKUP(M1392,{12.5,15,20,30,45,60,75,105,115,150,200,225,250,600},{12.5,15,20,30,45,60,75,105,115,150,200,225,250,600}))*(LOOKUP(M1392,{12.5,15,20,30,45,60,75,105,115,150,200,225,250,600,1000},{55,60,62,65,68,70,72,75,80,82,85,87,90,95,95})-LOOKUP(M1392,{12.5,15,20,30,45,60,75,105,115,150,200,225,250,600,1000},{50,55,60,62,65,68,70,72,75,80,82,85,87,90,95})))))</f>
        <v>70</v>
      </c>
      <c r="P1392" s="2">
        <f t="shared" si="108"/>
        <v>-20</v>
      </c>
      <c r="Q1392" s="2">
        <f t="shared" si="109"/>
        <v>-8.34</v>
      </c>
    </row>
    <row r="1393" customHeight="1" spans="1:17">
      <c r="B1393" s="2">
        <v>1392</v>
      </c>
      <c r="C1393" s="3">
        <f t="shared" si="110"/>
        <v>43.13</v>
      </c>
      <c r="D1393" s="2" t="s">
        <v>1830</v>
      </c>
      <c r="E1393" s="2">
        <v>52</v>
      </c>
      <c r="F1393" s="12">
        <v>63</v>
      </c>
      <c r="G1393" s="2">
        <v>58</v>
      </c>
      <c r="H1393" s="2" t="s">
        <v>1017</v>
      </c>
      <c r="I1393" s="2" t="s">
        <v>1067</v>
      </c>
      <c r="J1393" s="4" t="s">
        <v>51</v>
      </c>
      <c r="M1393" s="2">
        <f t="shared" si="106"/>
        <v>200</v>
      </c>
      <c r="N1393" s="2">
        <f t="shared" si="107"/>
        <v>54.8</v>
      </c>
      <c r="O1393" s="2">
        <f>IF(M1393="","",IF(M1393&gt;=1000,95,IF(M1393&lt;=12.5,50,LOOKUP(M1393,{12.5,15,20,30,45,60,75,105,115,150,200,225,250,600,1000},{50,55,60,62,65,68,70,72,75,80,82,85,87,90,95})+(M1393-LOOKUP(M1393,{12.5,15,20,30,45,60,75,105,115,150,200,225,250,600},{12.5,15,20,30,45,60,75,105,115,150,200,225,250,600}))/(LOOKUP(M1393,{12.5,15,20,30,45,60,75,105,115,150,200,225,250,600,1000},{15,20,30,45,60,75,105,115,150,200,225,250,600,1000,1000})-LOOKUP(M1393,{12.5,15,20,30,45,60,75,105,115,150,200,225,250,600},{12.5,15,20,30,45,60,75,105,115,150,200,225,250,600}))*(LOOKUP(M1393,{12.5,15,20,30,45,60,75,105,115,150,200,225,250,600,1000},{55,60,62,65,68,70,72,75,80,82,85,87,90,95,95})-LOOKUP(M1393,{12.5,15,20,30,45,60,75,105,115,150,200,225,250,600,1000},{50,55,60,62,65,68,70,72,75,80,82,85,87,90,95})))))</f>
        <v>82</v>
      </c>
      <c r="P1393" s="2">
        <f t="shared" si="108"/>
        <v>-30</v>
      </c>
      <c r="Q1393" s="2">
        <f t="shared" si="109"/>
        <v>-11.67</v>
      </c>
    </row>
    <row r="1394" customHeight="1" spans="1:17">
      <c r="B1394" s="2">
        <v>1393</v>
      </c>
      <c r="C1394" s="3">
        <f t="shared" si="110"/>
        <v>43.13</v>
      </c>
      <c r="D1394" s="2" t="s">
        <v>1831</v>
      </c>
      <c r="E1394" s="2">
        <v>50</v>
      </c>
      <c r="F1394" s="2">
        <v>50</v>
      </c>
      <c r="G1394" s="2">
        <v>38</v>
      </c>
      <c r="H1394" s="2" t="s">
        <v>41</v>
      </c>
      <c r="I1394" s="2" t="s">
        <v>321</v>
      </c>
      <c r="J1394" s="4" t="s">
        <v>88</v>
      </c>
      <c r="M1394" s="2">
        <f t="shared" si="106"/>
        <v>30</v>
      </c>
      <c r="N1394" s="2">
        <f t="shared" si="107"/>
        <v>48.8</v>
      </c>
      <c r="O1394" s="2">
        <f>IF(M1394="","",IF(M1394&gt;=1000,95,IF(M1394&lt;=12.5,50,LOOKUP(M1394,{12.5,15,20,30,45,60,75,105,115,150,200,225,250,600,1000},{50,55,60,62,65,68,70,72,75,80,82,85,87,90,95})+(M1394-LOOKUP(M1394,{12.5,15,20,30,45,60,75,105,115,150,200,225,250,600},{12.5,15,20,30,45,60,75,105,115,150,200,225,250,600}))/(LOOKUP(M1394,{12.5,15,20,30,45,60,75,105,115,150,200,225,250,600,1000},{15,20,30,45,60,75,105,115,150,200,225,250,600,1000,1000})-LOOKUP(M1394,{12.5,15,20,30,45,60,75,105,115,150,200,225,250,600},{12.5,15,20,30,45,60,75,105,115,150,200,225,250,600}))*(LOOKUP(M1394,{12.5,15,20,30,45,60,75,105,115,150,200,225,250,600,1000},{55,60,62,65,68,70,72,75,80,82,85,87,90,95,95})-LOOKUP(M1394,{12.5,15,20,30,45,60,75,105,115,150,200,225,250,600,1000},{50,55,60,62,65,68,70,72,75,80,82,85,87,90,95})))))</f>
        <v>62</v>
      </c>
      <c r="P1394" s="2">
        <f t="shared" si="108"/>
        <v>-12</v>
      </c>
      <c r="Q1394" s="2">
        <f t="shared" si="109"/>
        <v>-5.67</v>
      </c>
    </row>
    <row r="1395" customHeight="1" spans="1:17">
      <c r="B1395" s="2">
        <v>1394</v>
      </c>
      <c r="C1395" s="3">
        <f t="shared" si="110"/>
        <v>42.9</v>
      </c>
      <c r="D1395" s="2" t="s">
        <v>1832</v>
      </c>
      <c r="E1395" s="2">
        <v>45</v>
      </c>
      <c r="F1395" s="2">
        <v>52</v>
      </c>
      <c r="G1395" s="12">
        <v>60</v>
      </c>
      <c r="H1395" s="2" t="s">
        <v>122</v>
      </c>
      <c r="I1395" s="2" t="s">
        <v>503</v>
      </c>
      <c r="J1395" s="4" t="s">
        <v>29</v>
      </c>
      <c r="M1395" s="2">
        <f t="shared" si="106"/>
        <v>15</v>
      </c>
      <c r="N1395" s="2">
        <f t="shared" si="107"/>
        <v>47.9</v>
      </c>
      <c r="O1395" s="2">
        <f>IF(M1395="","",IF(M1395&gt;=1000,95,IF(M1395&lt;=12.5,50,LOOKUP(M1395,{12.5,15,20,30,45,60,75,105,115,150,200,225,250,600,1000},{50,55,60,62,65,68,70,72,75,80,82,85,87,90,95})+(M1395-LOOKUP(M1395,{12.5,15,20,30,45,60,75,105,115,150,200,225,250,600},{12.5,15,20,30,45,60,75,105,115,150,200,225,250,600}))/(LOOKUP(M1395,{12.5,15,20,30,45,60,75,105,115,150,200,225,250,600,1000},{15,20,30,45,60,75,105,115,150,200,225,250,600,1000,1000})-LOOKUP(M1395,{12.5,15,20,30,45,60,75,105,115,150,200,225,250,600},{12.5,15,20,30,45,60,75,105,115,150,200,225,250,600}))*(LOOKUP(M1395,{12.5,15,20,30,45,60,75,105,115,150,200,225,250,600,1000},{55,60,62,65,68,70,72,75,80,82,85,87,90,95,95})-LOOKUP(M1395,{12.5,15,20,30,45,60,75,105,115,150,200,225,250,600,1000},{50,55,60,62,65,68,70,72,75,80,82,85,87,90,95})))))</f>
        <v>55</v>
      </c>
      <c r="P1395" s="2">
        <f t="shared" si="108"/>
        <v>-10</v>
      </c>
      <c r="Q1395" s="2">
        <f t="shared" si="109"/>
        <v>-5</v>
      </c>
    </row>
    <row r="1396" customHeight="1" spans="1:17">
      <c r="B1396" s="2">
        <v>1395</v>
      </c>
      <c r="C1396" s="3">
        <f t="shared" si="110"/>
        <v>42.83</v>
      </c>
      <c r="D1396" s="2" t="s">
        <v>1833</v>
      </c>
      <c r="E1396" s="2">
        <v>48</v>
      </c>
      <c r="F1396" s="2">
        <v>50</v>
      </c>
      <c r="G1396" s="2">
        <v>49</v>
      </c>
      <c r="H1396" s="2" t="s">
        <v>37</v>
      </c>
      <c r="I1396" s="2" t="s">
        <v>503</v>
      </c>
      <c r="J1396" s="4" t="s">
        <v>140</v>
      </c>
      <c r="M1396" s="2">
        <f t="shared" si="106"/>
        <v>20</v>
      </c>
      <c r="N1396" s="2">
        <f t="shared" si="107"/>
        <v>48.5</v>
      </c>
      <c r="O1396" s="2">
        <f>IF(M1396="","",IF(M1396&gt;=1000,95,IF(M1396&lt;=12.5,50,LOOKUP(M1396,{12.5,15,20,30,45,60,75,105,115,150,200,225,250,600,1000},{50,55,60,62,65,68,70,72,75,80,82,85,87,90,95})+(M1396-LOOKUP(M1396,{12.5,15,20,30,45,60,75,105,115,150,200,225,250,600},{12.5,15,20,30,45,60,75,105,115,150,200,225,250,600}))/(LOOKUP(M1396,{12.5,15,20,30,45,60,75,105,115,150,200,225,250,600,1000},{15,20,30,45,60,75,105,115,150,200,225,250,600,1000,1000})-LOOKUP(M1396,{12.5,15,20,30,45,60,75,105,115,150,200,225,250,600},{12.5,15,20,30,45,60,75,105,115,150,200,225,250,600}))*(LOOKUP(M1396,{12.5,15,20,30,45,60,75,105,115,150,200,225,250,600,1000},{55,60,62,65,68,70,72,75,80,82,85,87,90,95,95})-LOOKUP(M1396,{12.5,15,20,30,45,60,75,105,115,150,200,225,250,600,1000},{50,55,60,62,65,68,70,72,75,80,82,85,87,90,95})))))</f>
        <v>60</v>
      </c>
      <c r="P1396" s="2">
        <f t="shared" si="108"/>
        <v>-12</v>
      </c>
      <c r="Q1396" s="2">
        <f t="shared" si="109"/>
        <v>-5.67</v>
      </c>
    </row>
    <row r="1397" customHeight="1" spans="1:17">
      <c r="A1397" s="2">
        <v>2026</v>
      </c>
      <c r="B1397" s="2">
        <v>1396</v>
      </c>
      <c r="C1397" s="3">
        <f t="shared" si="110"/>
        <v>42.83</v>
      </c>
      <c r="D1397" s="2" t="s">
        <v>1834</v>
      </c>
      <c r="E1397" s="2">
        <v>44</v>
      </c>
      <c r="F1397" s="12">
        <v>69</v>
      </c>
      <c r="G1397" s="12">
        <v>69</v>
      </c>
      <c r="H1397" s="2" t="s">
        <v>643</v>
      </c>
      <c r="I1397" s="2" t="s">
        <v>63</v>
      </c>
      <c r="J1397" s="4" t="s">
        <v>38</v>
      </c>
      <c r="M1397" s="2">
        <f t="shared" si="106"/>
        <v>45</v>
      </c>
      <c r="N1397" s="2">
        <f t="shared" si="107"/>
        <v>51.5</v>
      </c>
      <c r="O1397" s="2">
        <f>IF(M1397="","",IF(M1397&gt;=1000,95,IF(M1397&lt;=12.5,50,LOOKUP(M1397,{12.5,15,20,30,45,60,75,105,115,150,200,225,250,600,1000},{50,55,60,62,65,68,70,72,75,80,82,85,87,90,95})+(M1397-LOOKUP(M1397,{12.5,15,20,30,45,60,75,105,115,150,200,225,250,600},{12.5,15,20,30,45,60,75,105,115,150,200,225,250,600}))/(LOOKUP(M1397,{12.5,15,20,30,45,60,75,105,115,150,200,225,250,600,1000},{15,20,30,45,60,75,105,115,150,200,225,250,600,1000,1000})-LOOKUP(M1397,{12.5,15,20,30,45,60,75,105,115,150,200,225,250,600},{12.5,15,20,30,45,60,75,105,115,150,200,225,250,600}))*(LOOKUP(M1397,{12.5,15,20,30,45,60,75,105,115,150,200,225,250,600,1000},{55,60,62,65,68,70,72,75,80,82,85,87,90,95,95})-LOOKUP(M1397,{12.5,15,20,30,45,60,75,105,115,150,200,225,250,600,1000},{50,55,60,62,65,68,70,72,75,80,82,85,87,90,95})))))</f>
        <v>65</v>
      </c>
      <c r="P1397" s="2">
        <f t="shared" si="108"/>
        <v>-21</v>
      </c>
      <c r="Q1397" s="2">
        <f t="shared" si="109"/>
        <v>-8.67</v>
      </c>
    </row>
    <row r="1398" customHeight="1" spans="1:17">
      <c r="B1398" s="2">
        <v>1397</v>
      </c>
      <c r="C1398" s="3">
        <f t="shared" si="110"/>
        <v>42.8</v>
      </c>
      <c r="D1398" s="2" t="s">
        <v>1835</v>
      </c>
      <c r="E1398" s="2">
        <v>49</v>
      </c>
      <c r="F1398" s="12">
        <v>60</v>
      </c>
      <c r="G1398" s="2">
        <v>45</v>
      </c>
      <c r="H1398" s="2" t="s">
        <v>264</v>
      </c>
      <c r="I1398" s="2" t="s">
        <v>638</v>
      </c>
      <c r="J1398" s="4" t="s">
        <v>34</v>
      </c>
      <c r="M1398" s="2">
        <f t="shared" si="106"/>
        <v>60</v>
      </c>
      <c r="N1398" s="2">
        <f t="shared" si="107"/>
        <v>50.8</v>
      </c>
      <c r="O1398" s="2">
        <f>IF(M1398="","",IF(M1398&gt;=1000,95,IF(M1398&lt;=12.5,50,LOOKUP(M1398,{12.5,15,20,30,45,60,75,105,115,150,200,225,250,600,1000},{50,55,60,62,65,68,70,72,75,80,82,85,87,90,95})+(M1398-LOOKUP(M1398,{12.5,15,20,30,45,60,75,105,115,150,200,225,250,600},{12.5,15,20,30,45,60,75,105,115,150,200,225,250,600}))/(LOOKUP(M1398,{12.5,15,20,30,45,60,75,105,115,150,200,225,250,600,1000},{15,20,30,45,60,75,105,115,150,200,225,250,600,1000,1000})-LOOKUP(M1398,{12.5,15,20,30,45,60,75,105,115,150,200,225,250,600},{12.5,15,20,30,45,60,75,105,115,150,200,225,250,600}))*(LOOKUP(M1398,{12.5,15,20,30,45,60,75,105,115,150,200,225,250,600,1000},{55,60,62,65,68,70,72,75,80,82,85,87,90,95,95})-LOOKUP(M1398,{12.5,15,20,30,45,60,75,105,115,150,200,225,250,600,1000},{50,55,60,62,65,68,70,72,75,80,82,85,87,90,95})))))</f>
        <v>68</v>
      </c>
      <c r="P1398" s="2">
        <f t="shared" si="108"/>
        <v>-19</v>
      </c>
      <c r="Q1398" s="2">
        <f t="shared" si="109"/>
        <v>-8</v>
      </c>
    </row>
    <row r="1399" customHeight="1" spans="1:17">
      <c r="B1399" s="2">
        <v>1398</v>
      </c>
      <c r="C1399" s="3">
        <f t="shared" si="110"/>
        <v>42.77</v>
      </c>
      <c r="D1399" s="2" t="s">
        <v>1836</v>
      </c>
      <c r="E1399" s="2">
        <v>52</v>
      </c>
      <c r="F1399" s="12">
        <v>60</v>
      </c>
      <c r="G1399" s="2">
        <v>37</v>
      </c>
      <c r="H1399" s="2" t="s">
        <v>41</v>
      </c>
      <c r="I1399" s="2" t="s">
        <v>33</v>
      </c>
      <c r="J1399" s="4" t="s">
        <v>148</v>
      </c>
      <c r="M1399" s="2">
        <f t="shared" si="106"/>
        <v>115</v>
      </c>
      <c r="N1399" s="2">
        <f t="shared" si="107"/>
        <v>52.1</v>
      </c>
      <c r="O1399" s="2">
        <f>IF(M1399="","",IF(M1399&gt;=1000,95,IF(M1399&lt;=12.5,50,LOOKUP(M1399,{12.5,15,20,30,45,60,75,105,115,150,200,225,250,600,1000},{50,55,60,62,65,68,70,72,75,80,82,85,87,90,95})+(M1399-LOOKUP(M1399,{12.5,15,20,30,45,60,75,105,115,150,200,225,250,600},{12.5,15,20,30,45,60,75,105,115,150,200,225,250,600}))/(LOOKUP(M1399,{12.5,15,20,30,45,60,75,105,115,150,200,225,250,600,1000},{15,20,30,45,60,75,105,115,150,200,225,250,600,1000,1000})-LOOKUP(M1399,{12.5,15,20,30,45,60,75,105,115,150,200,225,250,600},{12.5,15,20,30,45,60,75,105,115,150,200,225,250,600}))*(LOOKUP(M1399,{12.5,15,20,30,45,60,75,105,115,150,200,225,250,600,1000},{55,60,62,65,68,70,72,75,80,82,85,87,90,95,95})-LOOKUP(M1399,{12.5,15,20,30,45,60,75,105,115,150,200,225,250,600,1000},{50,55,60,62,65,68,70,72,75,80,82,85,87,90,95})))))</f>
        <v>75</v>
      </c>
      <c r="P1399" s="2">
        <f t="shared" si="108"/>
        <v>-23</v>
      </c>
      <c r="Q1399" s="2">
        <f t="shared" si="109"/>
        <v>-9.33</v>
      </c>
    </row>
    <row r="1400" customHeight="1" spans="1:17">
      <c r="B1400" s="2">
        <v>1399</v>
      </c>
      <c r="C1400" s="3">
        <f t="shared" si="110"/>
        <v>42.63</v>
      </c>
      <c r="D1400" s="2" t="s">
        <v>1837</v>
      </c>
      <c r="E1400" s="2">
        <v>51</v>
      </c>
      <c r="F1400" s="2">
        <v>55</v>
      </c>
      <c r="G1400" s="2">
        <v>56</v>
      </c>
      <c r="H1400" s="2" t="s">
        <v>41</v>
      </c>
      <c r="I1400" s="2" t="s">
        <v>128</v>
      </c>
      <c r="J1400" s="4" t="s">
        <v>148</v>
      </c>
      <c r="M1400" s="2">
        <f t="shared" si="106"/>
        <v>115</v>
      </c>
      <c r="N1400" s="2">
        <f t="shared" si="107"/>
        <v>52.3</v>
      </c>
      <c r="O1400" s="2">
        <f>IF(M1400="","",IF(M1400&gt;=1000,95,IF(M1400&lt;=12.5,50,LOOKUP(M1400,{12.5,15,20,30,45,60,75,105,115,150,200,225,250,600,1000},{50,55,60,62,65,68,70,72,75,80,82,85,87,90,95})+(M1400-LOOKUP(M1400,{12.5,15,20,30,45,60,75,105,115,150,200,225,250,600},{12.5,15,20,30,45,60,75,105,115,150,200,225,250,600}))/(LOOKUP(M1400,{12.5,15,20,30,45,60,75,105,115,150,200,225,250,600,1000},{15,20,30,45,60,75,105,115,150,200,225,250,600,1000,1000})-LOOKUP(M1400,{12.5,15,20,30,45,60,75,105,115,150,200,225,250,600},{12.5,15,20,30,45,60,75,105,115,150,200,225,250,600}))*(LOOKUP(M1400,{12.5,15,20,30,45,60,75,105,115,150,200,225,250,600,1000},{55,60,62,65,68,70,72,75,80,82,85,87,90,95,95})-LOOKUP(M1400,{12.5,15,20,30,45,60,75,105,115,150,200,225,250,600,1000},{50,55,60,62,65,68,70,72,75,80,82,85,87,90,95})))))</f>
        <v>75</v>
      </c>
      <c r="P1400" s="2">
        <f t="shared" si="108"/>
        <v>-24</v>
      </c>
      <c r="Q1400" s="2">
        <f t="shared" si="109"/>
        <v>-9.67</v>
      </c>
    </row>
    <row r="1401" customHeight="1" spans="1:17">
      <c r="B1401" s="2">
        <v>1400</v>
      </c>
      <c r="C1401" s="3">
        <f t="shared" si="110"/>
        <v>42.6</v>
      </c>
      <c r="D1401" s="2" t="s">
        <v>1838</v>
      </c>
      <c r="E1401" s="2">
        <v>48</v>
      </c>
      <c r="F1401" s="12">
        <v>60</v>
      </c>
      <c r="G1401" s="12">
        <v>60</v>
      </c>
      <c r="H1401" s="2" t="s">
        <v>41</v>
      </c>
      <c r="I1401" s="2" t="s">
        <v>128</v>
      </c>
      <c r="J1401" s="4" t="s">
        <v>24</v>
      </c>
      <c r="M1401" s="2">
        <f t="shared" si="106"/>
        <v>75</v>
      </c>
      <c r="N1401" s="2">
        <f t="shared" si="107"/>
        <v>51.6</v>
      </c>
      <c r="O1401" s="2">
        <f>IF(M1401="","",IF(M1401&gt;=1000,95,IF(M1401&lt;=12.5,50,LOOKUP(M1401,{12.5,15,20,30,45,60,75,105,115,150,200,225,250,600,1000},{50,55,60,62,65,68,70,72,75,80,82,85,87,90,95})+(M1401-LOOKUP(M1401,{12.5,15,20,30,45,60,75,105,115,150,200,225,250,600},{12.5,15,20,30,45,60,75,105,115,150,200,225,250,600}))/(LOOKUP(M1401,{12.5,15,20,30,45,60,75,105,115,150,200,225,250,600,1000},{15,20,30,45,60,75,105,115,150,200,225,250,600,1000,1000})-LOOKUP(M1401,{12.5,15,20,30,45,60,75,105,115,150,200,225,250,600},{12.5,15,20,30,45,60,75,105,115,150,200,225,250,600}))*(LOOKUP(M1401,{12.5,15,20,30,45,60,75,105,115,150,200,225,250,600,1000},{55,60,62,65,68,70,72,75,80,82,85,87,90,95,95})-LOOKUP(M1401,{12.5,15,20,30,45,60,75,105,115,150,200,225,250,600,1000},{50,55,60,62,65,68,70,72,75,80,82,85,87,90,95})))))</f>
        <v>70</v>
      </c>
      <c r="P1401" s="2">
        <f t="shared" si="108"/>
        <v>-22</v>
      </c>
      <c r="Q1401" s="2">
        <f t="shared" si="109"/>
        <v>-9</v>
      </c>
    </row>
    <row r="1402" customHeight="1" spans="1:17">
      <c r="B1402" s="2">
        <v>1401</v>
      </c>
      <c r="C1402" s="3">
        <f t="shared" si="110"/>
        <v>42.57</v>
      </c>
      <c r="D1402" s="2" t="s">
        <v>1839</v>
      </c>
      <c r="E1402" s="2">
        <v>51</v>
      </c>
      <c r="F1402" s="2">
        <v>59</v>
      </c>
      <c r="G1402" s="12">
        <v>64</v>
      </c>
      <c r="H1402" s="2" t="s">
        <v>17</v>
      </c>
      <c r="I1402" s="2" t="s">
        <v>104</v>
      </c>
      <c r="J1402" s="4" t="s">
        <v>59</v>
      </c>
      <c r="M1402" s="2">
        <f t="shared" si="106"/>
        <v>150</v>
      </c>
      <c r="N1402" s="2">
        <f t="shared" si="107"/>
        <v>53.9</v>
      </c>
      <c r="O1402" s="2">
        <f>IF(M1402="","",IF(M1402&gt;=1000,95,IF(M1402&lt;=12.5,50,LOOKUP(M1402,{12.5,15,20,30,45,60,75,105,115,150,200,225,250,600,1000},{50,55,60,62,65,68,70,72,75,80,82,85,87,90,95})+(M1402-LOOKUP(M1402,{12.5,15,20,30,45,60,75,105,115,150,200,225,250,600},{12.5,15,20,30,45,60,75,105,115,150,200,225,250,600}))/(LOOKUP(M1402,{12.5,15,20,30,45,60,75,105,115,150,200,225,250,600,1000},{15,20,30,45,60,75,105,115,150,200,225,250,600,1000,1000})-LOOKUP(M1402,{12.5,15,20,30,45,60,75,105,115,150,200,225,250,600},{12.5,15,20,30,45,60,75,105,115,150,200,225,250,600}))*(LOOKUP(M1402,{12.5,15,20,30,45,60,75,105,115,150,200,225,250,600,1000},{55,60,62,65,68,70,72,75,80,82,85,87,90,95,95})-LOOKUP(M1402,{12.5,15,20,30,45,60,75,105,115,150,200,225,250,600,1000},{50,55,60,62,65,68,70,72,75,80,82,85,87,90,95})))))</f>
        <v>80</v>
      </c>
      <c r="P1402" s="2">
        <f t="shared" si="108"/>
        <v>-29</v>
      </c>
      <c r="Q1402" s="2">
        <f t="shared" si="109"/>
        <v>-11.33</v>
      </c>
    </row>
    <row r="1403" customHeight="1" spans="1:17">
      <c r="B1403" s="2">
        <v>1402</v>
      </c>
      <c r="C1403" s="3">
        <f t="shared" si="110"/>
        <v>42.56</v>
      </c>
      <c r="D1403" s="2" t="s">
        <v>1840</v>
      </c>
      <c r="E1403" s="2">
        <v>48</v>
      </c>
      <c r="F1403" s="12">
        <v>69</v>
      </c>
      <c r="G1403" s="2">
        <v>35</v>
      </c>
      <c r="H1403" s="2" t="s">
        <v>1264</v>
      </c>
      <c r="I1403" s="2" t="s">
        <v>33</v>
      </c>
      <c r="J1403" s="4" t="s">
        <v>34</v>
      </c>
      <c r="M1403" s="2">
        <f t="shared" si="106"/>
        <v>60</v>
      </c>
      <c r="N1403" s="2">
        <f t="shared" si="107"/>
        <v>50.9</v>
      </c>
      <c r="O1403" s="2">
        <f>IF(M1403="","",IF(M1403&gt;=1000,95,IF(M1403&lt;=12.5,50,LOOKUP(M1403,{12.5,15,20,30,45,60,75,105,115,150,200,225,250,600,1000},{50,55,60,62,65,68,70,72,75,80,82,85,87,90,95})+(M1403-LOOKUP(M1403,{12.5,15,20,30,45,60,75,105,115,150,200,225,250,600},{12.5,15,20,30,45,60,75,105,115,150,200,225,250,600}))/(LOOKUP(M1403,{12.5,15,20,30,45,60,75,105,115,150,200,225,250,600,1000},{15,20,30,45,60,75,105,115,150,200,225,250,600,1000,1000})-LOOKUP(M1403,{12.5,15,20,30,45,60,75,105,115,150,200,225,250,600},{12.5,15,20,30,45,60,75,105,115,150,200,225,250,600}))*(LOOKUP(M1403,{12.5,15,20,30,45,60,75,105,115,150,200,225,250,600,1000},{55,60,62,65,68,70,72,75,80,82,85,87,90,95,95})-LOOKUP(M1403,{12.5,15,20,30,45,60,75,105,115,150,200,225,250,600,1000},{50,55,60,62,65,68,70,72,75,80,82,85,87,90,95})))))</f>
        <v>68</v>
      </c>
      <c r="P1403" s="2">
        <f t="shared" si="108"/>
        <v>-20</v>
      </c>
      <c r="Q1403" s="2">
        <f t="shared" si="109"/>
        <v>-8.34</v>
      </c>
    </row>
    <row r="1404" customHeight="1" spans="1:17">
      <c r="B1404" s="2">
        <v>1403</v>
      </c>
      <c r="C1404" s="3">
        <f t="shared" si="110"/>
        <v>42.5</v>
      </c>
      <c r="D1404" s="2" t="s">
        <v>1841</v>
      </c>
      <c r="E1404" s="2">
        <v>52</v>
      </c>
      <c r="F1404" s="12">
        <v>60</v>
      </c>
      <c r="G1404" s="2">
        <v>51</v>
      </c>
      <c r="H1404" s="2" t="s">
        <v>723</v>
      </c>
      <c r="I1404" s="2" t="s">
        <v>612</v>
      </c>
      <c r="J1404" s="4" t="s">
        <v>59</v>
      </c>
      <c r="M1404" s="2">
        <f t="shared" si="106"/>
        <v>150</v>
      </c>
      <c r="N1404" s="2">
        <f t="shared" si="107"/>
        <v>53.5</v>
      </c>
      <c r="O1404" s="2">
        <f>IF(M1404="","",IF(M1404&gt;=1000,95,IF(M1404&lt;=12.5,50,LOOKUP(M1404,{12.5,15,20,30,45,60,75,105,115,150,200,225,250,600,1000},{50,55,60,62,65,68,70,72,75,80,82,85,87,90,95})+(M1404-LOOKUP(M1404,{12.5,15,20,30,45,60,75,105,115,150,200,225,250,600},{12.5,15,20,30,45,60,75,105,115,150,200,225,250,600}))/(LOOKUP(M1404,{12.5,15,20,30,45,60,75,105,115,150,200,225,250,600,1000},{15,20,30,45,60,75,105,115,150,200,225,250,600,1000,1000})-LOOKUP(M1404,{12.5,15,20,30,45,60,75,105,115,150,200,225,250,600},{12.5,15,20,30,45,60,75,105,115,150,200,225,250,600}))*(LOOKUP(M1404,{12.5,15,20,30,45,60,75,105,115,150,200,225,250,600,1000},{55,60,62,65,68,70,72,75,80,82,85,87,90,95,95})-LOOKUP(M1404,{12.5,15,20,30,45,60,75,105,115,150,200,225,250,600,1000},{50,55,60,62,65,68,70,72,75,80,82,85,87,90,95})))))</f>
        <v>80</v>
      </c>
      <c r="P1404" s="2">
        <f t="shared" si="108"/>
        <v>-28</v>
      </c>
      <c r="Q1404" s="2">
        <f t="shared" si="109"/>
        <v>-11</v>
      </c>
    </row>
    <row r="1405" customHeight="1" spans="1:17">
      <c r="B1405" s="2">
        <v>1404</v>
      </c>
      <c r="C1405" s="3">
        <f t="shared" si="110"/>
        <v>42.5</v>
      </c>
      <c r="D1405" s="2" t="s">
        <v>1842</v>
      </c>
      <c r="E1405" s="2">
        <v>51</v>
      </c>
      <c r="F1405" s="2">
        <v>48</v>
      </c>
      <c r="G1405" s="2">
        <v>52</v>
      </c>
      <c r="H1405" s="2" t="s">
        <v>166</v>
      </c>
      <c r="I1405" s="2" t="s">
        <v>23</v>
      </c>
      <c r="J1405" s="4" t="s">
        <v>24</v>
      </c>
      <c r="M1405" s="2">
        <f t="shared" si="106"/>
        <v>75</v>
      </c>
      <c r="N1405" s="2">
        <f t="shared" si="107"/>
        <v>50.5</v>
      </c>
      <c r="O1405" s="2">
        <f>IF(M1405="","",IF(M1405&gt;=1000,95,IF(M1405&lt;=12.5,50,LOOKUP(M1405,{12.5,15,20,30,45,60,75,105,115,150,200,225,250,600,1000},{50,55,60,62,65,68,70,72,75,80,82,85,87,90,95})+(M1405-LOOKUP(M1405,{12.5,15,20,30,45,60,75,105,115,150,200,225,250,600},{12.5,15,20,30,45,60,75,105,115,150,200,225,250,600}))/(LOOKUP(M1405,{12.5,15,20,30,45,60,75,105,115,150,200,225,250,600,1000},{15,20,30,45,60,75,105,115,150,200,225,250,600,1000,1000})-LOOKUP(M1405,{12.5,15,20,30,45,60,75,105,115,150,200,225,250,600},{12.5,15,20,30,45,60,75,105,115,150,200,225,250,600}))*(LOOKUP(M1405,{12.5,15,20,30,45,60,75,105,115,150,200,225,250,600,1000},{55,60,62,65,68,70,72,75,80,82,85,87,90,95,95})-LOOKUP(M1405,{12.5,15,20,30,45,60,75,105,115,150,200,225,250,600,1000},{50,55,60,62,65,68,70,72,75,80,82,85,87,90,95})))))</f>
        <v>70</v>
      </c>
      <c r="P1405" s="2">
        <f t="shared" si="108"/>
        <v>-19</v>
      </c>
      <c r="Q1405" s="2">
        <f t="shared" si="109"/>
        <v>-8</v>
      </c>
    </row>
    <row r="1406" customHeight="1" spans="1:17">
      <c r="B1406" s="2">
        <v>1405</v>
      </c>
      <c r="C1406" s="3">
        <f t="shared" si="110"/>
        <v>42.37</v>
      </c>
      <c r="D1406" s="2" t="s">
        <v>1843</v>
      </c>
      <c r="E1406" s="2">
        <v>46</v>
      </c>
      <c r="F1406" s="9">
        <v>73</v>
      </c>
      <c r="G1406" s="12">
        <v>69</v>
      </c>
      <c r="H1406" s="2" t="s">
        <v>113</v>
      </c>
      <c r="I1406" s="2" t="s">
        <v>33</v>
      </c>
      <c r="J1406" s="4" t="s">
        <v>148</v>
      </c>
      <c r="M1406" s="2">
        <f t="shared" si="106"/>
        <v>115</v>
      </c>
      <c r="N1406" s="2">
        <f t="shared" si="107"/>
        <v>53.7</v>
      </c>
      <c r="O1406" s="2">
        <f>IF(M1406="","",IF(M1406&gt;=1000,95,IF(M1406&lt;=12.5,50,LOOKUP(M1406,{12.5,15,20,30,45,60,75,105,115,150,200,225,250,600,1000},{50,55,60,62,65,68,70,72,75,80,82,85,87,90,95})+(M1406-LOOKUP(M1406,{12.5,15,20,30,45,60,75,105,115,150,200,225,250,600},{12.5,15,20,30,45,60,75,105,115,150,200,225,250,600}))/(LOOKUP(M1406,{12.5,15,20,30,45,60,75,105,115,150,200,225,250,600,1000},{15,20,30,45,60,75,105,115,150,200,225,250,600,1000,1000})-LOOKUP(M1406,{12.5,15,20,30,45,60,75,105,115,150,200,225,250,600},{12.5,15,20,30,45,60,75,105,115,150,200,225,250,600}))*(LOOKUP(M1406,{12.5,15,20,30,45,60,75,105,115,150,200,225,250,600,1000},{55,60,62,65,68,70,72,75,80,82,85,87,90,95,95})-LOOKUP(M1406,{12.5,15,20,30,45,60,75,105,115,150,200,225,250,600,1000},{50,55,60,62,65,68,70,72,75,80,82,85,87,90,95})))))</f>
        <v>75</v>
      </c>
      <c r="P1406" s="2">
        <f t="shared" si="108"/>
        <v>-29</v>
      </c>
      <c r="Q1406" s="2">
        <f t="shared" si="109"/>
        <v>-11.33</v>
      </c>
    </row>
    <row r="1407" customHeight="1" spans="1:17">
      <c r="B1407" s="2">
        <v>1406</v>
      </c>
      <c r="C1407" s="3">
        <f t="shared" si="110"/>
        <v>42.26</v>
      </c>
      <c r="D1407" s="2" t="s">
        <v>1844</v>
      </c>
      <c r="E1407" s="2">
        <v>48</v>
      </c>
      <c r="F1407" s="2">
        <v>54</v>
      </c>
      <c r="G1407" s="2">
        <v>52</v>
      </c>
      <c r="H1407" s="2" t="s">
        <v>37</v>
      </c>
      <c r="I1407" s="2" t="s">
        <v>128</v>
      </c>
      <c r="J1407" s="4" t="s">
        <v>38</v>
      </c>
      <c r="M1407" s="2">
        <f t="shared" si="106"/>
        <v>45</v>
      </c>
      <c r="N1407" s="2">
        <f t="shared" si="107"/>
        <v>49.6</v>
      </c>
      <c r="O1407" s="2">
        <f>IF(M1407="","",IF(M1407&gt;=1000,95,IF(M1407&lt;=12.5,50,LOOKUP(M1407,{12.5,15,20,30,45,60,75,105,115,150,200,225,250,600,1000},{50,55,60,62,65,68,70,72,75,80,82,85,87,90,95})+(M1407-LOOKUP(M1407,{12.5,15,20,30,45,60,75,105,115,150,200,225,250,600},{12.5,15,20,30,45,60,75,105,115,150,200,225,250,600}))/(LOOKUP(M1407,{12.5,15,20,30,45,60,75,105,115,150,200,225,250,600,1000},{15,20,30,45,60,75,105,115,150,200,225,250,600,1000,1000})-LOOKUP(M1407,{12.5,15,20,30,45,60,75,105,115,150,200,225,250,600},{12.5,15,20,30,45,60,75,105,115,150,200,225,250,600}))*(LOOKUP(M1407,{12.5,15,20,30,45,60,75,105,115,150,200,225,250,600,1000},{55,60,62,65,68,70,72,75,80,82,85,87,90,95,95})-LOOKUP(M1407,{12.5,15,20,30,45,60,75,105,115,150,200,225,250,600,1000},{50,55,60,62,65,68,70,72,75,80,82,85,87,90,95})))))</f>
        <v>65</v>
      </c>
      <c r="P1407" s="2">
        <f t="shared" si="108"/>
        <v>-17</v>
      </c>
      <c r="Q1407" s="2">
        <f t="shared" si="109"/>
        <v>-7.34</v>
      </c>
    </row>
    <row r="1408" customHeight="1" spans="1:17">
      <c r="B1408" s="2">
        <v>1407</v>
      </c>
      <c r="C1408" s="3">
        <f t="shared" si="110"/>
        <v>42.23</v>
      </c>
      <c r="D1408" s="2" t="s">
        <v>1845</v>
      </c>
      <c r="E1408" s="2">
        <v>52</v>
      </c>
      <c r="F1408" s="2">
        <v>55</v>
      </c>
      <c r="G1408" s="12">
        <v>65</v>
      </c>
      <c r="H1408" s="2" t="s">
        <v>421</v>
      </c>
      <c r="I1408" s="2" t="s">
        <v>154</v>
      </c>
      <c r="J1408" s="4" t="s">
        <v>51</v>
      </c>
      <c r="M1408" s="2">
        <f t="shared" si="106"/>
        <v>200</v>
      </c>
      <c r="N1408" s="2">
        <f t="shared" si="107"/>
        <v>53.9</v>
      </c>
      <c r="O1408" s="2">
        <f>IF(M1408="","",IF(M1408&gt;=1000,95,IF(M1408&lt;=12.5,50,LOOKUP(M1408,{12.5,15,20,30,45,60,75,105,115,150,200,225,250,600,1000},{50,55,60,62,65,68,70,72,75,80,82,85,87,90,95})+(M1408-LOOKUP(M1408,{12.5,15,20,30,45,60,75,105,115,150,200,225,250,600},{12.5,15,20,30,45,60,75,105,115,150,200,225,250,600}))/(LOOKUP(M1408,{12.5,15,20,30,45,60,75,105,115,150,200,225,250,600,1000},{15,20,30,45,60,75,105,115,150,200,225,250,600,1000,1000})-LOOKUP(M1408,{12.5,15,20,30,45,60,75,105,115,150,200,225,250,600},{12.5,15,20,30,45,60,75,105,115,150,200,225,250,600}))*(LOOKUP(M1408,{12.5,15,20,30,45,60,75,105,115,150,200,225,250,600,1000},{55,60,62,65,68,70,72,75,80,82,85,87,90,95,95})-LOOKUP(M1408,{12.5,15,20,30,45,60,75,105,115,150,200,225,250,600,1000},{50,55,60,62,65,68,70,72,75,80,82,85,87,90,95})))))</f>
        <v>82</v>
      </c>
      <c r="P1408" s="2">
        <f t="shared" si="108"/>
        <v>-30</v>
      </c>
      <c r="Q1408" s="2">
        <f t="shared" si="109"/>
        <v>-11.67</v>
      </c>
    </row>
    <row r="1409" customHeight="1" spans="1:17">
      <c r="B1409" s="2">
        <v>1408</v>
      </c>
      <c r="C1409" s="3">
        <f t="shared" si="110"/>
        <v>42.2</v>
      </c>
      <c r="D1409" s="2" t="s">
        <v>1846</v>
      </c>
      <c r="E1409" s="2">
        <v>45</v>
      </c>
      <c r="F1409" s="2">
        <v>55</v>
      </c>
      <c r="G1409" s="2">
        <v>47</v>
      </c>
      <c r="H1409" s="2" t="s">
        <v>41</v>
      </c>
      <c r="I1409" s="2" t="s">
        <v>28</v>
      </c>
      <c r="J1409" s="4" t="s">
        <v>29</v>
      </c>
      <c r="M1409" s="2">
        <f t="shared" si="106"/>
        <v>15</v>
      </c>
      <c r="N1409" s="2">
        <f t="shared" si="107"/>
        <v>47.2</v>
      </c>
      <c r="O1409" s="2">
        <f>IF(M1409="","",IF(M1409&gt;=1000,95,IF(M1409&lt;=12.5,50,LOOKUP(M1409,{12.5,15,20,30,45,60,75,105,115,150,200,225,250,600,1000},{50,55,60,62,65,68,70,72,75,80,82,85,87,90,95})+(M1409-LOOKUP(M1409,{12.5,15,20,30,45,60,75,105,115,150,200,225,250,600},{12.5,15,20,30,45,60,75,105,115,150,200,225,250,600}))/(LOOKUP(M1409,{12.5,15,20,30,45,60,75,105,115,150,200,225,250,600,1000},{15,20,30,45,60,75,105,115,150,200,225,250,600,1000,1000})-LOOKUP(M1409,{12.5,15,20,30,45,60,75,105,115,150,200,225,250,600},{12.5,15,20,30,45,60,75,105,115,150,200,225,250,600}))*(LOOKUP(M1409,{12.5,15,20,30,45,60,75,105,115,150,200,225,250,600,1000},{55,60,62,65,68,70,72,75,80,82,85,87,90,95,95})-LOOKUP(M1409,{12.5,15,20,30,45,60,75,105,115,150,200,225,250,600,1000},{50,55,60,62,65,68,70,72,75,80,82,85,87,90,95})))))</f>
        <v>55</v>
      </c>
      <c r="P1409" s="2">
        <f t="shared" si="108"/>
        <v>-10</v>
      </c>
      <c r="Q1409" s="2">
        <f t="shared" si="109"/>
        <v>-5</v>
      </c>
    </row>
    <row r="1410" customHeight="1" spans="1:17">
      <c r="B1410" s="2">
        <v>1409</v>
      </c>
      <c r="C1410" s="3">
        <f t="shared" si="110"/>
        <v>42</v>
      </c>
      <c r="D1410" s="2" t="s">
        <v>1847</v>
      </c>
      <c r="E1410" s="2">
        <v>49</v>
      </c>
      <c r="F1410" s="2">
        <v>52</v>
      </c>
      <c r="G1410" s="2">
        <v>53</v>
      </c>
      <c r="H1410" s="2" t="s">
        <v>997</v>
      </c>
      <c r="I1410" s="2" t="s">
        <v>63</v>
      </c>
      <c r="J1410" s="4" t="s">
        <v>34</v>
      </c>
      <c r="M1410" s="2">
        <f t="shared" ref="M1410:M1473" si="111">IF(J1410="1000+",1000,(LEFT(J1410,FIND("-",J1410)-1)+RIGHT(J1410,LEN(J1410)-FIND("-",J1410)))/2)</f>
        <v>60</v>
      </c>
      <c r="N1410" s="2">
        <f t="shared" ref="N1410:N1473" si="112">ROUND(E1410*0.7+F1410*0.2+G1410*0.1,2)</f>
        <v>50</v>
      </c>
      <c r="O1410" s="2">
        <f>IF(M1410="","",IF(M1410&gt;=1000,95,IF(M1410&lt;=12.5,50,LOOKUP(M1410,{12.5,15,20,30,45,60,75,105,115,150,200,225,250,600,1000},{50,55,60,62,65,68,70,72,75,80,82,85,87,90,95})+(M1410-LOOKUP(M1410,{12.5,15,20,30,45,60,75,105,115,150,200,225,250,600},{12.5,15,20,30,45,60,75,105,115,150,200,225,250,600}))/(LOOKUP(M1410,{12.5,15,20,30,45,60,75,105,115,150,200,225,250,600,1000},{15,20,30,45,60,75,105,115,150,200,225,250,600,1000,1000})-LOOKUP(M1410,{12.5,15,20,30,45,60,75,105,115,150,200,225,250,600},{12.5,15,20,30,45,60,75,105,115,150,200,225,250,600}))*(LOOKUP(M1410,{12.5,15,20,30,45,60,75,105,115,150,200,225,250,600,1000},{55,60,62,65,68,70,72,75,80,82,85,87,90,95,95})-LOOKUP(M1410,{12.5,15,20,30,45,60,75,105,115,150,200,225,250,600,1000},{50,55,60,62,65,68,70,72,75,80,82,85,87,90,95})))))</f>
        <v>68</v>
      </c>
      <c r="P1410" s="2">
        <f t="shared" si="108"/>
        <v>-19</v>
      </c>
      <c r="Q1410" s="2">
        <f t="shared" si="109"/>
        <v>-8</v>
      </c>
    </row>
    <row r="1411" customHeight="1" spans="1:17">
      <c r="B1411" s="2">
        <v>1410</v>
      </c>
      <c r="C1411" s="3">
        <f t="shared" si="110"/>
        <v>41.87</v>
      </c>
      <c r="D1411" s="2" t="s">
        <v>1848</v>
      </c>
      <c r="E1411" s="2">
        <v>52</v>
      </c>
      <c r="F1411" s="12">
        <v>62</v>
      </c>
      <c r="G1411" s="12">
        <v>64</v>
      </c>
      <c r="H1411" s="2" t="s">
        <v>367</v>
      </c>
      <c r="I1411" s="2" t="s">
        <v>183</v>
      </c>
      <c r="J1411" s="4" t="s">
        <v>123</v>
      </c>
      <c r="M1411" s="2">
        <f t="shared" si="111"/>
        <v>250</v>
      </c>
      <c r="N1411" s="2">
        <f t="shared" si="112"/>
        <v>55.2</v>
      </c>
      <c r="O1411" s="2">
        <f>IF(M1411="","",IF(M1411&gt;=1000,95,IF(M1411&lt;=12.5,50,LOOKUP(M1411,{12.5,15,20,30,45,60,75,105,115,150,200,225,250,600,1000},{50,55,60,62,65,68,70,72,75,80,82,85,87,90,95})+(M1411-LOOKUP(M1411,{12.5,15,20,30,45,60,75,105,115,150,200,225,250,600},{12.5,15,20,30,45,60,75,105,115,150,200,225,250,600}))/(LOOKUP(M1411,{12.5,15,20,30,45,60,75,105,115,150,200,225,250,600,1000},{15,20,30,45,60,75,105,115,150,200,225,250,600,1000,1000})-LOOKUP(M1411,{12.5,15,20,30,45,60,75,105,115,150,200,225,250,600},{12.5,15,20,30,45,60,75,105,115,150,200,225,250,600}))*(LOOKUP(M1411,{12.5,15,20,30,45,60,75,105,115,150,200,225,250,600,1000},{55,60,62,65,68,70,72,75,80,82,85,87,90,95,95})-LOOKUP(M1411,{12.5,15,20,30,45,60,75,105,115,150,200,225,250,600,1000},{50,55,60,62,65,68,70,72,75,80,82,85,87,90,95})))))</f>
        <v>87</v>
      </c>
      <c r="P1411" s="2">
        <f t="shared" si="108"/>
        <v>-35</v>
      </c>
      <c r="Q1411" s="2">
        <f t="shared" si="109"/>
        <v>-13.33</v>
      </c>
    </row>
    <row r="1412" customHeight="1" spans="1:17">
      <c r="A1412" s="2">
        <v>2026</v>
      </c>
      <c r="B1412" s="2">
        <v>1411</v>
      </c>
      <c r="C1412" s="3">
        <f t="shared" si="110"/>
        <v>41.83</v>
      </c>
      <c r="D1412" s="2" t="s">
        <v>1849</v>
      </c>
      <c r="E1412" s="2">
        <v>50</v>
      </c>
      <c r="F1412" s="2">
        <v>50</v>
      </c>
      <c r="G1412" s="2">
        <v>45</v>
      </c>
      <c r="H1412" s="2" t="s">
        <v>41</v>
      </c>
      <c r="I1412" s="2" t="s">
        <v>63</v>
      </c>
      <c r="J1412" s="4" t="s">
        <v>34</v>
      </c>
      <c r="M1412" s="2">
        <f t="shared" si="111"/>
        <v>60</v>
      </c>
      <c r="N1412" s="2">
        <f t="shared" si="112"/>
        <v>49.5</v>
      </c>
      <c r="O1412" s="2">
        <f>IF(M1412="","",IF(M1412&gt;=1000,95,IF(M1412&lt;=12.5,50,LOOKUP(M1412,{12.5,15,20,30,45,60,75,105,115,150,200,225,250,600,1000},{50,55,60,62,65,68,70,72,75,80,82,85,87,90,95})+(M1412-LOOKUP(M1412,{12.5,15,20,30,45,60,75,105,115,150,200,225,250,600},{12.5,15,20,30,45,60,75,105,115,150,200,225,250,600}))/(LOOKUP(M1412,{12.5,15,20,30,45,60,75,105,115,150,200,225,250,600,1000},{15,20,30,45,60,75,105,115,150,200,225,250,600,1000,1000})-LOOKUP(M1412,{12.5,15,20,30,45,60,75,105,115,150,200,225,250,600},{12.5,15,20,30,45,60,75,105,115,150,200,225,250,600}))*(LOOKUP(M1412,{12.5,15,20,30,45,60,75,105,115,150,200,225,250,600,1000},{55,60,62,65,68,70,72,75,80,82,85,87,90,95,95})-LOOKUP(M1412,{12.5,15,20,30,45,60,75,105,115,150,200,225,250,600,1000},{50,55,60,62,65,68,70,72,75,80,82,85,87,90,95})))))</f>
        <v>68</v>
      </c>
      <c r="P1412" s="2">
        <f t="shared" si="108"/>
        <v>-18</v>
      </c>
      <c r="Q1412" s="2">
        <f t="shared" si="109"/>
        <v>-7.67</v>
      </c>
    </row>
    <row r="1413" customHeight="1" spans="1:17">
      <c r="A1413" s="2">
        <v>2026</v>
      </c>
      <c r="B1413" s="2">
        <v>1412</v>
      </c>
      <c r="C1413" s="3">
        <f t="shared" si="110"/>
        <v>41.83</v>
      </c>
      <c r="D1413" s="2" t="s">
        <v>1850</v>
      </c>
      <c r="E1413" s="2">
        <v>50</v>
      </c>
      <c r="F1413" s="2">
        <v>50</v>
      </c>
      <c r="G1413" s="2">
        <v>45</v>
      </c>
      <c r="H1413" s="2" t="s">
        <v>41</v>
      </c>
      <c r="I1413" s="2" t="s">
        <v>63</v>
      </c>
      <c r="J1413" s="4" t="s">
        <v>34</v>
      </c>
      <c r="M1413" s="2">
        <f t="shared" si="111"/>
        <v>60</v>
      </c>
      <c r="N1413" s="2">
        <f t="shared" si="112"/>
        <v>49.5</v>
      </c>
      <c r="O1413" s="2">
        <f>IF(M1413="","",IF(M1413&gt;=1000,95,IF(M1413&lt;=12.5,50,LOOKUP(M1413,{12.5,15,20,30,45,60,75,105,115,150,200,225,250,600,1000},{50,55,60,62,65,68,70,72,75,80,82,85,87,90,95})+(M1413-LOOKUP(M1413,{12.5,15,20,30,45,60,75,105,115,150,200,225,250,600},{12.5,15,20,30,45,60,75,105,115,150,200,225,250,600}))/(LOOKUP(M1413,{12.5,15,20,30,45,60,75,105,115,150,200,225,250,600,1000},{15,20,30,45,60,75,105,115,150,200,225,250,600,1000,1000})-LOOKUP(M1413,{12.5,15,20,30,45,60,75,105,115,150,200,225,250,600},{12.5,15,20,30,45,60,75,105,115,150,200,225,250,600}))*(LOOKUP(M1413,{12.5,15,20,30,45,60,75,105,115,150,200,225,250,600,1000},{55,60,62,65,68,70,72,75,80,82,85,87,90,95,95})-LOOKUP(M1413,{12.5,15,20,30,45,60,75,105,115,150,200,225,250,600,1000},{50,55,60,62,65,68,70,72,75,80,82,85,87,90,95})))))</f>
        <v>68</v>
      </c>
      <c r="P1413" s="2">
        <f t="shared" si="108"/>
        <v>-18</v>
      </c>
      <c r="Q1413" s="2">
        <f t="shared" si="109"/>
        <v>-7.67</v>
      </c>
    </row>
    <row r="1414" customHeight="1" spans="1:17">
      <c r="A1414" s="2">
        <v>2026</v>
      </c>
      <c r="B1414" s="2">
        <v>1413</v>
      </c>
      <c r="C1414" s="3">
        <f t="shared" si="110"/>
        <v>41.8</v>
      </c>
      <c r="D1414" s="2" t="s">
        <v>1851</v>
      </c>
      <c r="E1414" s="2">
        <v>52</v>
      </c>
      <c r="F1414" s="2">
        <v>58</v>
      </c>
      <c r="G1414" s="2">
        <v>48</v>
      </c>
      <c r="H1414" s="2" t="s">
        <v>54</v>
      </c>
      <c r="I1414" s="2" t="s">
        <v>577</v>
      </c>
      <c r="J1414" s="4" t="s">
        <v>59</v>
      </c>
      <c r="M1414" s="2">
        <f t="shared" si="111"/>
        <v>150</v>
      </c>
      <c r="N1414" s="2">
        <f t="shared" si="112"/>
        <v>52.8</v>
      </c>
      <c r="O1414" s="2">
        <f>IF(M1414="","",IF(M1414&gt;=1000,95,IF(M1414&lt;=12.5,50,LOOKUP(M1414,{12.5,15,20,30,45,60,75,105,115,150,200,225,250,600,1000},{50,55,60,62,65,68,70,72,75,80,82,85,87,90,95})+(M1414-LOOKUP(M1414,{12.5,15,20,30,45,60,75,105,115,150,200,225,250,600},{12.5,15,20,30,45,60,75,105,115,150,200,225,250,600}))/(LOOKUP(M1414,{12.5,15,20,30,45,60,75,105,115,150,200,225,250,600,1000},{15,20,30,45,60,75,105,115,150,200,225,250,600,1000,1000})-LOOKUP(M1414,{12.5,15,20,30,45,60,75,105,115,150,200,225,250,600},{12.5,15,20,30,45,60,75,105,115,150,200,225,250,600}))*(LOOKUP(M1414,{12.5,15,20,30,45,60,75,105,115,150,200,225,250,600,1000},{55,60,62,65,68,70,72,75,80,82,85,87,90,95,95})-LOOKUP(M1414,{12.5,15,20,30,45,60,75,105,115,150,200,225,250,600,1000},{50,55,60,62,65,68,70,72,75,80,82,85,87,90,95})))))</f>
        <v>80</v>
      </c>
      <c r="P1414" s="2">
        <f t="shared" ref="P1414:P1477" si="113">E1414-O1414</f>
        <v>-28</v>
      </c>
      <c r="Q1414" s="2">
        <f t="shared" ref="Q1414:Q1477" si="114">ROUND(SIGN(P1414)*IF(ABS(P1414)&lt;=10,ABS(P1414)*0.5,IF(ABS(P1414)&lt;=15,5+(ABS(P1414)-10)*(1.67/5),6.67+(ABS(P1414)-15)*0.333)),2)</f>
        <v>-11</v>
      </c>
    </row>
    <row r="1415" customHeight="1" spans="1:17">
      <c r="B1415" s="2">
        <v>1414</v>
      </c>
      <c r="C1415" s="3">
        <f t="shared" si="110"/>
        <v>41.8</v>
      </c>
      <c r="D1415" s="2" t="s">
        <v>1852</v>
      </c>
      <c r="E1415" s="2">
        <v>50</v>
      </c>
      <c r="F1415" s="2">
        <v>50</v>
      </c>
      <c r="G1415" s="12">
        <v>68</v>
      </c>
      <c r="H1415" s="2" t="s">
        <v>175</v>
      </c>
      <c r="I1415" s="2" t="s">
        <v>1195</v>
      </c>
      <c r="J1415" s="4" t="s">
        <v>148</v>
      </c>
      <c r="M1415" s="2">
        <f t="shared" si="111"/>
        <v>115</v>
      </c>
      <c r="N1415" s="2">
        <f t="shared" si="112"/>
        <v>51.8</v>
      </c>
      <c r="O1415" s="2">
        <f>IF(M1415="","",IF(M1415&gt;=1000,95,IF(M1415&lt;=12.5,50,LOOKUP(M1415,{12.5,15,20,30,45,60,75,105,115,150,200,225,250,600,1000},{50,55,60,62,65,68,70,72,75,80,82,85,87,90,95})+(M1415-LOOKUP(M1415,{12.5,15,20,30,45,60,75,105,115,150,200,225,250,600},{12.5,15,20,30,45,60,75,105,115,150,200,225,250,600}))/(LOOKUP(M1415,{12.5,15,20,30,45,60,75,105,115,150,200,225,250,600,1000},{15,20,30,45,60,75,105,115,150,200,225,250,600,1000,1000})-LOOKUP(M1415,{12.5,15,20,30,45,60,75,105,115,150,200,225,250,600},{12.5,15,20,30,45,60,75,105,115,150,200,225,250,600}))*(LOOKUP(M1415,{12.5,15,20,30,45,60,75,105,115,150,200,225,250,600,1000},{55,60,62,65,68,70,72,75,80,82,85,87,90,95,95})-LOOKUP(M1415,{12.5,15,20,30,45,60,75,105,115,150,200,225,250,600,1000},{50,55,60,62,65,68,70,72,75,80,82,85,87,90,95})))))</f>
        <v>75</v>
      </c>
      <c r="P1415" s="2">
        <f t="shared" si="113"/>
        <v>-25</v>
      </c>
      <c r="Q1415" s="2">
        <f t="shared" si="114"/>
        <v>-10</v>
      </c>
    </row>
    <row r="1416" customHeight="1" spans="1:17">
      <c r="A1416" s="2">
        <v>2026</v>
      </c>
      <c r="B1416" s="2">
        <v>1415</v>
      </c>
      <c r="C1416" s="3">
        <f t="shared" si="110"/>
        <v>41.76</v>
      </c>
      <c r="D1416" s="2" t="s">
        <v>1853</v>
      </c>
      <c r="E1416" s="2">
        <v>51</v>
      </c>
      <c r="F1416" s="2">
        <v>50</v>
      </c>
      <c r="G1416" s="2">
        <v>34</v>
      </c>
      <c r="H1416" s="2" t="s">
        <v>54</v>
      </c>
      <c r="I1416" s="2" t="s">
        <v>321</v>
      </c>
      <c r="J1416" s="4" t="s">
        <v>34</v>
      </c>
      <c r="M1416" s="2">
        <f t="shared" si="111"/>
        <v>60</v>
      </c>
      <c r="N1416" s="2">
        <f t="shared" si="112"/>
        <v>49.1</v>
      </c>
      <c r="O1416" s="2">
        <f>IF(M1416="","",IF(M1416&gt;=1000,95,IF(M1416&lt;=12.5,50,LOOKUP(M1416,{12.5,15,20,30,45,60,75,105,115,150,200,225,250,600,1000},{50,55,60,62,65,68,70,72,75,80,82,85,87,90,95})+(M1416-LOOKUP(M1416,{12.5,15,20,30,45,60,75,105,115,150,200,225,250,600},{12.5,15,20,30,45,60,75,105,115,150,200,225,250,600}))/(LOOKUP(M1416,{12.5,15,20,30,45,60,75,105,115,150,200,225,250,600,1000},{15,20,30,45,60,75,105,115,150,200,225,250,600,1000,1000})-LOOKUP(M1416,{12.5,15,20,30,45,60,75,105,115,150,200,225,250,600},{12.5,15,20,30,45,60,75,105,115,150,200,225,250,600}))*(LOOKUP(M1416,{12.5,15,20,30,45,60,75,105,115,150,200,225,250,600,1000},{55,60,62,65,68,70,72,75,80,82,85,87,90,95,95})-LOOKUP(M1416,{12.5,15,20,30,45,60,75,105,115,150,200,225,250,600,1000},{50,55,60,62,65,68,70,72,75,80,82,85,87,90,95})))))</f>
        <v>68</v>
      </c>
      <c r="P1416" s="2">
        <f t="shared" si="113"/>
        <v>-17</v>
      </c>
      <c r="Q1416" s="2">
        <f t="shared" si="114"/>
        <v>-7.34</v>
      </c>
    </row>
    <row r="1417" customHeight="1" spans="1:17">
      <c r="B1417" s="2">
        <v>1416</v>
      </c>
      <c r="C1417" s="3">
        <f t="shared" si="110"/>
        <v>41.7</v>
      </c>
      <c r="D1417" s="2" t="s">
        <v>1854</v>
      </c>
      <c r="E1417" s="2">
        <v>46</v>
      </c>
      <c r="F1417" s="2">
        <v>55</v>
      </c>
      <c r="G1417" s="2">
        <v>55</v>
      </c>
      <c r="H1417" s="2" t="s">
        <v>1631</v>
      </c>
      <c r="I1417" s="2" t="s">
        <v>28</v>
      </c>
      <c r="J1417" s="4" t="s">
        <v>88</v>
      </c>
      <c r="M1417" s="2">
        <f t="shared" si="111"/>
        <v>30</v>
      </c>
      <c r="N1417" s="2">
        <f t="shared" si="112"/>
        <v>48.7</v>
      </c>
      <c r="O1417" s="2">
        <f>IF(M1417="","",IF(M1417&gt;=1000,95,IF(M1417&lt;=12.5,50,LOOKUP(M1417,{12.5,15,20,30,45,60,75,105,115,150,200,225,250,600,1000},{50,55,60,62,65,68,70,72,75,80,82,85,87,90,95})+(M1417-LOOKUP(M1417,{12.5,15,20,30,45,60,75,105,115,150,200,225,250,600},{12.5,15,20,30,45,60,75,105,115,150,200,225,250,600}))/(LOOKUP(M1417,{12.5,15,20,30,45,60,75,105,115,150,200,225,250,600,1000},{15,20,30,45,60,75,105,115,150,200,225,250,600,1000,1000})-LOOKUP(M1417,{12.5,15,20,30,45,60,75,105,115,150,200,225,250,600},{12.5,15,20,30,45,60,75,105,115,150,200,225,250,600}))*(LOOKUP(M1417,{12.5,15,20,30,45,60,75,105,115,150,200,225,250,600,1000},{55,60,62,65,68,70,72,75,80,82,85,87,90,95,95})-LOOKUP(M1417,{12.5,15,20,30,45,60,75,105,115,150,200,225,250,600,1000},{50,55,60,62,65,68,70,72,75,80,82,85,87,90,95})))))</f>
        <v>62</v>
      </c>
      <c r="P1417" s="2">
        <f t="shared" si="113"/>
        <v>-16</v>
      </c>
      <c r="Q1417" s="2">
        <f t="shared" si="114"/>
        <v>-7</v>
      </c>
    </row>
    <row r="1418" customHeight="1" spans="1:17">
      <c r="A1418" s="2">
        <v>2026</v>
      </c>
      <c r="B1418" s="2">
        <v>1417</v>
      </c>
      <c r="C1418" s="3">
        <f t="shared" si="110"/>
        <v>41.63</v>
      </c>
      <c r="D1418" s="2" t="s">
        <v>1855</v>
      </c>
      <c r="E1418" s="2">
        <v>47</v>
      </c>
      <c r="F1418" s="12">
        <v>65</v>
      </c>
      <c r="G1418" s="2">
        <v>44</v>
      </c>
      <c r="H1418" s="2" t="s">
        <v>339</v>
      </c>
      <c r="I1418" s="2" t="s">
        <v>28</v>
      </c>
      <c r="J1418" s="4" t="s">
        <v>34</v>
      </c>
      <c r="M1418" s="2">
        <f t="shared" si="111"/>
        <v>60</v>
      </c>
      <c r="N1418" s="2">
        <f t="shared" si="112"/>
        <v>50.3</v>
      </c>
      <c r="O1418" s="2">
        <f>IF(M1418="","",IF(M1418&gt;=1000,95,IF(M1418&lt;=12.5,50,LOOKUP(M1418,{12.5,15,20,30,45,60,75,105,115,150,200,225,250,600,1000},{50,55,60,62,65,68,70,72,75,80,82,85,87,90,95})+(M1418-LOOKUP(M1418,{12.5,15,20,30,45,60,75,105,115,150,200,225,250,600},{12.5,15,20,30,45,60,75,105,115,150,200,225,250,600}))/(LOOKUP(M1418,{12.5,15,20,30,45,60,75,105,115,150,200,225,250,600,1000},{15,20,30,45,60,75,105,115,150,200,225,250,600,1000,1000})-LOOKUP(M1418,{12.5,15,20,30,45,60,75,105,115,150,200,225,250,600},{12.5,15,20,30,45,60,75,105,115,150,200,225,250,600}))*(LOOKUP(M1418,{12.5,15,20,30,45,60,75,105,115,150,200,225,250,600,1000},{55,60,62,65,68,70,72,75,80,82,85,87,90,95,95})-LOOKUP(M1418,{12.5,15,20,30,45,60,75,105,115,150,200,225,250,600,1000},{50,55,60,62,65,68,70,72,75,80,82,85,87,90,95})))))</f>
        <v>68</v>
      </c>
      <c r="P1418" s="2">
        <f t="shared" si="113"/>
        <v>-21</v>
      </c>
      <c r="Q1418" s="2">
        <f t="shared" si="114"/>
        <v>-8.67</v>
      </c>
    </row>
    <row r="1419" customHeight="1" spans="1:17">
      <c r="B1419" s="2">
        <v>1418</v>
      </c>
      <c r="C1419" s="3">
        <f t="shared" si="110"/>
        <v>41.6</v>
      </c>
      <c r="D1419" s="2" t="s">
        <v>1856</v>
      </c>
      <c r="E1419" s="2">
        <v>46</v>
      </c>
      <c r="F1419" s="12">
        <v>62</v>
      </c>
      <c r="G1419" s="2">
        <v>50</v>
      </c>
      <c r="H1419" s="2" t="s">
        <v>41</v>
      </c>
      <c r="I1419" s="2" t="s">
        <v>28</v>
      </c>
      <c r="J1419" s="4" t="s">
        <v>38</v>
      </c>
      <c r="M1419" s="2">
        <f t="shared" si="111"/>
        <v>45</v>
      </c>
      <c r="N1419" s="2">
        <f t="shared" si="112"/>
        <v>49.6</v>
      </c>
      <c r="O1419" s="2">
        <f>IF(M1419="","",IF(M1419&gt;=1000,95,IF(M1419&lt;=12.5,50,LOOKUP(M1419,{12.5,15,20,30,45,60,75,105,115,150,200,225,250,600,1000},{50,55,60,62,65,68,70,72,75,80,82,85,87,90,95})+(M1419-LOOKUP(M1419,{12.5,15,20,30,45,60,75,105,115,150,200,225,250,600},{12.5,15,20,30,45,60,75,105,115,150,200,225,250,600}))/(LOOKUP(M1419,{12.5,15,20,30,45,60,75,105,115,150,200,225,250,600,1000},{15,20,30,45,60,75,105,115,150,200,225,250,600,1000,1000})-LOOKUP(M1419,{12.5,15,20,30,45,60,75,105,115,150,200,225,250,600},{12.5,15,20,30,45,60,75,105,115,150,200,225,250,600}))*(LOOKUP(M1419,{12.5,15,20,30,45,60,75,105,115,150,200,225,250,600,1000},{55,60,62,65,68,70,72,75,80,82,85,87,90,95,95})-LOOKUP(M1419,{12.5,15,20,30,45,60,75,105,115,150,200,225,250,600,1000},{50,55,60,62,65,68,70,72,75,80,82,85,87,90,95})))))</f>
        <v>65</v>
      </c>
      <c r="P1419" s="2">
        <f t="shared" si="113"/>
        <v>-19</v>
      </c>
      <c r="Q1419" s="2">
        <f t="shared" si="114"/>
        <v>-8</v>
      </c>
    </row>
    <row r="1420" customHeight="1" spans="1:17">
      <c r="B1420" s="2">
        <v>1419</v>
      </c>
      <c r="C1420" s="3">
        <f t="shared" si="110"/>
        <v>41.53</v>
      </c>
      <c r="D1420" s="2" t="s">
        <v>1857</v>
      </c>
      <c r="E1420" s="2">
        <v>50</v>
      </c>
      <c r="F1420" s="2">
        <v>59</v>
      </c>
      <c r="G1420" s="12">
        <v>64</v>
      </c>
      <c r="H1420" s="2" t="s">
        <v>17</v>
      </c>
      <c r="I1420" s="2" t="s">
        <v>104</v>
      </c>
      <c r="J1420" s="4" t="s">
        <v>59</v>
      </c>
      <c r="M1420" s="2">
        <f t="shared" si="111"/>
        <v>150</v>
      </c>
      <c r="N1420" s="2">
        <f t="shared" si="112"/>
        <v>53.2</v>
      </c>
      <c r="O1420" s="2">
        <f>IF(M1420="","",IF(M1420&gt;=1000,95,IF(M1420&lt;=12.5,50,LOOKUP(M1420,{12.5,15,20,30,45,60,75,105,115,150,200,225,250,600,1000},{50,55,60,62,65,68,70,72,75,80,82,85,87,90,95})+(M1420-LOOKUP(M1420,{12.5,15,20,30,45,60,75,105,115,150,200,225,250,600},{12.5,15,20,30,45,60,75,105,115,150,200,225,250,600}))/(LOOKUP(M1420,{12.5,15,20,30,45,60,75,105,115,150,200,225,250,600,1000},{15,20,30,45,60,75,105,115,150,200,225,250,600,1000,1000})-LOOKUP(M1420,{12.5,15,20,30,45,60,75,105,115,150,200,225,250,600},{12.5,15,20,30,45,60,75,105,115,150,200,225,250,600}))*(LOOKUP(M1420,{12.5,15,20,30,45,60,75,105,115,150,200,225,250,600,1000},{55,60,62,65,68,70,72,75,80,82,85,87,90,95,95})-LOOKUP(M1420,{12.5,15,20,30,45,60,75,105,115,150,200,225,250,600,1000},{50,55,60,62,65,68,70,72,75,80,82,85,87,90,95})))))</f>
        <v>80</v>
      </c>
      <c r="P1420" s="2">
        <f t="shared" si="113"/>
        <v>-30</v>
      </c>
      <c r="Q1420" s="2">
        <f t="shared" si="114"/>
        <v>-11.67</v>
      </c>
    </row>
    <row r="1421" customHeight="1" spans="1:17">
      <c r="B1421" s="2">
        <v>1420</v>
      </c>
      <c r="C1421" s="3">
        <f t="shared" si="110"/>
        <v>41.43</v>
      </c>
      <c r="D1421" s="2" t="s">
        <v>1858</v>
      </c>
      <c r="E1421" s="2">
        <v>47</v>
      </c>
      <c r="F1421" s="2">
        <v>55</v>
      </c>
      <c r="G1421" s="2">
        <v>52</v>
      </c>
      <c r="H1421" s="2" t="s">
        <v>41</v>
      </c>
      <c r="I1421" s="2" t="s">
        <v>28</v>
      </c>
      <c r="J1421" s="4" t="s">
        <v>38</v>
      </c>
      <c r="M1421" s="2">
        <f t="shared" si="111"/>
        <v>45</v>
      </c>
      <c r="N1421" s="2">
        <f t="shared" si="112"/>
        <v>49.1</v>
      </c>
      <c r="O1421" s="2">
        <f>IF(M1421="","",IF(M1421&gt;=1000,95,IF(M1421&lt;=12.5,50,LOOKUP(M1421,{12.5,15,20,30,45,60,75,105,115,150,200,225,250,600,1000},{50,55,60,62,65,68,70,72,75,80,82,85,87,90,95})+(M1421-LOOKUP(M1421,{12.5,15,20,30,45,60,75,105,115,150,200,225,250,600},{12.5,15,20,30,45,60,75,105,115,150,200,225,250,600}))/(LOOKUP(M1421,{12.5,15,20,30,45,60,75,105,115,150,200,225,250,600,1000},{15,20,30,45,60,75,105,115,150,200,225,250,600,1000,1000})-LOOKUP(M1421,{12.5,15,20,30,45,60,75,105,115,150,200,225,250,600},{12.5,15,20,30,45,60,75,105,115,150,200,225,250,600}))*(LOOKUP(M1421,{12.5,15,20,30,45,60,75,105,115,150,200,225,250,600,1000},{55,60,62,65,68,70,72,75,80,82,85,87,90,95,95})-LOOKUP(M1421,{12.5,15,20,30,45,60,75,105,115,150,200,225,250,600,1000},{50,55,60,62,65,68,70,72,75,80,82,85,87,90,95})))))</f>
        <v>65</v>
      </c>
      <c r="P1421" s="2">
        <f t="shared" si="113"/>
        <v>-18</v>
      </c>
      <c r="Q1421" s="2">
        <f t="shared" si="114"/>
        <v>-7.67</v>
      </c>
    </row>
    <row r="1422" customHeight="1" spans="1:17">
      <c r="B1422" s="2">
        <v>1421</v>
      </c>
      <c r="C1422" s="3">
        <f t="shared" si="110"/>
        <v>41.4</v>
      </c>
      <c r="D1422" s="2" t="s">
        <v>1859</v>
      </c>
      <c r="E1422" s="2">
        <v>50</v>
      </c>
      <c r="F1422" s="2">
        <v>50</v>
      </c>
      <c r="G1422" s="12">
        <v>64</v>
      </c>
      <c r="H1422" s="2" t="s">
        <v>41</v>
      </c>
      <c r="I1422" s="2" t="s">
        <v>63</v>
      </c>
      <c r="J1422" s="4" t="s">
        <v>148</v>
      </c>
      <c r="M1422" s="2">
        <f t="shared" si="111"/>
        <v>115</v>
      </c>
      <c r="N1422" s="2">
        <f t="shared" si="112"/>
        <v>51.4</v>
      </c>
      <c r="O1422" s="2">
        <f>IF(M1422="","",IF(M1422&gt;=1000,95,IF(M1422&lt;=12.5,50,LOOKUP(M1422,{12.5,15,20,30,45,60,75,105,115,150,200,225,250,600,1000},{50,55,60,62,65,68,70,72,75,80,82,85,87,90,95})+(M1422-LOOKUP(M1422,{12.5,15,20,30,45,60,75,105,115,150,200,225,250,600},{12.5,15,20,30,45,60,75,105,115,150,200,225,250,600}))/(LOOKUP(M1422,{12.5,15,20,30,45,60,75,105,115,150,200,225,250,600,1000},{15,20,30,45,60,75,105,115,150,200,225,250,600,1000,1000})-LOOKUP(M1422,{12.5,15,20,30,45,60,75,105,115,150,200,225,250,600},{12.5,15,20,30,45,60,75,105,115,150,200,225,250,600}))*(LOOKUP(M1422,{12.5,15,20,30,45,60,75,105,115,150,200,225,250,600,1000},{55,60,62,65,68,70,72,75,80,82,85,87,90,95,95})-LOOKUP(M1422,{12.5,15,20,30,45,60,75,105,115,150,200,225,250,600,1000},{50,55,60,62,65,68,70,72,75,80,82,85,87,90,95})))))</f>
        <v>75</v>
      </c>
      <c r="P1422" s="2">
        <f t="shared" si="113"/>
        <v>-25</v>
      </c>
      <c r="Q1422" s="2">
        <f t="shared" si="114"/>
        <v>-10</v>
      </c>
    </row>
    <row r="1423" customHeight="1" spans="1:17">
      <c r="B1423" s="2">
        <v>1422</v>
      </c>
      <c r="C1423" s="3">
        <f t="shared" si="110"/>
        <v>41.37</v>
      </c>
      <c r="D1423" s="2" t="s">
        <v>1860</v>
      </c>
      <c r="E1423" s="2">
        <v>52</v>
      </c>
      <c r="F1423" s="12">
        <v>61</v>
      </c>
      <c r="G1423" s="12">
        <v>61</v>
      </c>
      <c r="H1423" s="2" t="s">
        <v>929</v>
      </c>
      <c r="I1423" s="2" t="s">
        <v>930</v>
      </c>
      <c r="J1423" s="4" t="s">
        <v>123</v>
      </c>
      <c r="M1423" s="2">
        <f t="shared" si="111"/>
        <v>250</v>
      </c>
      <c r="N1423" s="2">
        <f t="shared" si="112"/>
        <v>54.7</v>
      </c>
      <c r="O1423" s="2">
        <f>IF(M1423="","",IF(M1423&gt;=1000,95,IF(M1423&lt;=12.5,50,LOOKUP(M1423,{12.5,15,20,30,45,60,75,105,115,150,200,225,250,600,1000},{50,55,60,62,65,68,70,72,75,80,82,85,87,90,95})+(M1423-LOOKUP(M1423,{12.5,15,20,30,45,60,75,105,115,150,200,225,250,600},{12.5,15,20,30,45,60,75,105,115,150,200,225,250,600}))/(LOOKUP(M1423,{12.5,15,20,30,45,60,75,105,115,150,200,225,250,600,1000},{15,20,30,45,60,75,105,115,150,200,225,250,600,1000,1000})-LOOKUP(M1423,{12.5,15,20,30,45,60,75,105,115,150,200,225,250,600},{12.5,15,20,30,45,60,75,105,115,150,200,225,250,600}))*(LOOKUP(M1423,{12.5,15,20,30,45,60,75,105,115,150,200,225,250,600,1000},{55,60,62,65,68,70,72,75,80,82,85,87,90,95,95})-LOOKUP(M1423,{12.5,15,20,30,45,60,75,105,115,150,200,225,250,600,1000},{50,55,60,62,65,68,70,72,75,80,82,85,87,90,95})))))</f>
        <v>87</v>
      </c>
      <c r="P1423" s="2">
        <f t="shared" si="113"/>
        <v>-35</v>
      </c>
      <c r="Q1423" s="2">
        <f t="shared" si="114"/>
        <v>-13.33</v>
      </c>
    </row>
    <row r="1424" customHeight="1" spans="1:17">
      <c r="A1424" s="2">
        <v>2026</v>
      </c>
      <c r="B1424" s="2">
        <v>1423</v>
      </c>
      <c r="C1424" s="3">
        <f t="shared" si="110"/>
        <v>41.26</v>
      </c>
      <c r="D1424" s="2" t="s">
        <v>1861</v>
      </c>
      <c r="E1424" s="2">
        <v>48</v>
      </c>
      <c r="F1424" s="2">
        <v>52</v>
      </c>
      <c r="G1424" s="2">
        <v>56</v>
      </c>
      <c r="H1424" s="2" t="s">
        <v>54</v>
      </c>
      <c r="I1424" s="2" t="s">
        <v>55</v>
      </c>
      <c r="J1424" s="4" t="s">
        <v>34</v>
      </c>
      <c r="M1424" s="2">
        <f t="shared" si="111"/>
        <v>60</v>
      </c>
      <c r="N1424" s="2">
        <f t="shared" si="112"/>
        <v>49.6</v>
      </c>
      <c r="O1424" s="2">
        <f>IF(M1424="","",IF(M1424&gt;=1000,95,IF(M1424&lt;=12.5,50,LOOKUP(M1424,{12.5,15,20,30,45,60,75,105,115,150,200,225,250,600,1000},{50,55,60,62,65,68,70,72,75,80,82,85,87,90,95})+(M1424-LOOKUP(M1424,{12.5,15,20,30,45,60,75,105,115,150,200,225,250,600},{12.5,15,20,30,45,60,75,105,115,150,200,225,250,600}))/(LOOKUP(M1424,{12.5,15,20,30,45,60,75,105,115,150,200,225,250,600,1000},{15,20,30,45,60,75,105,115,150,200,225,250,600,1000,1000})-LOOKUP(M1424,{12.5,15,20,30,45,60,75,105,115,150,200,225,250,600},{12.5,15,20,30,45,60,75,105,115,150,200,225,250,600}))*(LOOKUP(M1424,{12.5,15,20,30,45,60,75,105,115,150,200,225,250,600,1000},{55,60,62,65,68,70,72,75,80,82,85,87,90,95,95})-LOOKUP(M1424,{12.5,15,20,30,45,60,75,105,115,150,200,225,250,600,1000},{50,55,60,62,65,68,70,72,75,80,82,85,87,90,95})))))</f>
        <v>68</v>
      </c>
      <c r="P1424" s="2">
        <f t="shared" si="113"/>
        <v>-20</v>
      </c>
      <c r="Q1424" s="2">
        <f t="shared" si="114"/>
        <v>-8.34</v>
      </c>
    </row>
    <row r="1425" customHeight="1" spans="1:17">
      <c r="B1425" s="2">
        <v>1424</v>
      </c>
      <c r="C1425" s="3">
        <f t="shared" si="110"/>
        <v>41.23</v>
      </c>
      <c r="D1425" s="2" t="s">
        <v>1862</v>
      </c>
      <c r="E1425" s="2">
        <v>47</v>
      </c>
      <c r="F1425" s="2">
        <v>55</v>
      </c>
      <c r="G1425" s="2">
        <v>50</v>
      </c>
      <c r="H1425" s="2" t="s">
        <v>41</v>
      </c>
      <c r="I1425" s="2" t="s">
        <v>28</v>
      </c>
      <c r="J1425" s="4" t="s">
        <v>38</v>
      </c>
      <c r="M1425" s="2">
        <f t="shared" si="111"/>
        <v>45</v>
      </c>
      <c r="N1425" s="2">
        <f t="shared" si="112"/>
        <v>48.9</v>
      </c>
      <c r="O1425" s="2">
        <f>IF(M1425="","",IF(M1425&gt;=1000,95,IF(M1425&lt;=12.5,50,LOOKUP(M1425,{12.5,15,20,30,45,60,75,105,115,150,200,225,250,600,1000},{50,55,60,62,65,68,70,72,75,80,82,85,87,90,95})+(M1425-LOOKUP(M1425,{12.5,15,20,30,45,60,75,105,115,150,200,225,250,600},{12.5,15,20,30,45,60,75,105,115,150,200,225,250,600}))/(LOOKUP(M1425,{12.5,15,20,30,45,60,75,105,115,150,200,225,250,600,1000},{15,20,30,45,60,75,105,115,150,200,225,250,600,1000,1000})-LOOKUP(M1425,{12.5,15,20,30,45,60,75,105,115,150,200,225,250,600},{12.5,15,20,30,45,60,75,105,115,150,200,225,250,600}))*(LOOKUP(M1425,{12.5,15,20,30,45,60,75,105,115,150,200,225,250,600,1000},{55,60,62,65,68,70,72,75,80,82,85,87,90,95,95})-LOOKUP(M1425,{12.5,15,20,30,45,60,75,105,115,150,200,225,250,600,1000},{50,55,60,62,65,68,70,72,75,80,82,85,87,90,95})))))</f>
        <v>65</v>
      </c>
      <c r="P1425" s="2">
        <f t="shared" si="113"/>
        <v>-18</v>
      </c>
      <c r="Q1425" s="2">
        <f t="shared" si="114"/>
        <v>-7.67</v>
      </c>
    </row>
    <row r="1426" customHeight="1" spans="1:17">
      <c r="B1426" s="2">
        <v>1425</v>
      </c>
      <c r="C1426" s="3">
        <f t="shared" si="110"/>
        <v>41.2</v>
      </c>
      <c r="D1426" s="2" t="s">
        <v>1863</v>
      </c>
      <c r="E1426" s="2">
        <v>45</v>
      </c>
      <c r="F1426" s="12">
        <v>65</v>
      </c>
      <c r="G1426" s="12">
        <v>67</v>
      </c>
      <c r="H1426" s="2" t="s">
        <v>113</v>
      </c>
      <c r="I1426" s="2" t="s">
        <v>33</v>
      </c>
      <c r="J1426" s="4" t="s">
        <v>24</v>
      </c>
      <c r="M1426" s="2">
        <f t="shared" si="111"/>
        <v>75</v>
      </c>
      <c r="N1426" s="2">
        <f t="shared" si="112"/>
        <v>51.2</v>
      </c>
      <c r="O1426" s="2">
        <f>IF(M1426="","",IF(M1426&gt;=1000,95,IF(M1426&lt;=12.5,50,LOOKUP(M1426,{12.5,15,20,30,45,60,75,105,115,150,200,225,250,600,1000},{50,55,60,62,65,68,70,72,75,80,82,85,87,90,95})+(M1426-LOOKUP(M1426,{12.5,15,20,30,45,60,75,105,115,150,200,225,250,600},{12.5,15,20,30,45,60,75,105,115,150,200,225,250,600}))/(LOOKUP(M1426,{12.5,15,20,30,45,60,75,105,115,150,200,225,250,600,1000},{15,20,30,45,60,75,105,115,150,200,225,250,600,1000,1000})-LOOKUP(M1426,{12.5,15,20,30,45,60,75,105,115,150,200,225,250,600},{12.5,15,20,30,45,60,75,105,115,150,200,225,250,600}))*(LOOKUP(M1426,{12.5,15,20,30,45,60,75,105,115,150,200,225,250,600,1000},{55,60,62,65,68,70,72,75,80,82,85,87,90,95,95})-LOOKUP(M1426,{12.5,15,20,30,45,60,75,105,115,150,200,225,250,600,1000},{50,55,60,62,65,68,70,72,75,80,82,85,87,90,95})))))</f>
        <v>70</v>
      </c>
      <c r="P1426" s="2">
        <f t="shared" si="113"/>
        <v>-25</v>
      </c>
      <c r="Q1426" s="2">
        <f t="shared" si="114"/>
        <v>-10</v>
      </c>
    </row>
    <row r="1427" customHeight="1" spans="1:17">
      <c r="B1427" s="2">
        <v>1426</v>
      </c>
      <c r="C1427" s="3">
        <f t="shared" si="110"/>
        <v>41.17</v>
      </c>
      <c r="D1427" s="2" t="s">
        <v>1864</v>
      </c>
      <c r="E1427" s="2">
        <v>47</v>
      </c>
      <c r="F1427" s="9">
        <v>74</v>
      </c>
      <c r="G1427" s="12">
        <v>68</v>
      </c>
      <c r="H1427" s="2" t="s">
        <v>37</v>
      </c>
      <c r="I1427" s="2" t="s">
        <v>197</v>
      </c>
      <c r="J1427" s="4" t="s">
        <v>51</v>
      </c>
      <c r="M1427" s="2">
        <f t="shared" si="111"/>
        <v>200</v>
      </c>
      <c r="N1427" s="2">
        <f t="shared" si="112"/>
        <v>54.5</v>
      </c>
      <c r="O1427" s="2">
        <f>IF(M1427="","",IF(M1427&gt;=1000,95,IF(M1427&lt;=12.5,50,LOOKUP(M1427,{12.5,15,20,30,45,60,75,105,115,150,200,225,250,600,1000},{50,55,60,62,65,68,70,72,75,80,82,85,87,90,95})+(M1427-LOOKUP(M1427,{12.5,15,20,30,45,60,75,105,115,150,200,225,250,600},{12.5,15,20,30,45,60,75,105,115,150,200,225,250,600}))/(LOOKUP(M1427,{12.5,15,20,30,45,60,75,105,115,150,200,225,250,600,1000},{15,20,30,45,60,75,105,115,150,200,225,250,600,1000,1000})-LOOKUP(M1427,{12.5,15,20,30,45,60,75,105,115,150,200,225,250,600},{12.5,15,20,30,45,60,75,105,115,150,200,225,250,600}))*(LOOKUP(M1427,{12.5,15,20,30,45,60,75,105,115,150,200,225,250,600,1000},{55,60,62,65,68,70,72,75,80,82,85,87,90,95,95})-LOOKUP(M1427,{12.5,15,20,30,45,60,75,105,115,150,200,225,250,600,1000},{50,55,60,62,65,68,70,72,75,80,82,85,87,90,95})))))</f>
        <v>82</v>
      </c>
      <c r="P1427" s="2">
        <f t="shared" si="113"/>
        <v>-35</v>
      </c>
      <c r="Q1427" s="2">
        <f t="shared" si="114"/>
        <v>-13.33</v>
      </c>
    </row>
    <row r="1428" customHeight="1" spans="1:17">
      <c r="B1428" s="2">
        <v>1427</v>
      </c>
      <c r="C1428" s="3">
        <f t="shared" ref="C1428:C1491" si="115">ROUND(MAX(MIN(N1428+Q1428,100),0),2)</f>
        <v>41.1</v>
      </c>
      <c r="D1428" s="2" t="s">
        <v>1865</v>
      </c>
      <c r="E1428" s="2">
        <v>52</v>
      </c>
      <c r="F1428" s="2">
        <v>56</v>
      </c>
      <c r="G1428" s="2">
        <v>45</v>
      </c>
      <c r="H1428" s="2" t="s">
        <v>175</v>
      </c>
      <c r="I1428" s="2" t="s">
        <v>128</v>
      </c>
      <c r="J1428" s="4" t="s">
        <v>59</v>
      </c>
      <c r="M1428" s="2">
        <f t="shared" si="111"/>
        <v>150</v>
      </c>
      <c r="N1428" s="2">
        <f t="shared" si="112"/>
        <v>52.1</v>
      </c>
      <c r="O1428" s="2">
        <f>IF(M1428="","",IF(M1428&gt;=1000,95,IF(M1428&lt;=12.5,50,LOOKUP(M1428,{12.5,15,20,30,45,60,75,105,115,150,200,225,250,600,1000},{50,55,60,62,65,68,70,72,75,80,82,85,87,90,95})+(M1428-LOOKUP(M1428,{12.5,15,20,30,45,60,75,105,115,150,200,225,250,600},{12.5,15,20,30,45,60,75,105,115,150,200,225,250,600}))/(LOOKUP(M1428,{12.5,15,20,30,45,60,75,105,115,150,200,225,250,600,1000},{15,20,30,45,60,75,105,115,150,200,225,250,600,1000,1000})-LOOKUP(M1428,{12.5,15,20,30,45,60,75,105,115,150,200,225,250,600},{12.5,15,20,30,45,60,75,105,115,150,200,225,250,600}))*(LOOKUP(M1428,{12.5,15,20,30,45,60,75,105,115,150,200,225,250,600,1000},{55,60,62,65,68,70,72,75,80,82,85,87,90,95,95})-LOOKUP(M1428,{12.5,15,20,30,45,60,75,105,115,150,200,225,250,600,1000},{50,55,60,62,65,68,70,72,75,80,82,85,87,90,95})))))</f>
        <v>80</v>
      </c>
      <c r="P1428" s="2">
        <f t="shared" si="113"/>
        <v>-28</v>
      </c>
      <c r="Q1428" s="2">
        <f t="shared" si="114"/>
        <v>-11</v>
      </c>
    </row>
    <row r="1429" customHeight="1" spans="1:17">
      <c r="B1429" s="2">
        <v>1428</v>
      </c>
      <c r="C1429" s="3">
        <f t="shared" si="115"/>
        <v>41</v>
      </c>
      <c r="D1429" s="2" t="s">
        <v>1866</v>
      </c>
      <c r="E1429" s="2">
        <v>45</v>
      </c>
      <c r="F1429" s="2">
        <v>50</v>
      </c>
      <c r="G1429" s="2">
        <v>45</v>
      </c>
      <c r="H1429" s="2" t="s">
        <v>17</v>
      </c>
      <c r="I1429" s="2" t="s">
        <v>28</v>
      </c>
      <c r="J1429" s="4" t="s">
        <v>29</v>
      </c>
      <c r="M1429" s="2">
        <f t="shared" si="111"/>
        <v>15</v>
      </c>
      <c r="N1429" s="2">
        <f t="shared" si="112"/>
        <v>46</v>
      </c>
      <c r="O1429" s="2">
        <f>IF(M1429="","",IF(M1429&gt;=1000,95,IF(M1429&lt;=12.5,50,LOOKUP(M1429,{12.5,15,20,30,45,60,75,105,115,150,200,225,250,600,1000},{50,55,60,62,65,68,70,72,75,80,82,85,87,90,95})+(M1429-LOOKUP(M1429,{12.5,15,20,30,45,60,75,105,115,150,200,225,250,600},{12.5,15,20,30,45,60,75,105,115,150,200,225,250,600}))/(LOOKUP(M1429,{12.5,15,20,30,45,60,75,105,115,150,200,225,250,600,1000},{15,20,30,45,60,75,105,115,150,200,225,250,600,1000,1000})-LOOKUP(M1429,{12.5,15,20,30,45,60,75,105,115,150,200,225,250,600},{12.5,15,20,30,45,60,75,105,115,150,200,225,250,600}))*(LOOKUP(M1429,{12.5,15,20,30,45,60,75,105,115,150,200,225,250,600,1000},{55,60,62,65,68,70,72,75,80,82,85,87,90,95,95})-LOOKUP(M1429,{12.5,15,20,30,45,60,75,105,115,150,200,225,250,600,1000},{50,55,60,62,65,68,70,72,75,80,82,85,87,90,95})))))</f>
        <v>55</v>
      </c>
      <c r="P1429" s="2">
        <f t="shared" si="113"/>
        <v>-10</v>
      </c>
      <c r="Q1429" s="2">
        <f t="shared" si="114"/>
        <v>-5</v>
      </c>
    </row>
    <row r="1430" customHeight="1" spans="1:17">
      <c r="B1430" s="2">
        <v>1429</v>
      </c>
      <c r="C1430" s="3">
        <f t="shared" si="115"/>
        <v>40.93</v>
      </c>
      <c r="D1430" s="2" t="s">
        <v>1867</v>
      </c>
      <c r="E1430" s="2">
        <v>48</v>
      </c>
      <c r="F1430" s="12">
        <v>60</v>
      </c>
      <c r="G1430" s="12">
        <v>60</v>
      </c>
      <c r="H1430" s="2" t="s">
        <v>37</v>
      </c>
      <c r="I1430" s="2" t="s">
        <v>638</v>
      </c>
      <c r="J1430" s="4" t="s">
        <v>148</v>
      </c>
      <c r="M1430" s="2">
        <f t="shared" si="111"/>
        <v>115</v>
      </c>
      <c r="N1430" s="2">
        <f t="shared" si="112"/>
        <v>51.6</v>
      </c>
      <c r="O1430" s="2">
        <f>IF(M1430="","",IF(M1430&gt;=1000,95,IF(M1430&lt;=12.5,50,LOOKUP(M1430,{12.5,15,20,30,45,60,75,105,115,150,200,225,250,600,1000},{50,55,60,62,65,68,70,72,75,80,82,85,87,90,95})+(M1430-LOOKUP(M1430,{12.5,15,20,30,45,60,75,105,115,150,200,225,250,600},{12.5,15,20,30,45,60,75,105,115,150,200,225,250,600}))/(LOOKUP(M1430,{12.5,15,20,30,45,60,75,105,115,150,200,225,250,600,1000},{15,20,30,45,60,75,105,115,150,200,225,250,600,1000,1000})-LOOKUP(M1430,{12.5,15,20,30,45,60,75,105,115,150,200,225,250,600},{12.5,15,20,30,45,60,75,105,115,150,200,225,250,600}))*(LOOKUP(M1430,{12.5,15,20,30,45,60,75,105,115,150,200,225,250,600,1000},{55,60,62,65,68,70,72,75,80,82,85,87,90,95,95})-LOOKUP(M1430,{12.5,15,20,30,45,60,75,105,115,150,200,225,250,600,1000},{50,55,60,62,65,68,70,72,75,80,82,85,87,90,95})))))</f>
        <v>75</v>
      </c>
      <c r="P1430" s="2">
        <f t="shared" si="113"/>
        <v>-27</v>
      </c>
      <c r="Q1430" s="2">
        <f t="shared" si="114"/>
        <v>-10.67</v>
      </c>
    </row>
    <row r="1431" customHeight="1" spans="1:17">
      <c r="B1431" s="2">
        <v>1430</v>
      </c>
      <c r="C1431" s="3">
        <f t="shared" si="115"/>
        <v>40.73</v>
      </c>
      <c r="D1431" s="2" t="s">
        <v>1868</v>
      </c>
      <c r="E1431" s="2">
        <v>50</v>
      </c>
      <c r="F1431" s="2">
        <v>52</v>
      </c>
      <c r="G1431" s="2">
        <v>30</v>
      </c>
      <c r="H1431" s="2" t="s">
        <v>37</v>
      </c>
      <c r="I1431" s="2" t="s">
        <v>937</v>
      </c>
      <c r="J1431" s="4" t="s">
        <v>34</v>
      </c>
      <c r="M1431" s="2">
        <f t="shared" si="111"/>
        <v>60</v>
      </c>
      <c r="N1431" s="2">
        <f t="shared" si="112"/>
        <v>48.4</v>
      </c>
      <c r="O1431" s="2">
        <f>IF(M1431="","",IF(M1431&gt;=1000,95,IF(M1431&lt;=12.5,50,LOOKUP(M1431,{12.5,15,20,30,45,60,75,105,115,150,200,225,250,600,1000},{50,55,60,62,65,68,70,72,75,80,82,85,87,90,95})+(M1431-LOOKUP(M1431,{12.5,15,20,30,45,60,75,105,115,150,200,225,250,600},{12.5,15,20,30,45,60,75,105,115,150,200,225,250,600}))/(LOOKUP(M1431,{12.5,15,20,30,45,60,75,105,115,150,200,225,250,600,1000},{15,20,30,45,60,75,105,115,150,200,225,250,600,1000,1000})-LOOKUP(M1431,{12.5,15,20,30,45,60,75,105,115,150,200,225,250,600},{12.5,15,20,30,45,60,75,105,115,150,200,225,250,600}))*(LOOKUP(M1431,{12.5,15,20,30,45,60,75,105,115,150,200,225,250,600,1000},{55,60,62,65,68,70,72,75,80,82,85,87,90,95,95})-LOOKUP(M1431,{12.5,15,20,30,45,60,75,105,115,150,200,225,250,600,1000},{50,55,60,62,65,68,70,72,75,80,82,85,87,90,95})))))</f>
        <v>68</v>
      </c>
      <c r="P1431" s="2">
        <f t="shared" si="113"/>
        <v>-18</v>
      </c>
      <c r="Q1431" s="2">
        <f t="shared" si="114"/>
        <v>-7.67</v>
      </c>
    </row>
    <row r="1432" customHeight="1" spans="1:17">
      <c r="B1432" s="2">
        <v>1431</v>
      </c>
      <c r="C1432" s="3">
        <f t="shared" si="115"/>
        <v>40.7</v>
      </c>
      <c r="D1432" s="2" t="s">
        <v>1869</v>
      </c>
      <c r="E1432" s="2">
        <v>47</v>
      </c>
      <c r="F1432" s="12">
        <v>60</v>
      </c>
      <c r="G1432" s="2">
        <v>58</v>
      </c>
      <c r="H1432" s="2" t="s">
        <v>1013</v>
      </c>
      <c r="I1432" s="2" t="s">
        <v>1602</v>
      </c>
      <c r="J1432" s="4" t="s">
        <v>105</v>
      </c>
      <c r="M1432" s="2">
        <f t="shared" si="111"/>
        <v>105</v>
      </c>
      <c r="N1432" s="2">
        <f t="shared" si="112"/>
        <v>50.7</v>
      </c>
      <c r="O1432" s="2">
        <f>IF(M1432="","",IF(M1432&gt;=1000,95,IF(M1432&lt;=12.5,50,LOOKUP(M1432,{12.5,15,20,30,45,60,75,105,115,150,200,225,250,600,1000},{50,55,60,62,65,68,70,72,75,80,82,85,87,90,95})+(M1432-LOOKUP(M1432,{12.5,15,20,30,45,60,75,105,115,150,200,225,250,600},{12.5,15,20,30,45,60,75,105,115,150,200,225,250,600}))/(LOOKUP(M1432,{12.5,15,20,30,45,60,75,105,115,150,200,225,250,600,1000},{15,20,30,45,60,75,105,115,150,200,225,250,600,1000,1000})-LOOKUP(M1432,{12.5,15,20,30,45,60,75,105,115,150,200,225,250,600},{12.5,15,20,30,45,60,75,105,115,150,200,225,250,600}))*(LOOKUP(M1432,{12.5,15,20,30,45,60,75,105,115,150,200,225,250,600,1000},{55,60,62,65,68,70,72,75,80,82,85,87,90,95,95})-LOOKUP(M1432,{12.5,15,20,30,45,60,75,105,115,150,200,225,250,600,1000},{50,55,60,62,65,68,70,72,75,80,82,85,87,90,95})))))</f>
        <v>72</v>
      </c>
      <c r="P1432" s="2">
        <f t="shared" si="113"/>
        <v>-25</v>
      </c>
      <c r="Q1432" s="2">
        <f t="shared" si="114"/>
        <v>-10</v>
      </c>
    </row>
    <row r="1433" customHeight="1" spans="1:17">
      <c r="B1433" s="2">
        <v>1432</v>
      </c>
      <c r="C1433" s="3">
        <f t="shared" si="115"/>
        <v>40.6</v>
      </c>
      <c r="D1433" s="2" t="s">
        <v>1870</v>
      </c>
      <c r="E1433" s="2">
        <v>47</v>
      </c>
      <c r="F1433" s="12">
        <v>60</v>
      </c>
      <c r="G1433" s="2">
        <v>57</v>
      </c>
      <c r="H1433" s="2" t="s">
        <v>175</v>
      </c>
      <c r="I1433" s="2" t="s">
        <v>128</v>
      </c>
      <c r="J1433" s="4" t="s">
        <v>105</v>
      </c>
      <c r="M1433" s="2">
        <f t="shared" si="111"/>
        <v>105</v>
      </c>
      <c r="N1433" s="2">
        <f t="shared" si="112"/>
        <v>50.6</v>
      </c>
      <c r="O1433" s="2">
        <f>IF(M1433="","",IF(M1433&gt;=1000,95,IF(M1433&lt;=12.5,50,LOOKUP(M1433,{12.5,15,20,30,45,60,75,105,115,150,200,225,250,600,1000},{50,55,60,62,65,68,70,72,75,80,82,85,87,90,95})+(M1433-LOOKUP(M1433,{12.5,15,20,30,45,60,75,105,115,150,200,225,250,600},{12.5,15,20,30,45,60,75,105,115,150,200,225,250,600}))/(LOOKUP(M1433,{12.5,15,20,30,45,60,75,105,115,150,200,225,250,600,1000},{15,20,30,45,60,75,105,115,150,200,225,250,600,1000,1000})-LOOKUP(M1433,{12.5,15,20,30,45,60,75,105,115,150,200,225,250,600},{12.5,15,20,30,45,60,75,105,115,150,200,225,250,600}))*(LOOKUP(M1433,{12.5,15,20,30,45,60,75,105,115,150,200,225,250,600,1000},{55,60,62,65,68,70,72,75,80,82,85,87,90,95,95})-LOOKUP(M1433,{12.5,15,20,30,45,60,75,105,115,150,200,225,250,600,1000},{50,55,60,62,65,68,70,72,75,80,82,85,87,90,95})))))</f>
        <v>72</v>
      </c>
      <c r="P1433" s="2">
        <f t="shared" si="113"/>
        <v>-25</v>
      </c>
      <c r="Q1433" s="2">
        <f t="shared" si="114"/>
        <v>-10</v>
      </c>
    </row>
    <row r="1434" customHeight="1" spans="1:17">
      <c r="B1434" s="2">
        <v>1433</v>
      </c>
      <c r="C1434" s="3">
        <f t="shared" si="115"/>
        <v>40.57</v>
      </c>
      <c r="D1434" s="2" t="s">
        <v>1871</v>
      </c>
      <c r="E1434" s="2">
        <v>48</v>
      </c>
      <c r="F1434" s="12">
        <v>65</v>
      </c>
      <c r="G1434" s="12">
        <v>63</v>
      </c>
      <c r="H1434" s="2" t="s">
        <v>444</v>
      </c>
      <c r="I1434" s="2" t="s">
        <v>23</v>
      </c>
      <c r="J1434" s="4" t="s">
        <v>59</v>
      </c>
      <c r="M1434" s="2">
        <f t="shared" si="111"/>
        <v>150</v>
      </c>
      <c r="N1434" s="2">
        <f t="shared" si="112"/>
        <v>52.9</v>
      </c>
      <c r="O1434" s="2">
        <f>IF(M1434="","",IF(M1434&gt;=1000,95,IF(M1434&lt;=12.5,50,LOOKUP(M1434,{12.5,15,20,30,45,60,75,105,115,150,200,225,250,600,1000},{50,55,60,62,65,68,70,72,75,80,82,85,87,90,95})+(M1434-LOOKUP(M1434,{12.5,15,20,30,45,60,75,105,115,150,200,225,250,600},{12.5,15,20,30,45,60,75,105,115,150,200,225,250,600}))/(LOOKUP(M1434,{12.5,15,20,30,45,60,75,105,115,150,200,225,250,600,1000},{15,20,30,45,60,75,105,115,150,200,225,250,600,1000,1000})-LOOKUP(M1434,{12.5,15,20,30,45,60,75,105,115,150,200,225,250,600},{12.5,15,20,30,45,60,75,105,115,150,200,225,250,600}))*(LOOKUP(M1434,{12.5,15,20,30,45,60,75,105,115,150,200,225,250,600,1000},{55,60,62,65,68,70,72,75,80,82,85,87,90,95,95})-LOOKUP(M1434,{12.5,15,20,30,45,60,75,105,115,150,200,225,250,600,1000},{50,55,60,62,65,68,70,72,75,80,82,85,87,90,95})))))</f>
        <v>80</v>
      </c>
      <c r="P1434" s="2">
        <f t="shared" si="113"/>
        <v>-32</v>
      </c>
      <c r="Q1434" s="2">
        <f t="shared" si="114"/>
        <v>-12.33</v>
      </c>
    </row>
    <row r="1435" customHeight="1" spans="1:17">
      <c r="B1435" s="2">
        <v>1434</v>
      </c>
      <c r="C1435" s="3">
        <f t="shared" si="115"/>
        <v>40.57</v>
      </c>
      <c r="D1435" s="2" t="s">
        <v>1872</v>
      </c>
      <c r="E1435" s="2">
        <v>46</v>
      </c>
      <c r="F1435" s="12">
        <v>61</v>
      </c>
      <c r="G1435" s="12">
        <v>65</v>
      </c>
      <c r="H1435" s="2" t="s">
        <v>1101</v>
      </c>
      <c r="I1435" s="2" t="s">
        <v>33</v>
      </c>
      <c r="J1435" s="4" t="s">
        <v>105</v>
      </c>
      <c r="M1435" s="2">
        <f t="shared" si="111"/>
        <v>105</v>
      </c>
      <c r="N1435" s="2">
        <f t="shared" si="112"/>
        <v>50.9</v>
      </c>
      <c r="O1435" s="2">
        <f>IF(M1435="","",IF(M1435&gt;=1000,95,IF(M1435&lt;=12.5,50,LOOKUP(M1435,{12.5,15,20,30,45,60,75,105,115,150,200,225,250,600,1000},{50,55,60,62,65,68,70,72,75,80,82,85,87,90,95})+(M1435-LOOKUP(M1435,{12.5,15,20,30,45,60,75,105,115,150,200,225,250,600},{12.5,15,20,30,45,60,75,105,115,150,200,225,250,600}))/(LOOKUP(M1435,{12.5,15,20,30,45,60,75,105,115,150,200,225,250,600,1000},{15,20,30,45,60,75,105,115,150,200,225,250,600,1000,1000})-LOOKUP(M1435,{12.5,15,20,30,45,60,75,105,115,150,200,225,250,600},{12.5,15,20,30,45,60,75,105,115,150,200,225,250,600}))*(LOOKUP(M1435,{12.5,15,20,30,45,60,75,105,115,150,200,225,250,600,1000},{55,60,62,65,68,70,72,75,80,82,85,87,90,95,95})-LOOKUP(M1435,{12.5,15,20,30,45,60,75,105,115,150,200,225,250,600,1000},{50,55,60,62,65,68,70,72,75,80,82,85,87,90,95})))))</f>
        <v>72</v>
      </c>
      <c r="P1435" s="2">
        <f t="shared" si="113"/>
        <v>-26</v>
      </c>
      <c r="Q1435" s="2">
        <f t="shared" si="114"/>
        <v>-10.33</v>
      </c>
    </row>
    <row r="1436" customHeight="1" spans="1:17">
      <c r="B1436" s="2">
        <v>1435</v>
      </c>
      <c r="C1436" s="3">
        <f t="shared" si="115"/>
        <v>40.4</v>
      </c>
      <c r="D1436" s="2" t="s">
        <v>1873</v>
      </c>
      <c r="E1436" s="2">
        <v>45</v>
      </c>
      <c r="F1436" s="12">
        <v>64</v>
      </c>
      <c r="G1436" s="12">
        <v>61</v>
      </c>
      <c r="H1436" s="2" t="s">
        <v>41</v>
      </c>
      <c r="I1436" s="2" t="s">
        <v>55</v>
      </c>
      <c r="J1436" s="4" t="s">
        <v>24</v>
      </c>
      <c r="M1436" s="2">
        <f t="shared" si="111"/>
        <v>75</v>
      </c>
      <c r="N1436" s="2">
        <f t="shared" si="112"/>
        <v>50.4</v>
      </c>
      <c r="O1436" s="2">
        <f>IF(M1436="","",IF(M1436&gt;=1000,95,IF(M1436&lt;=12.5,50,LOOKUP(M1436,{12.5,15,20,30,45,60,75,105,115,150,200,225,250,600,1000},{50,55,60,62,65,68,70,72,75,80,82,85,87,90,95})+(M1436-LOOKUP(M1436,{12.5,15,20,30,45,60,75,105,115,150,200,225,250,600},{12.5,15,20,30,45,60,75,105,115,150,200,225,250,600}))/(LOOKUP(M1436,{12.5,15,20,30,45,60,75,105,115,150,200,225,250,600,1000},{15,20,30,45,60,75,105,115,150,200,225,250,600,1000,1000})-LOOKUP(M1436,{12.5,15,20,30,45,60,75,105,115,150,200,225,250,600},{12.5,15,20,30,45,60,75,105,115,150,200,225,250,600}))*(LOOKUP(M1436,{12.5,15,20,30,45,60,75,105,115,150,200,225,250,600,1000},{55,60,62,65,68,70,72,75,80,82,85,87,90,95,95})-LOOKUP(M1436,{12.5,15,20,30,45,60,75,105,115,150,200,225,250,600,1000},{50,55,60,62,65,68,70,72,75,80,82,85,87,90,95})))))</f>
        <v>70</v>
      </c>
      <c r="P1436" s="2">
        <f t="shared" si="113"/>
        <v>-25</v>
      </c>
      <c r="Q1436" s="2">
        <f t="shared" si="114"/>
        <v>-10</v>
      </c>
    </row>
    <row r="1437" customHeight="1" spans="1:17">
      <c r="B1437" s="2">
        <v>1436</v>
      </c>
      <c r="C1437" s="3">
        <f t="shared" si="115"/>
        <v>40.4</v>
      </c>
      <c r="D1437" s="2" t="s">
        <v>1874</v>
      </c>
      <c r="E1437" s="2">
        <v>51</v>
      </c>
      <c r="F1437" s="12">
        <v>69</v>
      </c>
      <c r="G1437" s="2">
        <v>29</v>
      </c>
      <c r="H1437" s="2" t="s">
        <v>929</v>
      </c>
      <c r="I1437" s="2" t="s">
        <v>23</v>
      </c>
      <c r="J1437" s="4" t="s">
        <v>51</v>
      </c>
      <c r="M1437" s="2">
        <f t="shared" si="111"/>
        <v>200</v>
      </c>
      <c r="N1437" s="2">
        <f t="shared" si="112"/>
        <v>52.4</v>
      </c>
      <c r="O1437" s="2">
        <f>IF(M1437="","",IF(M1437&gt;=1000,95,IF(M1437&lt;=12.5,50,LOOKUP(M1437,{12.5,15,20,30,45,60,75,105,115,150,200,225,250,600,1000},{50,55,60,62,65,68,70,72,75,80,82,85,87,90,95})+(M1437-LOOKUP(M1437,{12.5,15,20,30,45,60,75,105,115,150,200,225,250,600},{12.5,15,20,30,45,60,75,105,115,150,200,225,250,600}))/(LOOKUP(M1437,{12.5,15,20,30,45,60,75,105,115,150,200,225,250,600,1000},{15,20,30,45,60,75,105,115,150,200,225,250,600,1000,1000})-LOOKUP(M1437,{12.5,15,20,30,45,60,75,105,115,150,200,225,250,600},{12.5,15,20,30,45,60,75,105,115,150,200,225,250,600}))*(LOOKUP(M1437,{12.5,15,20,30,45,60,75,105,115,150,200,225,250,600,1000},{55,60,62,65,68,70,72,75,80,82,85,87,90,95,95})-LOOKUP(M1437,{12.5,15,20,30,45,60,75,105,115,150,200,225,250,600,1000},{50,55,60,62,65,68,70,72,75,80,82,85,87,90,95})))))</f>
        <v>82</v>
      </c>
      <c r="P1437" s="2">
        <f t="shared" si="113"/>
        <v>-31</v>
      </c>
      <c r="Q1437" s="2">
        <f t="shared" si="114"/>
        <v>-12</v>
      </c>
    </row>
    <row r="1438" customHeight="1" spans="1:17">
      <c r="A1438" s="2">
        <v>2026</v>
      </c>
      <c r="B1438" s="2">
        <v>1437</v>
      </c>
      <c r="C1438" s="3">
        <f t="shared" si="115"/>
        <v>40.3</v>
      </c>
      <c r="D1438" s="2" t="s">
        <v>1875</v>
      </c>
      <c r="E1438" s="2">
        <v>45</v>
      </c>
      <c r="F1438" s="12">
        <v>60</v>
      </c>
      <c r="G1438" s="12">
        <v>68</v>
      </c>
      <c r="H1438" s="2" t="s">
        <v>54</v>
      </c>
      <c r="I1438" s="2" t="s">
        <v>104</v>
      </c>
      <c r="J1438" s="4" t="s">
        <v>24</v>
      </c>
      <c r="M1438" s="2">
        <f t="shared" si="111"/>
        <v>75</v>
      </c>
      <c r="N1438" s="2">
        <f t="shared" si="112"/>
        <v>50.3</v>
      </c>
      <c r="O1438" s="2">
        <f>IF(M1438="","",IF(M1438&gt;=1000,95,IF(M1438&lt;=12.5,50,LOOKUP(M1438,{12.5,15,20,30,45,60,75,105,115,150,200,225,250,600,1000},{50,55,60,62,65,68,70,72,75,80,82,85,87,90,95})+(M1438-LOOKUP(M1438,{12.5,15,20,30,45,60,75,105,115,150,200,225,250,600},{12.5,15,20,30,45,60,75,105,115,150,200,225,250,600}))/(LOOKUP(M1438,{12.5,15,20,30,45,60,75,105,115,150,200,225,250,600,1000},{15,20,30,45,60,75,105,115,150,200,225,250,600,1000,1000})-LOOKUP(M1438,{12.5,15,20,30,45,60,75,105,115,150,200,225,250,600},{12.5,15,20,30,45,60,75,105,115,150,200,225,250,600}))*(LOOKUP(M1438,{12.5,15,20,30,45,60,75,105,115,150,200,225,250,600,1000},{55,60,62,65,68,70,72,75,80,82,85,87,90,95,95})-LOOKUP(M1438,{12.5,15,20,30,45,60,75,105,115,150,200,225,250,600,1000},{50,55,60,62,65,68,70,72,75,80,82,85,87,90,95})))))</f>
        <v>70</v>
      </c>
      <c r="P1438" s="2">
        <f t="shared" si="113"/>
        <v>-25</v>
      </c>
      <c r="Q1438" s="2">
        <f t="shared" si="114"/>
        <v>-10</v>
      </c>
    </row>
    <row r="1439" customHeight="1" spans="1:17">
      <c r="B1439" s="2">
        <v>1438</v>
      </c>
      <c r="C1439" s="3">
        <f t="shared" si="115"/>
        <v>40.27</v>
      </c>
      <c r="D1439" s="2" t="s">
        <v>1876</v>
      </c>
      <c r="E1439" s="2">
        <v>49</v>
      </c>
      <c r="F1439" s="2">
        <v>50</v>
      </c>
      <c r="G1439" s="2">
        <v>53</v>
      </c>
      <c r="H1439" s="2" t="s">
        <v>41</v>
      </c>
      <c r="I1439" s="2" t="s">
        <v>183</v>
      </c>
      <c r="J1439" s="4" t="s">
        <v>105</v>
      </c>
      <c r="M1439" s="2">
        <f t="shared" si="111"/>
        <v>105</v>
      </c>
      <c r="N1439" s="2">
        <f t="shared" si="112"/>
        <v>49.6</v>
      </c>
      <c r="O1439" s="2">
        <f>IF(M1439="","",IF(M1439&gt;=1000,95,IF(M1439&lt;=12.5,50,LOOKUP(M1439,{12.5,15,20,30,45,60,75,105,115,150,200,225,250,600,1000},{50,55,60,62,65,68,70,72,75,80,82,85,87,90,95})+(M1439-LOOKUP(M1439,{12.5,15,20,30,45,60,75,105,115,150,200,225,250,600},{12.5,15,20,30,45,60,75,105,115,150,200,225,250,600}))/(LOOKUP(M1439,{12.5,15,20,30,45,60,75,105,115,150,200,225,250,600,1000},{15,20,30,45,60,75,105,115,150,200,225,250,600,1000,1000})-LOOKUP(M1439,{12.5,15,20,30,45,60,75,105,115,150,200,225,250,600},{12.5,15,20,30,45,60,75,105,115,150,200,225,250,600}))*(LOOKUP(M1439,{12.5,15,20,30,45,60,75,105,115,150,200,225,250,600,1000},{55,60,62,65,68,70,72,75,80,82,85,87,90,95,95})-LOOKUP(M1439,{12.5,15,20,30,45,60,75,105,115,150,200,225,250,600,1000},{50,55,60,62,65,68,70,72,75,80,82,85,87,90,95})))))</f>
        <v>72</v>
      </c>
      <c r="P1439" s="2">
        <f t="shared" si="113"/>
        <v>-23</v>
      </c>
      <c r="Q1439" s="2">
        <f t="shared" si="114"/>
        <v>-9.33</v>
      </c>
    </row>
    <row r="1440" customHeight="1" spans="1:17">
      <c r="B1440" s="2">
        <v>1439</v>
      </c>
      <c r="C1440" s="3">
        <f t="shared" si="115"/>
        <v>40.23</v>
      </c>
      <c r="D1440" s="2" t="s">
        <v>1877</v>
      </c>
      <c r="E1440" s="2">
        <v>45</v>
      </c>
      <c r="F1440" s="12">
        <v>64</v>
      </c>
      <c r="G1440" s="12">
        <v>66</v>
      </c>
      <c r="H1440" s="2" t="s">
        <v>367</v>
      </c>
      <c r="I1440" s="2" t="s">
        <v>128</v>
      </c>
      <c r="J1440" s="4" t="s">
        <v>105</v>
      </c>
      <c r="M1440" s="2">
        <f t="shared" si="111"/>
        <v>105</v>
      </c>
      <c r="N1440" s="2">
        <f t="shared" si="112"/>
        <v>50.9</v>
      </c>
      <c r="O1440" s="2">
        <f>IF(M1440="","",IF(M1440&gt;=1000,95,IF(M1440&lt;=12.5,50,LOOKUP(M1440,{12.5,15,20,30,45,60,75,105,115,150,200,225,250,600,1000},{50,55,60,62,65,68,70,72,75,80,82,85,87,90,95})+(M1440-LOOKUP(M1440,{12.5,15,20,30,45,60,75,105,115,150,200,225,250,600},{12.5,15,20,30,45,60,75,105,115,150,200,225,250,600}))/(LOOKUP(M1440,{12.5,15,20,30,45,60,75,105,115,150,200,225,250,600,1000},{15,20,30,45,60,75,105,115,150,200,225,250,600,1000,1000})-LOOKUP(M1440,{12.5,15,20,30,45,60,75,105,115,150,200,225,250,600},{12.5,15,20,30,45,60,75,105,115,150,200,225,250,600}))*(LOOKUP(M1440,{12.5,15,20,30,45,60,75,105,115,150,200,225,250,600,1000},{55,60,62,65,68,70,72,75,80,82,85,87,90,95,95})-LOOKUP(M1440,{12.5,15,20,30,45,60,75,105,115,150,200,225,250,600,1000},{50,55,60,62,65,68,70,72,75,80,82,85,87,90,95})))))</f>
        <v>72</v>
      </c>
      <c r="P1440" s="2">
        <f t="shared" si="113"/>
        <v>-27</v>
      </c>
      <c r="Q1440" s="2">
        <f t="shared" si="114"/>
        <v>-10.67</v>
      </c>
    </row>
    <row r="1441" customHeight="1" spans="1:17">
      <c r="B1441" s="2">
        <v>1440</v>
      </c>
      <c r="C1441" s="3">
        <f t="shared" si="115"/>
        <v>40.2</v>
      </c>
      <c r="D1441" s="2" t="s">
        <v>1878</v>
      </c>
      <c r="E1441" s="2">
        <v>42</v>
      </c>
      <c r="F1441" s="2">
        <v>50</v>
      </c>
      <c r="G1441" s="2">
        <v>48</v>
      </c>
      <c r="H1441" s="2" t="s">
        <v>91</v>
      </c>
      <c r="I1441" s="2" t="s">
        <v>503</v>
      </c>
      <c r="J1441" s="4" t="s">
        <v>77</v>
      </c>
      <c r="M1441" s="2">
        <f t="shared" si="111"/>
        <v>12.5</v>
      </c>
      <c r="N1441" s="2">
        <f t="shared" si="112"/>
        <v>44.2</v>
      </c>
      <c r="O1441" s="2">
        <f>IF(M1441="","",IF(M1441&gt;=1000,95,IF(M1441&lt;=12.5,50,LOOKUP(M1441,{12.5,15,20,30,45,60,75,105,115,150,200,225,250,600,1000},{50,55,60,62,65,68,70,72,75,80,82,85,87,90,95})+(M1441-LOOKUP(M1441,{12.5,15,20,30,45,60,75,105,115,150,200,225,250,600},{12.5,15,20,30,45,60,75,105,115,150,200,225,250,600}))/(LOOKUP(M1441,{12.5,15,20,30,45,60,75,105,115,150,200,225,250,600,1000},{15,20,30,45,60,75,105,115,150,200,225,250,600,1000,1000})-LOOKUP(M1441,{12.5,15,20,30,45,60,75,105,115,150,200,225,250,600},{12.5,15,20,30,45,60,75,105,115,150,200,225,250,600}))*(LOOKUP(M1441,{12.5,15,20,30,45,60,75,105,115,150,200,225,250,600,1000},{55,60,62,65,68,70,72,75,80,82,85,87,90,95,95})-LOOKUP(M1441,{12.5,15,20,30,45,60,75,105,115,150,200,225,250,600,1000},{50,55,60,62,65,68,70,72,75,80,82,85,87,90,95})))))</f>
        <v>50</v>
      </c>
      <c r="P1441" s="2">
        <f t="shared" si="113"/>
        <v>-8</v>
      </c>
      <c r="Q1441" s="2">
        <f t="shared" si="114"/>
        <v>-4</v>
      </c>
    </row>
    <row r="1442" customHeight="1" spans="1:17">
      <c r="B1442" s="2">
        <v>1441</v>
      </c>
      <c r="C1442" s="3">
        <f t="shared" si="115"/>
        <v>40.2</v>
      </c>
      <c r="D1442" s="2" t="s">
        <v>1879</v>
      </c>
      <c r="E1442" s="2">
        <v>46</v>
      </c>
      <c r="F1442" s="2">
        <v>55</v>
      </c>
      <c r="G1442" s="2">
        <v>50</v>
      </c>
      <c r="H1442" s="2" t="s">
        <v>41</v>
      </c>
      <c r="I1442" s="2" t="s">
        <v>28</v>
      </c>
      <c r="J1442" s="4" t="s">
        <v>38</v>
      </c>
      <c r="M1442" s="2">
        <f t="shared" si="111"/>
        <v>45</v>
      </c>
      <c r="N1442" s="2">
        <f t="shared" si="112"/>
        <v>48.2</v>
      </c>
      <c r="O1442" s="2">
        <f>IF(M1442="","",IF(M1442&gt;=1000,95,IF(M1442&lt;=12.5,50,LOOKUP(M1442,{12.5,15,20,30,45,60,75,105,115,150,200,225,250,600,1000},{50,55,60,62,65,68,70,72,75,80,82,85,87,90,95})+(M1442-LOOKUP(M1442,{12.5,15,20,30,45,60,75,105,115,150,200,225,250,600},{12.5,15,20,30,45,60,75,105,115,150,200,225,250,600}))/(LOOKUP(M1442,{12.5,15,20,30,45,60,75,105,115,150,200,225,250,600,1000},{15,20,30,45,60,75,105,115,150,200,225,250,600,1000,1000})-LOOKUP(M1442,{12.5,15,20,30,45,60,75,105,115,150,200,225,250,600},{12.5,15,20,30,45,60,75,105,115,150,200,225,250,600}))*(LOOKUP(M1442,{12.5,15,20,30,45,60,75,105,115,150,200,225,250,600,1000},{55,60,62,65,68,70,72,75,80,82,85,87,90,95,95})-LOOKUP(M1442,{12.5,15,20,30,45,60,75,105,115,150,200,225,250,600,1000},{50,55,60,62,65,68,70,72,75,80,82,85,87,90,95})))))</f>
        <v>65</v>
      </c>
      <c r="P1442" s="2">
        <f t="shared" si="113"/>
        <v>-19</v>
      </c>
      <c r="Q1442" s="2">
        <f t="shared" si="114"/>
        <v>-8</v>
      </c>
    </row>
    <row r="1443" customHeight="1" spans="1:17">
      <c r="B1443" s="2">
        <v>1442</v>
      </c>
      <c r="C1443" s="3">
        <f t="shared" si="115"/>
        <v>40.17</v>
      </c>
      <c r="D1443" s="2" t="s">
        <v>1880</v>
      </c>
      <c r="E1443" s="2">
        <v>49</v>
      </c>
      <c r="F1443" s="9">
        <v>75</v>
      </c>
      <c r="G1443" s="2">
        <v>52</v>
      </c>
      <c r="H1443" s="2" t="s">
        <v>444</v>
      </c>
      <c r="I1443" s="2" t="s">
        <v>23</v>
      </c>
      <c r="J1443" s="4" t="s">
        <v>123</v>
      </c>
      <c r="M1443" s="2">
        <f t="shared" si="111"/>
        <v>250</v>
      </c>
      <c r="N1443" s="2">
        <f t="shared" si="112"/>
        <v>54.5</v>
      </c>
      <c r="O1443" s="2">
        <f>IF(M1443="","",IF(M1443&gt;=1000,95,IF(M1443&lt;=12.5,50,LOOKUP(M1443,{12.5,15,20,30,45,60,75,105,115,150,200,225,250,600,1000},{50,55,60,62,65,68,70,72,75,80,82,85,87,90,95})+(M1443-LOOKUP(M1443,{12.5,15,20,30,45,60,75,105,115,150,200,225,250,600},{12.5,15,20,30,45,60,75,105,115,150,200,225,250,600}))/(LOOKUP(M1443,{12.5,15,20,30,45,60,75,105,115,150,200,225,250,600,1000},{15,20,30,45,60,75,105,115,150,200,225,250,600,1000,1000})-LOOKUP(M1443,{12.5,15,20,30,45,60,75,105,115,150,200,225,250,600},{12.5,15,20,30,45,60,75,105,115,150,200,225,250,600}))*(LOOKUP(M1443,{12.5,15,20,30,45,60,75,105,115,150,200,225,250,600,1000},{55,60,62,65,68,70,72,75,80,82,85,87,90,95,95})-LOOKUP(M1443,{12.5,15,20,30,45,60,75,105,115,150,200,225,250,600,1000},{50,55,60,62,65,68,70,72,75,80,82,85,87,90,95})))))</f>
        <v>87</v>
      </c>
      <c r="P1443" s="2">
        <f t="shared" si="113"/>
        <v>-38</v>
      </c>
      <c r="Q1443" s="2">
        <f t="shared" si="114"/>
        <v>-14.33</v>
      </c>
    </row>
    <row r="1444" customHeight="1" spans="1:17">
      <c r="A1444" s="2">
        <v>2026</v>
      </c>
      <c r="B1444" s="2">
        <v>1443</v>
      </c>
      <c r="C1444" s="3">
        <f t="shared" si="115"/>
        <v>40.13</v>
      </c>
      <c r="D1444" s="2" t="s">
        <v>1881</v>
      </c>
      <c r="E1444" s="2">
        <v>47</v>
      </c>
      <c r="F1444" s="2">
        <v>49</v>
      </c>
      <c r="G1444" s="12">
        <v>61</v>
      </c>
      <c r="H1444" s="2" t="s">
        <v>113</v>
      </c>
      <c r="I1444" s="2" t="s">
        <v>128</v>
      </c>
      <c r="J1444" s="4" t="s">
        <v>34</v>
      </c>
      <c r="M1444" s="2">
        <f t="shared" si="111"/>
        <v>60</v>
      </c>
      <c r="N1444" s="2">
        <f t="shared" si="112"/>
        <v>48.8</v>
      </c>
      <c r="O1444" s="2">
        <f>IF(M1444="","",IF(M1444&gt;=1000,95,IF(M1444&lt;=12.5,50,LOOKUP(M1444,{12.5,15,20,30,45,60,75,105,115,150,200,225,250,600,1000},{50,55,60,62,65,68,70,72,75,80,82,85,87,90,95})+(M1444-LOOKUP(M1444,{12.5,15,20,30,45,60,75,105,115,150,200,225,250,600},{12.5,15,20,30,45,60,75,105,115,150,200,225,250,600}))/(LOOKUP(M1444,{12.5,15,20,30,45,60,75,105,115,150,200,225,250,600,1000},{15,20,30,45,60,75,105,115,150,200,225,250,600,1000,1000})-LOOKUP(M1444,{12.5,15,20,30,45,60,75,105,115,150,200,225,250,600},{12.5,15,20,30,45,60,75,105,115,150,200,225,250,600}))*(LOOKUP(M1444,{12.5,15,20,30,45,60,75,105,115,150,200,225,250,600,1000},{55,60,62,65,68,70,72,75,80,82,85,87,90,95,95})-LOOKUP(M1444,{12.5,15,20,30,45,60,75,105,115,150,200,225,250,600,1000},{50,55,60,62,65,68,70,72,75,80,82,85,87,90,95})))))</f>
        <v>68</v>
      </c>
      <c r="P1444" s="2">
        <f t="shared" si="113"/>
        <v>-21</v>
      </c>
      <c r="Q1444" s="2">
        <f t="shared" si="114"/>
        <v>-8.67</v>
      </c>
    </row>
    <row r="1445" customHeight="1" spans="1:17">
      <c r="B1445" s="2">
        <v>1444</v>
      </c>
      <c r="C1445" s="3">
        <f t="shared" si="115"/>
        <v>40</v>
      </c>
      <c r="D1445" s="2" t="s">
        <v>1882</v>
      </c>
      <c r="E1445" s="2">
        <v>51</v>
      </c>
      <c r="F1445" s="12">
        <v>60</v>
      </c>
      <c r="G1445" s="2">
        <v>53</v>
      </c>
      <c r="H1445" s="2" t="s">
        <v>1344</v>
      </c>
      <c r="I1445" s="2" t="s">
        <v>23</v>
      </c>
      <c r="J1445" s="4" t="s">
        <v>19</v>
      </c>
      <c r="M1445" s="2">
        <f t="shared" si="111"/>
        <v>225</v>
      </c>
      <c r="N1445" s="2">
        <f t="shared" si="112"/>
        <v>53</v>
      </c>
      <c r="O1445" s="2">
        <f>IF(M1445="","",IF(M1445&gt;=1000,95,IF(M1445&lt;=12.5,50,LOOKUP(M1445,{12.5,15,20,30,45,60,75,105,115,150,200,225,250,600,1000},{50,55,60,62,65,68,70,72,75,80,82,85,87,90,95})+(M1445-LOOKUP(M1445,{12.5,15,20,30,45,60,75,105,115,150,200,225,250,600},{12.5,15,20,30,45,60,75,105,115,150,200,225,250,600}))/(LOOKUP(M1445,{12.5,15,20,30,45,60,75,105,115,150,200,225,250,600,1000},{15,20,30,45,60,75,105,115,150,200,225,250,600,1000,1000})-LOOKUP(M1445,{12.5,15,20,30,45,60,75,105,115,150,200,225,250,600},{12.5,15,20,30,45,60,75,105,115,150,200,225,250,600}))*(LOOKUP(M1445,{12.5,15,20,30,45,60,75,105,115,150,200,225,250,600,1000},{55,60,62,65,68,70,72,75,80,82,85,87,90,95,95})-LOOKUP(M1445,{12.5,15,20,30,45,60,75,105,115,150,200,225,250,600,1000},{50,55,60,62,65,68,70,72,75,80,82,85,87,90,95})))))</f>
        <v>85</v>
      </c>
      <c r="P1445" s="2">
        <f t="shared" si="113"/>
        <v>-34</v>
      </c>
      <c r="Q1445" s="2">
        <f t="shared" si="114"/>
        <v>-13</v>
      </c>
    </row>
    <row r="1446" customHeight="1" spans="1:17">
      <c r="B1446" s="2">
        <v>1445</v>
      </c>
      <c r="C1446" s="3">
        <f t="shared" si="115"/>
        <v>39.87</v>
      </c>
      <c r="D1446" s="2" t="s">
        <v>1883</v>
      </c>
      <c r="E1446" s="2">
        <v>45</v>
      </c>
      <c r="F1446" s="2">
        <v>58</v>
      </c>
      <c r="G1446" s="12">
        <v>61</v>
      </c>
      <c r="H1446" s="2" t="s">
        <v>66</v>
      </c>
      <c r="I1446" s="2" t="s">
        <v>33</v>
      </c>
      <c r="J1446" s="4" t="s">
        <v>185</v>
      </c>
      <c r="M1446" s="2">
        <f t="shared" si="111"/>
        <v>60</v>
      </c>
      <c r="N1446" s="2">
        <f t="shared" si="112"/>
        <v>49.2</v>
      </c>
      <c r="O1446" s="2">
        <f>IF(M1446="","",IF(M1446&gt;=1000,95,IF(M1446&lt;=12.5,50,LOOKUP(M1446,{12.5,15,20,30,45,60,75,105,115,150,200,225,250,600,1000},{50,55,60,62,65,68,70,72,75,80,82,85,87,90,95})+(M1446-LOOKUP(M1446,{12.5,15,20,30,45,60,75,105,115,150,200,225,250,600},{12.5,15,20,30,45,60,75,105,115,150,200,225,250,600}))/(LOOKUP(M1446,{12.5,15,20,30,45,60,75,105,115,150,200,225,250,600,1000},{15,20,30,45,60,75,105,115,150,200,225,250,600,1000,1000})-LOOKUP(M1446,{12.5,15,20,30,45,60,75,105,115,150,200,225,250,600},{12.5,15,20,30,45,60,75,105,115,150,200,225,250,600}))*(LOOKUP(M1446,{12.5,15,20,30,45,60,75,105,115,150,200,225,250,600,1000},{55,60,62,65,68,70,72,75,80,82,85,87,90,95,95})-LOOKUP(M1446,{12.5,15,20,30,45,60,75,105,115,150,200,225,250,600,1000},{50,55,60,62,65,68,70,72,75,80,82,85,87,90,95})))))</f>
        <v>68</v>
      </c>
      <c r="P1446" s="2">
        <f t="shared" si="113"/>
        <v>-23</v>
      </c>
      <c r="Q1446" s="2">
        <f t="shared" si="114"/>
        <v>-9.33</v>
      </c>
    </row>
    <row r="1447" customHeight="1" spans="1:17">
      <c r="B1447" s="2">
        <v>1446</v>
      </c>
      <c r="C1447" s="3">
        <f t="shared" si="115"/>
        <v>39.73</v>
      </c>
      <c r="D1447" s="2" t="s">
        <v>1884</v>
      </c>
      <c r="E1447" s="2">
        <v>47</v>
      </c>
      <c r="F1447" s="2">
        <v>57</v>
      </c>
      <c r="G1447" s="2">
        <v>41</v>
      </c>
      <c r="H1447" s="2" t="s">
        <v>1431</v>
      </c>
      <c r="I1447" s="2" t="s">
        <v>28</v>
      </c>
      <c r="J1447" s="4" t="s">
        <v>34</v>
      </c>
      <c r="M1447" s="2">
        <f t="shared" si="111"/>
        <v>60</v>
      </c>
      <c r="N1447" s="2">
        <f t="shared" si="112"/>
        <v>48.4</v>
      </c>
      <c r="O1447" s="2">
        <f>IF(M1447="","",IF(M1447&gt;=1000,95,IF(M1447&lt;=12.5,50,LOOKUP(M1447,{12.5,15,20,30,45,60,75,105,115,150,200,225,250,600,1000},{50,55,60,62,65,68,70,72,75,80,82,85,87,90,95})+(M1447-LOOKUP(M1447,{12.5,15,20,30,45,60,75,105,115,150,200,225,250,600},{12.5,15,20,30,45,60,75,105,115,150,200,225,250,600}))/(LOOKUP(M1447,{12.5,15,20,30,45,60,75,105,115,150,200,225,250,600,1000},{15,20,30,45,60,75,105,115,150,200,225,250,600,1000,1000})-LOOKUP(M1447,{12.5,15,20,30,45,60,75,105,115,150,200,225,250,600},{12.5,15,20,30,45,60,75,105,115,150,200,225,250,600}))*(LOOKUP(M1447,{12.5,15,20,30,45,60,75,105,115,150,200,225,250,600,1000},{55,60,62,65,68,70,72,75,80,82,85,87,90,95,95})-LOOKUP(M1447,{12.5,15,20,30,45,60,75,105,115,150,200,225,250,600,1000},{50,55,60,62,65,68,70,72,75,80,82,85,87,90,95})))))</f>
        <v>68</v>
      </c>
      <c r="P1447" s="2">
        <f t="shared" si="113"/>
        <v>-21</v>
      </c>
      <c r="Q1447" s="2">
        <f t="shared" si="114"/>
        <v>-8.67</v>
      </c>
    </row>
    <row r="1448" customHeight="1" spans="1:17">
      <c r="A1448" s="2">
        <v>2026</v>
      </c>
      <c r="B1448" s="2">
        <v>1447</v>
      </c>
      <c r="C1448" s="3">
        <f t="shared" si="115"/>
        <v>39.5</v>
      </c>
      <c r="D1448" s="2" t="s">
        <v>1885</v>
      </c>
      <c r="E1448" s="2">
        <v>49</v>
      </c>
      <c r="F1448" s="2">
        <v>40</v>
      </c>
      <c r="G1448" s="2">
        <v>52</v>
      </c>
      <c r="H1448" s="2" t="s">
        <v>108</v>
      </c>
      <c r="I1448" s="2" t="s">
        <v>33</v>
      </c>
      <c r="J1448" s="4" t="s">
        <v>34</v>
      </c>
      <c r="M1448" s="2">
        <f t="shared" si="111"/>
        <v>60</v>
      </c>
      <c r="N1448" s="2">
        <f t="shared" si="112"/>
        <v>47.5</v>
      </c>
      <c r="O1448" s="2">
        <f>IF(M1448="","",IF(M1448&gt;=1000,95,IF(M1448&lt;=12.5,50,LOOKUP(M1448,{12.5,15,20,30,45,60,75,105,115,150,200,225,250,600,1000},{50,55,60,62,65,68,70,72,75,80,82,85,87,90,95})+(M1448-LOOKUP(M1448,{12.5,15,20,30,45,60,75,105,115,150,200,225,250,600},{12.5,15,20,30,45,60,75,105,115,150,200,225,250,600}))/(LOOKUP(M1448,{12.5,15,20,30,45,60,75,105,115,150,200,225,250,600,1000},{15,20,30,45,60,75,105,115,150,200,225,250,600,1000,1000})-LOOKUP(M1448,{12.5,15,20,30,45,60,75,105,115,150,200,225,250,600},{12.5,15,20,30,45,60,75,105,115,150,200,225,250,600}))*(LOOKUP(M1448,{12.5,15,20,30,45,60,75,105,115,150,200,225,250,600,1000},{55,60,62,65,68,70,72,75,80,82,85,87,90,95,95})-LOOKUP(M1448,{12.5,15,20,30,45,60,75,105,115,150,200,225,250,600,1000},{50,55,60,62,65,68,70,72,75,80,82,85,87,90,95})))))</f>
        <v>68</v>
      </c>
      <c r="P1448" s="2">
        <f t="shared" si="113"/>
        <v>-19</v>
      </c>
      <c r="Q1448" s="2">
        <f t="shared" si="114"/>
        <v>-8</v>
      </c>
    </row>
    <row r="1449" customHeight="1" spans="1:17">
      <c r="B1449" s="2">
        <v>1448</v>
      </c>
      <c r="C1449" s="3">
        <f t="shared" si="115"/>
        <v>39.43</v>
      </c>
      <c r="D1449" s="2" t="s">
        <v>1886</v>
      </c>
      <c r="E1449" s="2">
        <v>50</v>
      </c>
      <c r="F1449" s="2">
        <v>50</v>
      </c>
      <c r="G1449" s="12">
        <v>61</v>
      </c>
      <c r="H1449" s="2" t="s">
        <v>264</v>
      </c>
      <c r="I1449" s="2" t="s">
        <v>612</v>
      </c>
      <c r="J1449" s="4" t="s">
        <v>59</v>
      </c>
      <c r="M1449" s="2">
        <f t="shared" si="111"/>
        <v>150</v>
      </c>
      <c r="N1449" s="2">
        <f t="shared" si="112"/>
        <v>51.1</v>
      </c>
      <c r="O1449" s="2">
        <f>IF(M1449="","",IF(M1449&gt;=1000,95,IF(M1449&lt;=12.5,50,LOOKUP(M1449,{12.5,15,20,30,45,60,75,105,115,150,200,225,250,600,1000},{50,55,60,62,65,68,70,72,75,80,82,85,87,90,95})+(M1449-LOOKUP(M1449,{12.5,15,20,30,45,60,75,105,115,150,200,225,250,600},{12.5,15,20,30,45,60,75,105,115,150,200,225,250,600}))/(LOOKUP(M1449,{12.5,15,20,30,45,60,75,105,115,150,200,225,250,600,1000},{15,20,30,45,60,75,105,115,150,200,225,250,600,1000,1000})-LOOKUP(M1449,{12.5,15,20,30,45,60,75,105,115,150,200,225,250,600},{12.5,15,20,30,45,60,75,105,115,150,200,225,250,600}))*(LOOKUP(M1449,{12.5,15,20,30,45,60,75,105,115,150,200,225,250,600,1000},{55,60,62,65,68,70,72,75,80,82,85,87,90,95,95})-LOOKUP(M1449,{12.5,15,20,30,45,60,75,105,115,150,200,225,250,600,1000},{50,55,60,62,65,68,70,72,75,80,82,85,87,90,95})))))</f>
        <v>80</v>
      </c>
      <c r="P1449" s="2">
        <f t="shared" si="113"/>
        <v>-30</v>
      </c>
      <c r="Q1449" s="2">
        <f t="shared" si="114"/>
        <v>-11.67</v>
      </c>
    </row>
    <row r="1450" customHeight="1" spans="1:17">
      <c r="A1450" s="2">
        <v>2026</v>
      </c>
      <c r="B1450" s="2">
        <v>1449</v>
      </c>
      <c r="C1450" s="3">
        <f t="shared" si="115"/>
        <v>39.4</v>
      </c>
      <c r="D1450" s="2" t="s">
        <v>1887</v>
      </c>
      <c r="E1450" s="2">
        <v>47</v>
      </c>
      <c r="F1450" s="2">
        <v>57</v>
      </c>
      <c r="G1450" s="2">
        <v>51</v>
      </c>
      <c r="H1450" s="2" t="s">
        <v>76</v>
      </c>
      <c r="I1450" s="2" t="s">
        <v>104</v>
      </c>
      <c r="J1450" s="4" t="s">
        <v>105</v>
      </c>
      <c r="M1450" s="2">
        <f t="shared" si="111"/>
        <v>105</v>
      </c>
      <c r="N1450" s="2">
        <f t="shared" si="112"/>
        <v>49.4</v>
      </c>
      <c r="O1450" s="2">
        <f>IF(M1450="","",IF(M1450&gt;=1000,95,IF(M1450&lt;=12.5,50,LOOKUP(M1450,{12.5,15,20,30,45,60,75,105,115,150,200,225,250,600,1000},{50,55,60,62,65,68,70,72,75,80,82,85,87,90,95})+(M1450-LOOKUP(M1450,{12.5,15,20,30,45,60,75,105,115,150,200,225,250,600},{12.5,15,20,30,45,60,75,105,115,150,200,225,250,600}))/(LOOKUP(M1450,{12.5,15,20,30,45,60,75,105,115,150,200,225,250,600,1000},{15,20,30,45,60,75,105,115,150,200,225,250,600,1000,1000})-LOOKUP(M1450,{12.5,15,20,30,45,60,75,105,115,150,200,225,250,600},{12.5,15,20,30,45,60,75,105,115,150,200,225,250,600}))*(LOOKUP(M1450,{12.5,15,20,30,45,60,75,105,115,150,200,225,250,600,1000},{55,60,62,65,68,70,72,75,80,82,85,87,90,95,95})-LOOKUP(M1450,{12.5,15,20,30,45,60,75,105,115,150,200,225,250,600,1000},{50,55,60,62,65,68,70,72,75,80,82,85,87,90,95})))))</f>
        <v>72</v>
      </c>
      <c r="P1450" s="2">
        <f t="shared" si="113"/>
        <v>-25</v>
      </c>
      <c r="Q1450" s="2">
        <f t="shared" si="114"/>
        <v>-10</v>
      </c>
    </row>
    <row r="1451" customHeight="1" spans="1:17">
      <c r="B1451" s="2">
        <v>1450</v>
      </c>
      <c r="C1451" s="3">
        <f t="shared" si="115"/>
        <v>39.4</v>
      </c>
      <c r="D1451" s="2" t="s">
        <v>1888</v>
      </c>
      <c r="E1451" s="2">
        <v>48</v>
      </c>
      <c r="F1451" s="2">
        <v>53</v>
      </c>
      <c r="G1451" s="2">
        <v>42</v>
      </c>
      <c r="H1451" s="2" t="s">
        <v>611</v>
      </c>
      <c r="I1451" s="2" t="s">
        <v>33</v>
      </c>
      <c r="J1451" s="4" t="s">
        <v>24</v>
      </c>
      <c r="M1451" s="2">
        <f t="shared" si="111"/>
        <v>75</v>
      </c>
      <c r="N1451" s="2">
        <f t="shared" si="112"/>
        <v>48.4</v>
      </c>
      <c r="O1451" s="2">
        <f>IF(M1451="","",IF(M1451&gt;=1000,95,IF(M1451&lt;=12.5,50,LOOKUP(M1451,{12.5,15,20,30,45,60,75,105,115,150,200,225,250,600,1000},{50,55,60,62,65,68,70,72,75,80,82,85,87,90,95})+(M1451-LOOKUP(M1451,{12.5,15,20,30,45,60,75,105,115,150,200,225,250,600},{12.5,15,20,30,45,60,75,105,115,150,200,225,250,600}))/(LOOKUP(M1451,{12.5,15,20,30,45,60,75,105,115,150,200,225,250,600,1000},{15,20,30,45,60,75,105,115,150,200,225,250,600,1000,1000})-LOOKUP(M1451,{12.5,15,20,30,45,60,75,105,115,150,200,225,250,600},{12.5,15,20,30,45,60,75,105,115,150,200,225,250,600}))*(LOOKUP(M1451,{12.5,15,20,30,45,60,75,105,115,150,200,225,250,600,1000},{55,60,62,65,68,70,72,75,80,82,85,87,90,95,95})-LOOKUP(M1451,{12.5,15,20,30,45,60,75,105,115,150,200,225,250,600,1000},{50,55,60,62,65,68,70,72,75,80,82,85,87,90,95})))))</f>
        <v>70</v>
      </c>
      <c r="P1451" s="2">
        <f t="shared" si="113"/>
        <v>-22</v>
      </c>
      <c r="Q1451" s="2">
        <f t="shared" si="114"/>
        <v>-9</v>
      </c>
    </row>
    <row r="1452" customHeight="1" spans="1:17">
      <c r="B1452" s="2">
        <v>1451</v>
      </c>
      <c r="C1452" s="3">
        <f t="shared" si="115"/>
        <v>39</v>
      </c>
      <c r="D1452" s="2" t="s">
        <v>1889</v>
      </c>
      <c r="E1452" s="2">
        <v>50</v>
      </c>
      <c r="F1452" s="2">
        <v>45</v>
      </c>
      <c r="G1452" s="2">
        <v>40</v>
      </c>
      <c r="H1452" s="2" t="s">
        <v>66</v>
      </c>
      <c r="I1452" s="2" t="s">
        <v>128</v>
      </c>
      <c r="J1452" s="4" t="s">
        <v>105</v>
      </c>
      <c r="M1452" s="2">
        <f t="shared" si="111"/>
        <v>105</v>
      </c>
      <c r="N1452" s="2">
        <f t="shared" si="112"/>
        <v>48</v>
      </c>
      <c r="O1452" s="2">
        <f>IF(M1452="","",IF(M1452&gt;=1000,95,IF(M1452&lt;=12.5,50,LOOKUP(M1452,{12.5,15,20,30,45,60,75,105,115,150,200,225,250,600,1000},{50,55,60,62,65,68,70,72,75,80,82,85,87,90,95})+(M1452-LOOKUP(M1452,{12.5,15,20,30,45,60,75,105,115,150,200,225,250,600},{12.5,15,20,30,45,60,75,105,115,150,200,225,250,600}))/(LOOKUP(M1452,{12.5,15,20,30,45,60,75,105,115,150,200,225,250,600,1000},{15,20,30,45,60,75,105,115,150,200,225,250,600,1000,1000})-LOOKUP(M1452,{12.5,15,20,30,45,60,75,105,115,150,200,225,250,600},{12.5,15,20,30,45,60,75,105,115,150,200,225,250,600}))*(LOOKUP(M1452,{12.5,15,20,30,45,60,75,105,115,150,200,225,250,600,1000},{55,60,62,65,68,70,72,75,80,82,85,87,90,95,95})-LOOKUP(M1452,{12.5,15,20,30,45,60,75,105,115,150,200,225,250,600,1000},{50,55,60,62,65,68,70,72,75,80,82,85,87,90,95})))))</f>
        <v>72</v>
      </c>
      <c r="P1452" s="2">
        <f t="shared" si="113"/>
        <v>-22</v>
      </c>
      <c r="Q1452" s="2">
        <f t="shared" si="114"/>
        <v>-9</v>
      </c>
    </row>
    <row r="1453" customHeight="1" spans="1:17">
      <c r="A1453" s="2">
        <v>2026</v>
      </c>
      <c r="B1453" s="2">
        <v>1452</v>
      </c>
      <c r="C1453" s="3">
        <f t="shared" si="115"/>
        <v>38.86</v>
      </c>
      <c r="D1453" s="2" t="s">
        <v>1890</v>
      </c>
      <c r="E1453" s="2">
        <v>45</v>
      </c>
      <c r="F1453" s="2">
        <v>55</v>
      </c>
      <c r="G1453" s="2">
        <v>37</v>
      </c>
      <c r="H1453" s="2" t="s">
        <v>339</v>
      </c>
      <c r="I1453" s="2" t="s">
        <v>28</v>
      </c>
      <c r="J1453" s="4" t="s">
        <v>88</v>
      </c>
      <c r="M1453" s="2">
        <f t="shared" si="111"/>
        <v>30</v>
      </c>
      <c r="N1453" s="2">
        <f t="shared" si="112"/>
        <v>46.2</v>
      </c>
      <c r="O1453" s="2">
        <f>IF(M1453="","",IF(M1453&gt;=1000,95,IF(M1453&lt;=12.5,50,LOOKUP(M1453,{12.5,15,20,30,45,60,75,105,115,150,200,225,250,600,1000},{50,55,60,62,65,68,70,72,75,80,82,85,87,90,95})+(M1453-LOOKUP(M1453,{12.5,15,20,30,45,60,75,105,115,150,200,225,250,600},{12.5,15,20,30,45,60,75,105,115,150,200,225,250,600}))/(LOOKUP(M1453,{12.5,15,20,30,45,60,75,105,115,150,200,225,250,600,1000},{15,20,30,45,60,75,105,115,150,200,225,250,600,1000,1000})-LOOKUP(M1453,{12.5,15,20,30,45,60,75,105,115,150,200,225,250,600},{12.5,15,20,30,45,60,75,105,115,150,200,225,250,600}))*(LOOKUP(M1453,{12.5,15,20,30,45,60,75,105,115,150,200,225,250,600,1000},{55,60,62,65,68,70,72,75,80,82,85,87,90,95,95})-LOOKUP(M1453,{12.5,15,20,30,45,60,75,105,115,150,200,225,250,600,1000},{50,55,60,62,65,68,70,72,75,80,82,85,87,90,95})))))</f>
        <v>62</v>
      </c>
      <c r="P1453" s="2">
        <f t="shared" si="113"/>
        <v>-17</v>
      </c>
      <c r="Q1453" s="2">
        <f t="shared" si="114"/>
        <v>-7.34</v>
      </c>
    </row>
    <row r="1454" customHeight="1" spans="1:17">
      <c r="B1454" s="2">
        <v>1453</v>
      </c>
      <c r="C1454" s="3">
        <f t="shared" si="115"/>
        <v>38.7</v>
      </c>
      <c r="D1454" s="2" t="s">
        <v>1891</v>
      </c>
      <c r="E1454" s="2">
        <v>46</v>
      </c>
      <c r="F1454" s="2">
        <v>50</v>
      </c>
      <c r="G1454" s="2">
        <v>45</v>
      </c>
      <c r="H1454" s="2" t="s">
        <v>367</v>
      </c>
      <c r="I1454" s="2" t="s">
        <v>63</v>
      </c>
      <c r="J1454" s="4" t="s">
        <v>1892</v>
      </c>
      <c r="M1454" s="2">
        <f t="shared" si="111"/>
        <v>45</v>
      </c>
      <c r="N1454" s="2">
        <f t="shared" si="112"/>
        <v>46.7</v>
      </c>
      <c r="O1454" s="2">
        <f>IF(M1454="","",IF(M1454&gt;=1000,95,IF(M1454&lt;=12.5,50,LOOKUP(M1454,{12.5,15,20,30,45,60,75,105,115,150,200,225,250,600,1000},{50,55,60,62,65,68,70,72,75,80,82,85,87,90,95})+(M1454-LOOKUP(M1454,{12.5,15,20,30,45,60,75,105,115,150,200,225,250,600},{12.5,15,20,30,45,60,75,105,115,150,200,225,250,600}))/(LOOKUP(M1454,{12.5,15,20,30,45,60,75,105,115,150,200,225,250,600,1000},{15,20,30,45,60,75,105,115,150,200,225,250,600,1000,1000})-LOOKUP(M1454,{12.5,15,20,30,45,60,75,105,115,150,200,225,250,600},{12.5,15,20,30,45,60,75,105,115,150,200,225,250,600}))*(LOOKUP(M1454,{12.5,15,20,30,45,60,75,105,115,150,200,225,250,600,1000},{55,60,62,65,68,70,72,75,80,82,85,87,90,95,95})-LOOKUP(M1454,{12.5,15,20,30,45,60,75,105,115,150,200,225,250,600,1000},{50,55,60,62,65,68,70,72,75,80,82,85,87,90,95})))))</f>
        <v>65</v>
      </c>
      <c r="P1454" s="2">
        <f t="shared" si="113"/>
        <v>-19</v>
      </c>
      <c r="Q1454" s="2">
        <f t="shared" si="114"/>
        <v>-8</v>
      </c>
    </row>
    <row r="1455" customHeight="1" spans="1:17">
      <c r="B1455" s="2">
        <v>1454</v>
      </c>
      <c r="C1455" s="3">
        <f t="shared" si="115"/>
        <v>38.4</v>
      </c>
      <c r="D1455" s="2" t="s">
        <v>1893</v>
      </c>
      <c r="E1455" s="2">
        <v>43</v>
      </c>
      <c r="F1455" s="2">
        <v>55</v>
      </c>
      <c r="G1455" s="2">
        <v>53</v>
      </c>
      <c r="H1455" s="2" t="s">
        <v>37</v>
      </c>
      <c r="I1455" s="2" t="s">
        <v>28</v>
      </c>
      <c r="J1455" s="4" t="s">
        <v>88</v>
      </c>
      <c r="M1455" s="2">
        <f t="shared" si="111"/>
        <v>30</v>
      </c>
      <c r="N1455" s="2">
        <f t="shared" si="112"/>
        <v>46.4</v>
      </c>
      <c r="O1455" s="2">
        <f>IF(M1455="","",IF(M1455&gt;=1000,95,IF(M1455&lt;=12.5,50,LOOKUP(M1455,{12.5,15,20,30,45,60,75,105,115,150,200,225,250,600,1000},{50,55,60,62,65,68,70,72,75,80,82,85,87,90,95})+(M1455-LOOKUP(M1455,{12.5,15,20,30,45,60,75,105,115,150,200,225,250,600},{12.5,15,20,30,45,60,75,105,115,150,200,225,250,600}))/(LOOKUP(M1455,{12.5,15,20,30,45,60,75,105,115,150,200,225,250,600,1000},{15,20,30,45,60,75,105,115,150,200,225,250,600,1000,1000})-LOOKUP(M1455,{12.5,15,20,30,45,60,75,105,115,150,200,225,250,600},{12.5,15,20,30,45,60,75,105,115,150,200,225,250,600}))*(LOOKUP(M1455,{12.5,15,20,30,45,60,75,105,115,150,200,225,250,600,1000},{55,60,62,65,68,70,72,75,80,82,85,87,90,95,95})-LOOKUP(M1455,{12.5,15,20,30,45,60,75,105,115,150,200,225,250,600,1000},{50,55,60,62,65,68,70,72,75,80,82,85,87,90,95})))))</f>
        <v>62</v>
      </c>
      <c r="P1455" s="2">
        <f t="shared" si="113"/>
        <v>-19</v>
      </c>
      <c r="Q1455" s="2">
        <f t="shared" si="114"/>
        <v>-8</v>
      </c>
    </row>
    <row r="1456" customHeight="1" spans="1:17">
      <c r="B1456" s="2">
        <v>1455</v>
      </c>
      <c r="C1456" s="3">
        <f t="shared" si="115"/>
        <v>38.36</v>
      </c>
      <c r="D1456" s="2" t="s">
        <v>1894</v>
      </c>
      <c r="E1456" s="2">
        <v>45</v>
      </c>
      <c r="F1456" s="2">
        <v>50</v>
      </c>
      <c r="G1456" s="2">
        <v>42</v>
      </c>
      <c r="H1456" s="2" t="s">
        <v>113</v>
      </c>
      <c r="I1456" s="2" t="s">
        <v>33</v>
      </c>
      <c r="J1456" s="4" t="s">
        <v>88</v>
      </c>
      <c r="M1456" s="2">
        <f t="shared" si="111"/>
        <v>30</v>
      </c>
      <c r="N1456" s="2">
        <f t="shared" si="112"/>
        <v>45.7</v>
      </c>
      <c r="O1456" s="2">
        <f>IF(M1456="","",IF(M1456&gt;=1000,95,IF(M1456&lt;=12.5,50,LOOKUP(M1456,{12.5,15,20,30,45,60,75,105,115,150,200,225,250,600,1000},{50,55,60,62,65,68,70,72,75,80,82,85,87,90,95})+(M1456-LOOKUP(M1456,{12.5,15,20,30,45,60,75,105,115,150,200,225,250,600},{12.5,15,20,30,45,60,75,105,115,150,200,225,250,600}))/(LOOKUP(M1456,{12.5,15,20,30,45,60,75,105,115,150,200,225,250,600,1000},{15,20,30,45,60,75,105,115,150,200,225,250,600,1000,1000})-LOOKUP(M1456,{12.5,15,20,30,45,60,75,105,115,150,200,225,250,600},{12.5,15,20,30,45,60,75,105,115,150,200,225,250,600}))*(LOOKUP(M1456,{12.5,15,20,30,45,60,75,105,115,150,200,225,250,600,1000},{55,60,62,65,68,70,72,75,80,82,85,87,90,95,95})-LOOKUP(M1456,{12.5,15,20,30,45,60,75,105,115,150,200,225,250,600,1000},{50,55,60,62,65,68,70,72,75,80,82,85,87,90,95})))))</f>
        <v>62</v>
      </c>
      <c r="P1456" s="2">
        <f t="shared" si="113"/>
        <v>-17</v>
      </c>
      <c r="Q1456" s="2">
        <f t="shared" si="114"/>
        <v>-7.34</v>
      </c>
    </row>
    <row r="1457" customHeight="1" spans="1:17">
      <c r="B1457" s="2">
        <v>1456</v>
      </c>
      <c r="C1457" s="3">
        <f t="shared" si="115"/>
        <v>38.33</v>
      </c>
      <c r="D1457" s="2" t="s">
        <v>1895</v>
      </c>
      <c r="E1457" s="2">
        <v>45</v>
      </c>
      <c r="F1457" s="2">
        <v>50</v>
      </c>
      <c r="G1457" s="2">
        <v>35</v>
      </c>
      <c r="H1457" s="2" t="s">
        <v>41</v>
      </c>
      <c r="I1457" s="2" t="s">
        <v>321</v>
      </c>
      <c r="J1457" s="4" t="s">
        <v>140</v>
      </c>
      <c r="M1457" s="2">
        <f t="shared" si="111"/>
        <v>20</v>
      </c>
      <c r="N1457" s="2">
        <f t="shared" si="112"/>
        <v>45</v>
      </c>
      <c r="O1457" s="2">
        <f>IF(M1457="","",IF(M1457&gt;=1000,95,IF(M1457&lt;=12.5,50,LOOKUP(M1457,{12.5,15,20,30,45,60,75,105,115,150,200,225,250,600,1000},{50,55,60,62,65,68,70,72,75,80,82,85,87,90,95})+(M1457-LOOKUP(M1457,{12.5,15,20,30,45,60,75,105,115,150,200,225,250,600},{12.5,15,20,30,45,60,75,105,115,150,200,225,250,600}))/(LOOKUP(M1457,{12.5,15,20,30,45,60,75,105,115,150,200,225,250,600,1000},{15,20,30,45,60,75,105,115,150,200,225,250,600,1000,1000})-LOOKUP(M1457,{12.5,15,20,30,45,60,75,105,115,150,200,225,250,600},{12.5,15,20,30,45,60,75,105,115,150,200,225,250,600}))*(LOOKUP(M1457,{12.5,15,20,30,45,60,75,105,115,150,200,225,250,600,1000},{55,60,62,65,68,70,72,75,80,82,85,87,90,95,95})-LOOKUP(M1457,{12.5,15,20,30,45,60,75,105,115,150,200,225,250,600,1000},{50,55,60,62,65,68,70,72,75,80,82,85,87,90,95})))))</f>
        <v>60</v>
      </c>
      <c r="P1457" s="2">
        <f t="shared" si="113"/>
        <v>-15</v>
      </c>
      <c r="Q1457" s="2">
        <f t="shared" si="114"/>
        <v>-6.67</v>
      </c>
    </row>
    <row r="1458" customHeight="1" spans="1:17">
      <c r="B1458" s="2">
        <v>1457</v>
      </c>
      <c r="C1458" s="3">
        <f t="shared" si="115"/>
        <v>38.23</v>
      </c>
      <c r="D1458" s="2" t="s">
        <v>1896</v>
      </c>
      <c r="E1458" s="2">
        <v>45</v>
      </c>
      <c r="F1458" s="2">
        <v>50</v>
      </c>
      <c r="G1458" s="2">
        <v>34</v>
      </c>
      <c r="H1458" s="2" t="s">
        <v>41</v>
      </c>
      <c r="I1458" s="2" t="s">
        <v>28</v>
      </c>
      <c r="J1458" s="4" t="s">
        <v>140</v>
      </c>
      <c r="M1458" s="2">
        <f t="shared" si="111"/>
        <v>20</v>
      </c>
      <c r="N1458" s="2">
        <f t="shared" si="112"/>
        <v>44.9</v>
      </c>
      <c r="O1458" s="2">
        <f>IF(M1458="","",IF(M1458&gt;=1000,95,IF(M1458&lt;=12.5,50,LOOKUP(M1458,{12.5,15,20,30,45,60,75,105,115,150,200,225,250,600,1000},{50,55,60,62,65,68,70,72,75,80,82,85,87,90,95})+(M1458-LOOKUP(M1458,{12.5,15,20,30,45,60,75,105,115,150,200,225,250,600},{12.5,15,20,30,45,60,75,105,115,150,200,225,250,600}))/(LOOKUP(M1458,{12.5,15,20,30,45,60,75,105,115,150,200,225,250,600,1000},{15,20,30,45,60,75,105,115,150,200,225,250,600,1000,1000})-LOOKUP(M1458,{12.5,15,20,30,45,60,75,105,115,150,200,225,250,600},{12.5,15,20,30,45,60,75,105,115,150,200,225,250,600}))*(LOOKUP(M1458,{12.5,15,20,30,45,60,75,105,115,150,200,225,250,600,1000},{55,60,62,65,68,70,72,75,80,82,85,87,90,95,95})-LOOKUP(M1458,{12.5,15,20,30,45,60,75,105,115,150,200,225,250,600,1000},{50,55,60,62,65,68,70,72,75,80,82,85,87,90,95})))))</f>
        <v>60</v>
      </c>
      <c r="P1458" s="2">
        <f t="shared" si="113"/>
        <v>-15</v>
      </c>
      <c r="Q1458" s="2">
        <f t="shared" si="114"/>
        <v>-6.67</v>
      </c>
    </row>
    <row r="1459" customHeight="1" spans="1:17">
      <c r="B1459" s="2">
        <v>1458</v>
      </c>
      <c r="C1459" s="3">
        <f t="shared" si="115"/>
        <v>38.1</v>
      </c>
      <c r="D1459" s="2" t="s">
        <v>1897</v>
      </c>
      <c r="E1459" s="2">
        <v>50</v>
      </c>
      <c r="F1459" s="9">
        <v>72</v>
      </c>
      <c r="G1459" s="2">
        <v>37</v>
      </c>
      <c r="H1459" s="2" t="s">
        <v>515</v>
      </c>
      <c r="I1459" s="2" t="s">
        <v>305</v>
      </c>
      <c r="J1459" s="4" t="s">
        <v>73</v>
      </c>
      <c r="M1459" s="2">
        <f t="shared" si="111"/>
        <v>600</v>
      </c>
      <c r="N1459" s="2">
        <f t="shared" si="112"/>
        <v>53.1</v>
      </c>
      <c r="O1459" s="2">
        <f>IF(M1459="","",IF(M1459&gt;=1000,95,IF(M1459&lt;=12.5,50,LOOKUP(M1459,{12.5,15,20,30,45,60,75,105,115,150,200,225,250,600,1000},{50,55,60,62,65,68,70,72,75,80,82,85,87,90,95})+(M1459-LOOKUP(M1459,{12.5,15,20,30,45,60,75,105,115,150,200,225,250,600},{12.5,15,20,30,45,60,75,105,115,150,200,225,250,600}))/(LOOKUP(M1459,{12.5,15,20,30,45,60,75,105,115,150,200,225,250,600,1000},{15,20,30,45,60,75,105,115,150,200,225,250,600,1000,1000})-LOOKUP(M1459,{12.5,15,20,30,45,60,75,105,115,150,200,225,250,600},{12.5,15,20,30,45,60,75,105,115,150,200,225,250,600}))*(LOOKUP(M1459,{12.5,15,20,30,45,60,75,105,115,150,200,225,250,600,1000},{55,60,62,65,68,70,72,75,80,82,85,87,90,95,95})-LOOKUP(M1459,{12.5,15,20,30,45,60,75,105,115,150,200,225,250,600,1000},{50,55,60,62,65,68,70,72,75,80,82,85,87,90,95})))))</f>
        <v>90</v>
      </c>
      <c r="P1459" s="2">
        <f t="shared" si="113"/>
        <v>-40</v>
      </c>
      <c r="Q1459" s="2">
        <f t="shared" si="114"/>
        <v>-15</v>
      </c>
    </row>
    <row r="1460" customHeight="1" spans="1:17">
      <c r="B1460" s="2">
        <v>1459</v>
      </c>
      <c r="C1460" s="3">
        <f t="shared" si="115"/>
        <v>38.03</v>
      </c>
      <c r="D1460" s="2" t="s">
        <v>1898</v>
      </c>
      <c r="E1460" s="2">
        <v>48</v>
      </c>
      <c r="F1460" s="2">
        <v>58</v>
      </c>
      <c r="G1460" s="2">
        <v>35</v>
      </c>
      <c r="H1460" s="2" t="s">
        <v>991</v>
      </c>
      <c r="I1460" s="2" t="s">
        <v>183</v>
      </c>
      <c r="J1460" s="4" t="s">
        <v>148</v>
      </c>
      <c r="M1460" s="2">
        <f t="shared" si="111"/>
        <v>115</v>
      </c>
      <c r="N1460" s="2">
        <f t="shared" si="112"/>
        <v>48.7</v>
      </c>
      <c r="O1460" s="2">
        <f>IF(M1460="","",IF(M1460&gt;=1000,95,IF(M1460&lt;=12.5,50,LOOKUP(M1460,{12.5,15,20,30,45,60,75,105,115,150,200,225,250,600,1000},{50,55,60,62,65,68,70,72,75,80,82,85,87,90,95})+(M1460-LOOKUP(M1460,{12.5,15,20,30,45,60,75,105,115,150,200,225,250,600},{12.5,15,20,30,45,60,75,105,115,150,200,225,250,600}))/(LOOKUP(M1460,{12.5,15,20,30,45,60,75,105,115,150,200,225,250,600,1000},{15,20,30,45,60,75,105,115,150,200,225,250,600,1000,1000})-LOOKUP(M1460,{12.5,15,20,30,45,60,75,105,115,150,200,225,250,600},{12.5,15,20,30,45,60,75,105,115,150,200,225,250,600}))*(LOOKUP(M1460,{12.5,15,20,30,45,60,75,105,115,150,200,225,250,600,1000},{55,60,62,65,68,70,72,75,80,82,85,87,90,95,95})-LOOKUP(M1460,{12.5,15,20,30,45,60,75,105,115,150,200,225,250,600,1000},{50,55,60,62,65,68,70,72,75,80,82,85,87,90,95})))))</f>
        <v>75</v>
      </c>
      <c r="P1460" s="2">
        <f t="shared" si="113"/>
        <v>-27</v>
      </c>
      <c r="Q1460" s="2">
        <f t="shared" si="114"/>
        <v>-10.67</v>
      </c>
    </row>
    <row r="1461" customHeight="1" spans="1:17">
      <c r="B1461" s="2">
        <v>1460</v>
      </c>
      <c r="C1461" s="3">
        <f t="shared" si="115"/>
        <v>38</v>
      </c>
      <c r="D1461" s="2" t="s">
        <v>1899</v>
      </c>
      <c r="E1461" s="2">
        <v>49</v>
      </c>
      <c r="F1461" s="2">
        <v>50</v>
      </c>
      <c r="G1461" s="2">
        <v>57</v>
      </c>
      <c r="H1461" s="2" t="s">
        <v>175</v>
      </c>
      <c r="I1461" s="2" t="s">
        <v>28</v>
      </c>
      <c r="J1461" s="4" t="s">
        <v>59</v>
      </c>
      <c r="M1461" s="2">
        <f t="shared" si="111"/>
        <v>150</v>
      </c>
      <c r="N1461" s="2">
        <f t="shared" si="112"/>
        <v>50</v>
      </c>
      <c r="O1461" s="2">
        <f>IF(M1461="","",IF(M1461&gt;=1000,95,IF(M1461&lt;=12.5,50,LOOKUP(M1461,{12.5,15,20,30,45,60,75,105,115,150,200,225,250,600,1000},{50,55,60,62,65,68,70,72,75,80,82,85,87,90,95})+(M1461-LOOKUP(M1461,{12.5,15,20,30,45,60,75,105,115,150,200,225,250,600},{12.5,15,20,30,45,60,75,105,115,150,200,225,250,600}))/(LOOKUP(M1461,{12.5,15,20,30,45,60,75,105,115,150,200,225,250,600,1000},{15,20,30,45,60,75,105,115,150,200,225,250,600,1000,1000})-LOOKUP(M1461,{12.5,15,20,30,45,60,75,105,115,150,200,225,250,600},{12.5,15,20,30,45,60,75,105,115,150,200,225,250,600}))*(LOOKUP(M1461,{12.5,15,20,30,45,60,75,105,115,150,200,225,250,600,1000},{55,60,62,65,68,70,72,75,80,82,85,87,90,95,95})-LOOKUP(M1461,{12.5,15,20,30,45,60,75,105,115,150,200,225,250,600,1000},{50,55,60,62,65,68,70,72,75,80,82,85,87,90,95})))))</f>
        <v>80</v>
      </c>
      <c r="P1461" s="2">
        <f t="shared" si="113"/>
        <v>-31</v>
      </c>
      <c r="Q1461" s="2">
        <f t="shared" si="114"/>
        <v>-12</v>
      </c>
    </row>
    <row r="1462" customHeight="1" spans="1:17">
      <c r="B1462" s="2">
        <v>1461</v>
      </c>
      <c r="C1462" s="3">
        <f t="shared" si="115"/>
        <v>37.7</v>
      </c>
      <c r="D1462" s="2" t="s">
        <v>1900</v>
      </c>
      <c r="E1462" s="2">
        <v>41</v>
      </c>
      <c r="F1462" s="2">
        <v>50</v>
      </c>
      <c r="G1462" s="2">
        <v>35</v>
      </c>
      <c r="H1462" s="2" t="s">
        <v>91</v>
      </c>
      <c r="I1462" s="2" t="s">
        <v>503</v>
      </c>
      <c r="J1462" s="4" t="s">
        <v>77</v>
      </c>
      <c r="M1462" s="2">
        <f t="shared" si="111"/>
        <v>12.5</v>
      </c>
      <c r="N1462" s="2">
        <f t="shared" si="112"/>
        <v>42.2</v>
      </c>
      <c r="O1462" s="2">
        <f>IF(M1462="","",IF(M1462&gt;=1000,95,IF(M1462&lt;=12.5,50,LOOKUP(M1462,{12.5,15,20,30,45,60,75,105,115,150,200,225,250,600,1000},{50,55,60,62,65,68,70,72,75,80,82,85,87,90,95})+(M1462-LOOKUP(M1462,{12.5,15,20,30,45,60,75,105,115,150,200,225,250,600},{12.5,15,20,30,45,60,75,105,115,150,200,225,250,600}))/(LOOKUP(M1462,{12.5,15,20,30,45,60,75,105,115,150,200,225,250,600,1000},{15,20,30,45,60,75,105,115,150,200,225,250,600,1000,1000})-LOOKUP(M1462,{12.5,15,20,30,45,60,75,105,115,150,200,225,250,600},{12.5,15,20,30,45,60,75,105,115,150,200,225,250,600}))*(LOOKUP(M1462,{12.5,15,20,30,45,60,75,105,115,150,200,225,250,600,1000},{55,60,62,65,68,70,72,75,80,82,85,87,90,95,95})-LOOKUP(M1462,{12.5,15,20,30,45,60,75,105,115,150,200,225,250,600,1000},{50,55,60,62,65,68,70,72,75,80,82,85,87,90,95})))))</f>
        <v>50</v>
      </c>
      <c r="P1462" s="2">
        <f t="shared" si="113"/>
        <v>-9</v>
      </c>
      <c r="Q1462" s="2">
        <f t="shared" si="114"/>
        <v>-4.5</v>
      </c>
    </row>
    <row r="1463" customHeight="1" spans="1:17">
      <c r="B1463" s="2">
        <v>1462</v>
      </c>
      <c r="C1463" s="3">
        <f t="shared" si="115"/>
        <v>37.43</v>
      </c>
      <c r="D1463" s="2" t="s">
        <v>1901</v>
      </c>
      <c r="E1463" s="2">
        <v>45</v>
      </c>
      <c r="F1463" s="12">
        <v>61</v>
      </c>
      <c r="G1463" s="2">
        <v>44</v>
      </c>
      <c r="H1463" s="2" t="s">
        <v>1431</v>
      </c>
      <c r="I1463" s="2" t="s">
        <v>239</v>
      </c>
      <c r="J1463" s="4" t="s">
        <v>105</v>
      </c>
      <c r="M1463" s="2">
        <f t="shared" si="111"/>
        <v>105</v>
      </c>
      <c r="N1463" s="2">
        <f t="shared" si="112"/>
        <v>48.1</v>
      </c>
      <c r="O1463" s="2">
        <f>IF(M1463="","",IF(M1463&gt;=1000,95,IF(M1463&lt;=12.5,50,LOOKUP(M1463,{12.5,15,20,30,45,60,75,105,115,150,200,225,250,600,1000},{50,55,60,62,65,68,70,72,75,80,82,85,87,90,95})+(M1463-LOOKUP(M1463,{12.5,15,20,30,45,60,75,105,115,150,200,225,250,600},{12.5,15,20,30,45,60,75,105,115,150,200,225,250,600}))/(LOOKUP(M1463,{12.5,15,20,30,45,60,75,105,115,150,200,225,250,600,1000},{15,20,30,45,60,75,105,115,150,200,225,250,600,1000,1000})-LOOKUP(M1463,{12.5,15,20,30,45,60,75,105,115,150,200,225,250,600},{12.5,15,20,30,45,60,75,105,115,150,200,225,250,600}))*(LOOKUP(M1463,{12.5,15,20,30,45,60,75,105,115,150,200,225,250,600,1000},{55,60,62,65,68,70,72,75,80,82,85,87,90,95,95})-LOOKUP(M1463,{12.5,15,20,30,45,60,75,105,115,150,200,225,250,600,1000},{50,55,60,62,65,68,70,72,75,80,82,85,87,90,95})))))</f>
        <v>72</v>
      </c>
      <c r="P1463" s="2">
        <f t="shared" si="113"/>
        <v>-27</v>
      </c>
      <c r="Q1463" s="2">
        <f t="shared" si="114"/>
        <v>-10.67</v>
      </c>
    </row>
    <row r="1464" customHeight="1" spans="1:17">
      <c r="B1464" s="2">
        <v>1463</v>
      </c>
      <c r="C1464" s="3">
        <f t="shared" si="115"/>
        <v>37.23</v>
      </c>
      <c r="D1464" s="2" t="s">
        <v>1902</v>
      </c>
      <c r="E1464" s="2">
        <v>43</v>
      </c>
      <c r="F1464" s="2">
        <v>59</v>
      </c>
      <c r="G1464" s="12">
        <v>60</v>
      </c>
      <c r="H1464" s="2" t="s">
        <v>37</v>
      </c>
      <c r="I1464" s="2" t="s">
        <v>154</v>
      </c>
      <c r="J1464" s="4" t="s">
        <v>24</v>
      </c>
      <c r="M1464" s="2">
        <f t="shared" si="111"/>
        <v>75</v>
      </c>
      <c r="N1464" s="2">
        <f t="shared" si="112"/>
        <v>47.9</v>
      </c>
      <c r="O1464" s="2">
        <f>IF(M1464="","",IF(M1464&gt;=1000,95,IF(M1464&lt;=12.5,50,LOOKUP(M1464,{12.5,15,20,30,45,60,75,105,115,150,200,225,250,600,1000},{50,55,60,62,65,68,70,72,75,80,82,85,87,90,95})+(M1464-LOOKUP(M1464,{12.5,15,20,30,45,60,75,105,115,150,200,225,250,600},{12.5,15,20,30,45,60,75,105,115,150,200,225,250,600}))/(LOOKUP(M1464,{12.5,15,20,30,45,60,75,105,115,150,200,225,250,600,1000},{15,20,30,45,60,75,105,115,150,200,225,250,600,1000,1000})-LOOKUP(M1464,{12.5,15,20,30,45,60,75,105,115,150,200,225,250,600},{12.5,15,20,30,45,60,75,105,115,150,200,225,250,600}))*(LOOKUP(M1464,{12.5,15,20,30,45,60,75,105,115,150,200,225,250,600,1000},{55,60,62,65,68,70,72,75,80,82,85,87,90,95,95})-LOOKUP(M1464,{12.5,15,20,30,45,60,75,105,115,150,200,225,250,600,1000},{50,55,60,62,65,68,70,72,75,80,82,85,87,90,95})))))</f>
        <v>70</v>
      </c>
      <c r="P1464" s="2">
        <f t="shared" si="113"/>
        <v>-27</v>
      </c>
      <c r="Q1464" s="2">
        <f t="shared" si="114"/>
        <v>-10.67</v>
      </c>
    </row>
    <row r="1465" customHeight="1" spans="1:17">
      <c r="B1465" s="2">
        <v>1464</v>
      </c>
      <c r="C1465" s="3">
        <f t="shared" si="115"/>
        <v>37.2</v>
      </c>
      <c r="D1465" s="2" t="s">
        <v>1903</v>
      </c>
      <c r="E1465" s="2">
        <v>41</v>
      </c>
      <c r="F1465" s="2">
        <v>50</v>
      </c>
      <c r="G1465" s="2">
        <v>30</v>
      </c>
      <c r="H1465" s="2" t="s">
        <v>91</v>
      </c>
      <c r="I1465" s="2" t="s">
        <v>28</v>
      </c>
      <c r="J1465" s="4" t="s">
        <v>77</v>
      </c>
      <c r="M1465" s="2">
        <f t="shared" si="111"/>
        <v>12.5</v>
      </c>
      <c r="N1465" s="2">
        <f t="shared" si="112"/>
        <v>41.7</v>
      </c>
      <c r="O1465" s="2">
        <f>IF(M1465="","",IF(M1465&gt;=1000,95,IF(M1465&lt;=12.5,50,LOOKUP(M1465,{12.5,15,20,30,45,60,75,105,115,150,200,225,250,600,1000},{50,55,60,62,65,68,70,72,75,80,82,85,87,90,95})+(M1465-LOOKUP(M1465,{12.5,15,20,30,45,60,75,105,115,150,200,225,250,600},{12.5,15,20,30,45,60,75,105,115,150,200,225,250,600}))/(LOOKUP(M1465,{12.5,15,20,30,45,60,75,105,115,150,200,225,250,600,1000},{15,20,30,45,60,75,105,115,150,200,225,250,600,1000,1000})-LOOKUP(M1465,{12.5,15,20,30,45,60,75,105,115,150,200,225,250,600},{12.5,15,20,30,45,60,75,105,115,150,200,225,250,600}))*(LOOKUP(M1465,{12.5,15,20,30,45,60,75,105,115,150,200,225,250,600,1000},{55,60,62,65,68,70,72,75,80,82,85,87,90,95,95})-LOOKUP(M1465,{12.5,15,20,30,45,60,75,105,115,150,200,225,250,600,1000},{50,55,60,62,65,68,70,72,75,80,82,85,87,90,95})))))</f>
        <v>50</v>
      </c>
      <c r="P1465" s="2">
        <f t="shared" si="113"/>
        <v>-9</v>
      </c>
      <c r="Q1465" s="2">
        <f t="shared" si="114"/>
        <v>-4.5</v>
      </c>
    </row>
    <row r="1466" customHeight="1" spans="1:17">
      <c r="A1466" s="2">
        <v>2026</v>
      </c>
      <c r="B1466" s="2">
        <v>1465</v>
      </c>
      <c r="C1466" s="3">
        <f t="shared" si="115"/>
        <v>37.1</v>
      </c>
      <c r="D1466" s="2" t="s">
        <v>1904</v>
      </c>
      <c r="E1466" s="2">
        <v>42</v>
      </c>
      <c r="F1466" s="12">
        <v>68</v>
      </c>
      <c r="G1466" s="2">
        <v>51</v>
      </c>
      <c r="H1466" s="2" t="s">
        <v>135</v>
      </c>
      <c r="I1466" s="2" t="s">
        <v>104</v>
      </c>
      <c r="J1466" s="4" t="s">
        <v>24</v>
      </c>
      <c r="M1466" s="2">
        <f t="shared" si="111"/>
        <v>75</v>
      </c>
      <c r="N1466" s="2">
        <f t="shared" si="112"/>
        <v>48.1</v>
      </c>
      <c r="O1466" s="2">
        <f>IF(M1466="","",IF(M1466&gt;=1000,95,IF(M1466&lt;=12.5,50,LOOKUP(M1466,{12.5,15,20,30,45,60,75,105,115,150,200,225,250,600,1000},{50,55,60,62,65,68,70,72,75,80,82,85,87,90,95})+(M1466-LOOKUP(M1466,{12.5,15,20,30,45,60,75,105,115,150,200,225,250,600},{12.5,15,20,30,45,60,75,105,115,150,200,225,250,600}))/(LOOKUP(M1466,{12.5,15,20,30,45,60,75,105,115,150,200,225,250,600,1000},{15,20,30,45,60,75,105,115,150,200,225,250,600,1000,1000})-LOOKUP(M1466,{12.5,15,20,30,45,60,75,105,115,150,200,225,250,600},{12.5,15,20,30,45,60,75,105,115,150,200,225,250,600}))*(LOOKUP(M1466,{12.5,15,20,30,45,60,75,105,115,150,200,225,250,600,1000},{55,60,62,65,68,70,72,75,80,82,85,87,90,95,95})-LOOKUP(M1466,{12.5,15,20,30,45,60,75,105,115,150,200,225,250,600,1000},{50,55,60,62,65,68,70,72,75,80,82,85,87,90,95})))))</f>
        <v>70</v>
      </c>
      <c r="P1466" s="2">
        <f t="shared" si="113"/>
        <v>-28</v>
      </c>
      <c r="Q1466" s="2">
        <f t="shared" si="114"/>
        <v>-11</v>
      </c>
    </row>
    <row r="1467" customHeight="1" spans="1:17">
      <c r="B1467" s="2">
        <v>1466</v>
      </c>
      <c r="C1467" s="3">
        <f t="shared" si="115"/>
        <v>36.9</v>
      </c>
      <c r="D1467" s="2" t="s">
        <v>1905</v>
      </c>
      <c r="E1467" s="2">
        <v>47</v>
      </c>
      <c r="F1467" s="2">
        <v>56</v>
      </c>
      <c r="G1467" s="9">
        <v>78</v>
      </c>
      <c r="H1467" s="2" t="s">
        <v>636</v>
      </c>
      <c r="I1467" s="2" t="s">
        <v>42</v>
      </c>
      <c r="J1467" s="4" t="s">
        <v>123</v>
      </c>
      <c r="M1467" s="2">
        <f t="shared" si="111"/>
        <v>250</v>
      </c>
      <c r="N1467" s="2">
        <f t="shared" si="112"/>
        <v>51.9</v>
      </c>
      <c r="O1467" s="2">
        <f>IF(M1467="","",IF(M1467&gt;=1000,95,IF(M1467&lt;=12.5,50,LOOKUP(M1467,{12.5,15,20,30,45,60,75,105,115,150,200,225,250,600,1000},{50,55,60,62,65,68,70,72,75,80,82,85,87,90,95})+(M1467-LOOKUP(M1467,{12.5,15,20,30,45,60,75,105,115,150,200,225,250,600},{12.5,15,20,30,45,60,75,105,115,150,200,225,250,600}))/(LOOKUP(M1467,{12.5,15,20,30,45,60,75,105,115,150,200,225,250,600,1000},{15,20,30,45,60,75,105,115,150,200,225,250,600,1000,1000})-LOOKUP(M1467,{12.5,15,20,30,45,60,75,105,115,150,200,225,250,600},{12.5,15,20,30,45,60,75,105,115,150,200,225,250,600}))*(LOOKUP(M1467,{12.5,15,20,30,45,60,75,105,115,150,200,225,250,600,1000},{55,60,62,65,68,70,72,75,80,82,85,87,90,95,95})-LOOKUP(M1467,{12.5,15,20,30,45,60,75,105,115,150,200,225,250,600,1000},{50,55,60,62,65,68,70,72,75,80,82,85,87,90,95})))))</f>
        <v>87</v>
      </c>
      <c r="P1467" s="2">
        <f t="shared" si="113"/>
        <v>-40</v>
      </c>
      <c r="Q1467" s="2">
        <f t="shared" si="114"/>
        <v>-15</v>
      </c>
    </row>
    <row r="1468" customHeight="1" spans="1:17">
      <c r="B1468" s="2">
        <v>1467</v>
      </c>
      <c r="C1468" s="3">
        <f t="shared" si="115"/>
        <v>36.83</v>
      </c>
      <c r="D1468" s="2" t="s">
        <v>1906</v>
      </c>
      <c r="E1468" s="2">
        <v>41</v>
      </c>
      <c r="F1468" s="12">
        <v>60</v>
      </c>
      <c r="G1468" s="2">
        <v>58</v>
      </c>
      <c r="H1468" s="2" t="s">
        <v>41</v>
      </c>
      <c r="I1468" s="2" t="s">
        <v>128</v>
      </c>
      <c r="J1468" s="4" t="s">
        <v>38</v>
      </c>
      <c r="M1468" s="2">
        <f t="shared" si="111"/>
        <v>45</v>
      </c>
      <c r="N1468" s="2">
        <f t="shared" si="112"/>
        <v>46.5</v>
      </c>
      <c r="O1468" s="2">
        <f>IF(M1468="","",IF(M1468&gt;=1000,95,IF(M1468&lt;=12.5,50,LOOKUP(M1468,{12.5,15,20,30,45,60,75,105,115,150,200,225,250,600,1000},{50,55,60,62,65,68,70,72,75,80,82,85,87,90,95})+(M1468-LOOKUP(M1468,{12.5,15,20,30,45,60,75,105,115,150,200,225,250,600},{12.5,15,20,30,45,60,75,105,115,150,200,225,250,600}))/(LOOKUP(M1468,{12.5,15,20,30,45,60,75,105,115,150,200,225,250,600,1000},{15,20,30,45,60,75,105,115,150,200,225,250,600,1000,1000})-LOOKUP(M1468,{12.5,15,20,30,45,60,75,105,115,150,200,225,250,600},{12.5,15,20,30,45,60,75,105,115,150,200,225,250,600}))*(LOOKUP(M1468,{12.5,15,20,30,45,60,75,105,115,150,200,225,250,600,1000},{55,60,62,65,68,70,72,75,80,82,85,87,90,95,95})-LOOKUP(M1468,{12.5,15,20,30,45,60,75,105,115,150,200,225,250,600,1000},{50,55,60,62,65,68,70,72,75,80,82,85,87,90,95})))))</f>
        <v>65</v>
      </c>
      <c r="P1468" s="2">
        <f t="shared" si="113"/>
        <v>-24</v>
      </c>
      <c r="Q1468" s="2">
        <f t="shared" si="114"/>
        <v>-9.67</v>
      </c>
    </row>
    <row r="1469" customHeight="1" spans="1:17">
      <c r="B1469" s="2">
        <v>1468</v>
      </c>
      <c r="C1469" s="3">
        <f t="shared" si="115"/>
        <v>36.83</v>
      </c>
      <c r="D1469" s="2" t="s">
        <v>1907</v>
      </c>
      <c r="E1469" s="2">
        <v>53</v>
      </c>
      <c r="F1469" s="2">
        <v>40</v>
      </c>
      <c r="G1469" s="2">
        <v>24</v>
      </c>
      <c r="H1469" s="2" t="s">
        <v>201</v>
      </c>
      <c r="I1469" s="2" t="s">
        <v>50</v>
      </c>
      <c r="J1469" s="4" t="s">
        <v>59</v>
      </c>
      <c r="M1469" s="2">
        <f t="shared" si="111"/>
        <v>150</v>
      </c>
      <c r="N1469" s="2">
        <f t="shared" si="112"/>
        <v>47.5</v>
      </c>
      <c r="O1469" s="2">
        <f>IF(M1469="","",IF(M1469&gt;=1000,95,IF(M1469&lt;=12.5,50,LOOKUP(M1469,{12.5,15,20,30,45,60,75,105,115,150,200,225,250,600,1000},{50,55,60,62,65,68,70,72,75,80,82,85,87,90,95})+(M1469-LOOKUP(M1469,{12.5,15,20,30,45,60,75,105,115,150,200,225,250,600},{12.5,15,20,30,45,60,75,105,115,150,200,225,250,600}))/(LOOKUP(M1469,{12.5,15,20,30,45,60,75,105,115,150,200,225,250,600,1000},{15,20,30,45,60,75,105,115,150,200,225,250,600,1000,1000})-LOOKUP(M1469,{12.5,15,20,30,45,60,75,105,115,150,200,225,250,600},{12.5,15,20,30,45,60,75,105,115,150,200,225,250,600}))*(LOOKUP(M1469,{12.5,15,20,30,45,60,75,105,115,150,200,225,250,600,1000},{55,60,62,65,68,70,72,75,80,82,85,87,90,95,95})-LOOKUP(M1469,{12.5,15,20,30,45,60,75,105,115,150,200,225,250,600,1000},{50,55,60,62,65,68,70,72,75,80,82,85,87,90,95})))))</f>
        <v>80</v>
      </c>
      <c r="P1469" s="2">
        <f t="shared" si="113"/>
        <v>-27</v>
      </c>
      <c r="Q1469" s="2">
        <f t="shared" si="114"/>
        <v>-10.67</v>
      </c>
    </row>
    <row r="1470" customHeight="1" spans="1:17">
      <c r="B1470" s="2">
        <v>1469</v>
      </c>
      <c r="C1470" s="3">
        <f t="shared" si="115"/>
        <v>36.7</v>
      </c>
      <c r="D1470" s="2" t="s">
        <v>1908</v>
      </c>
      <c r="E1470" s="2">
        <v>55</v>
      </c>
      <c r="F1470" s="2">
        <v>32</v>
      </c>
      <c r="G1470" s="2">
        <v>18</v>
      </c>
      <c r="H1470" s="2" t="s">
        <v>347</v>
      </c>
      <c r="I1470" s="2" t="s">
        <v>604</v>
      </c>
      <c r="J1470" s="4" t="s">
        <v>59</v>
      </c>
      <c r="M1470" s="2">
        <f t="shared" si="111"/>
        <v>150</v>
      </c>
      <c r="N1470" s="2">
        <f t="shared" si="112"/>
        <v>46.7</v>
      </c>
      <c r="O1470" s="2">
        <f>IF(M1470="","",IF(M1470&gt;=1000,95,IF(M1470&lt;=12.5,50,LOOKUP(M1470,{12.5,15,20,30,45,60,75,105,115,150,200,225,250,600,1000},{50,55,60,62,65,68,70,72,75,80,82,85,87,90,95})+(M1470-LOOKUP(M1470,{12.5,15,20,30,45,60,75,105,115,150,200,225,250,600},{12.5,15,20,30,45,60,75,105,115,150,200,225,250,600}))/(LOOKUP(M1470,{12.5,15,20,30,45,60,75,105,115,150,200,225,250,600,1000},{15,20,30,45,60,75,105,115,150,200,225,250,600,1000,1000})-LOOKUP(M1470,{12.5,15,20,30,45,60,75,105,115,150,200,225,250,600},{12.5,15,20,30,45,60,75,105,115,150,200,225,250,600}))*(LOOKUP(M1470,{12.5,15,20,30,45,60,75,105,115,150,200,225,250,600,1000},{55,60,62,65,68,70,72,75,80,82,85,87,90,95,95})-LOOKUP(M1470,{12.5,15,20,30,45,60,75,105,115,150,200,225,250,600,1000},{50,55,60,62,65,68,70,72,75,80,82,85,87,90,95})))))</f>
        <v>80</v>
      </c>
      <c r="P1470" s="2">
        <f t="shared" si="113"/>
        <v>-25</v>
      </c>
      <c r="Q1470" s="2">
        <f t="shared" si="114"/>
        <v>-10</v>
      </c>
    </row>
    <row r="1471" customHeight="1" spans="1:17">
      <c r="B1471" s="2">
        <v>1470</v>
      </c>
      <c r="C1471" s="3">
        <f t="shared" si="115"/>
        <v>36.54</v>
      </c>
      <c r="D1471" s="2" t="s">
        <v>1909</v>
      </c>
      <c r="E1471" s="2">
        <v>46</v>
      </c>
      <c r="F1471" s="12">
        <v>64</v>
      </c>
      <c r="G1471" s="2">
        <v>52</v>
      </c>
      <c r="H1471" s="2" t="s">
        <v>1517</v>
      </c>
      <c r="I1471" s="2" t="s">
        <v>33</v>
      </c>
      <c r="J1471" s="4" t="s">
        <v>51</v>
      </c>
      <c r="M1471" s="2">
        <f t="shared" si="111"/>
        <v>200</v>
      </c>
      <c r="N1471" s="2">
        <f t="shared" si="112"/>
        <v>50.2</v>
      </c>
      <c r="O1471" s="2">
        <f>IF(M1471="","",IF(M1471&gt;=1000,95,IF(M1471&lt;=12.5,50,LOOKUP(M1471,{12.5,15,20,30,45,60,75,105,115,150,200,225,250,600,1000},{50,55,60,62,65,68,70,72,75,80,82,85,87,90,95})+(M1471-LOOKUP(M1471,{12.5,15,20,30,45,60,75,105,115,150,200,225,250,600},{12.5,15,20,30,45,60,75,105,115,150,200,225,250,600}))/(LOOKUP(M1471,{12.5,15,20,30,45,60,75,105,115,150,200,225,250,600,1000},{15,20,30,45,60,75,105,115,150,200,225,250,600,1000,1000})-LOOKUP(M1471,{12.5,15,20,30,45,60,75,105,115,150,200,225,250,600},{12.5,15,20,30,45,60,75,105,115,150,200,225,250,600}))*(LOOKUP(M1471,{12.5,15,20,30,45,60,75,105,115,150,200,225,250,600,1000},{55,60,62,65,68,70,72,75,80,82,85,87,90,95,95})-LOOKUP(M1471,{12.5,15,20,30,45,60,75,105,115,150,200,225,250,600,1000},{50,55,60,62,65,68,70,72,75,80,82,85,87,90,95})))))</f>
        <v>82</v>
      </c>
      <c r="P1471" s="2">
        <f t="shared" si="113"/>
        <v>-36</v>
      </c>
      <c r="Q1471" s="2">
        <f t="shared" si="114"/>
        <v>-13.66</v>
      </c>
    </row>
    <row r="1472" customHeight="1" spans="1:17">
      <c r="B1472" s="2">
        <v>1471</v>
      </c>
      <c r="C1472" s="3">
        <f t="shared" si="115"/>
        <v>36.27</v>
      </c>
      <c r="D1472" s="2" t="s">
        <v>1910</v>
      </c>
      <c r="E1472" s="2">
        <v>45</v>
      </c>
      <c r="F1472" s="2">
        <v>45</v>
      </c>
      <c r="G1472" s="2">
        <v>51</v>
      </c>
      <c r="H1472" s="2" t="s">
        <v>339</v>
      </c>
      <c r="I1472" s="2" t="s">
        <v>28</v>
      </c>
      <c r="J1472" s="4" t="s">
        <v>34</v>
      </c>
      <c r="M1472" s="2">
        <f t="shared" si="111"/>
        <v>60</v>
      </c>
      <c r="N1472" s="2">
        <f t="shared" si="112"/>
        <v>45.6</v>
      </c>
      <c r="O1472" s="2">
        <f>IF(M1472="","",IF(M1472&gt;=1000,95,IF(M1472&lt;=12.5,50,LOOKUP(M1472,{12.5,15,20,30,45,60,75,105,115,150,200,225,250,600,1000},{50,55,60,62,65,68,70,72,75,80,82,85,87,90,95})+(M1472-LOOKUP(M1472,{12.5,15,20,30,45,60,75,105,115,150,200,225,250,600},{12.5,15,20,30,45,60,75,105,115,150,200,225,250,600}))/(LOOKUP(M1472,{12.5,15,20,30,45,60,75,105,115,150,200,225,250,600,1000},{15,20,30,45,60,75,105,115,150,200,225,250,600,1000,1000})-LOOKUP(M1472,{12.5,15,20,30,45,60,75,105,115,150,200,225,250,600},{12.5,15,20,30,45,60,75,105,115,150,200,225,250,600}))*(LOOKUP(M1472,{12.5,15,20,30,45,60,75,105,115,150,200,225,250,600,1000},{55,60,62,65,68,70,72,75,80,82,85,87,90,95,95})-LOOKUP(M1472,{12.5,15,20,30,45,60,75,105,115,150,200,225,250,600,1000},{50,55,60,62,65,68,70,72,75,80,82,85,87,90,95})))))</f>
        <v>68</v>
      </c>
      <c r="P1472" s="2">
        <f t="shared" si="113"/>
        <v>-23</v>
      </c>
      <c r="Q1472" s="2">
        <f t="shared" si="114"/>
        <v>-9.33</v>
      </c>
    </row>
    <row r="1473" customHeight="1" spans="1:17">
      <c r="A1473" s="2">
        <v>2026</v>
      </c>
      <c r="B1473" s="2">
        <v>1472</v>
      </c>
      <c r="C1473" s="3">
        <f t="shared" si="115"/>
        <v>36</v>
      </c>
      <c r="D1473" s="2" t="s">
        <v>1911</v>
      </c>
      <c r="E1473" s="2">
        <v>42</v>
      </c>
      <c r="F1473" s="2">
        <v>50</v>
      </c>
      <c r="G1473" s="2">
        <v>26</v>
      </c>
      <c r="H1473" s="2" t="s">
        <v>54</v>
      </c>
      <c r="I1473" s="2" t="s">
        <v>28</v>
      </c>
      <c r="J1473" s="4" t="s">
        <v>29</v>
      </c>
      <c r="M1473" s="2">
        <f t="shared" si="111"/>
        <v>15</v>
      </c>
      <c r="N1473" s="2">
        <f t="shared" si="112"/>
        <v>42</v>
      </c>
      <c r="O1473" s="2">
        <f>IF(M1473="","",IF(M1473&gt;=1000,95,IF(M1473&lt;=12.5,50,LOOKUP(M1473,{12.5,15,20,30,45,60,75,105,115,150,200,225,250,600,1000},{50,55,60,62,65,68,70,72,75,80,82,85,87,90,95})+(M1473-LOOKUP(M1473,{12.5,15,20,30,45,60,75,105,115,150,200,225,250,600},{12.5,15,20,30,45,60,75,105,115,150,200,225,250,600}))/(LOOKUP(M1473,{12.5,15,20,30,45,60,75,105,115,150,200,225,250,600,1000},{15,20,30,45,60,75,105,115,150,200,225,250,600,1000,1000})-LOOKUP(M1473,{12.5,15,20,30,45,60,75,105,115,150,200,225,250,600},{12.5,15,20,30,45,60,75,105,115,150,200,225,250,600}))*(LOOKUP(M1473,{12.5,15,20,30,45,60,75,105,115,150,200,225,250,600,1000},{55,60,62,65,68,70,72,75,80,82,85,87,90,95,95})-LOOKUP(M1473,{12.5,15,20,30,45,60,75,105,115,150,200,225,250,600,1000},{50,55,60,62,65,68,70,72,75,80,82,85,87,90,95})))))</f>
        <v>55</v>
      </c>
      <c r="P1473" s="2">
        <f t="shared" si="113"/>
        <v>-13</v>
      </c>
      <c r="Q1473" s="2">
        <f t="shared" si="114"/>
        <v>-6</v>
      </c>
    </row>
    <row r="1474" customHeight="1" spans="1:17">
      <c r="B1474" s="2">
        <v>1473</v>
      </c>
      <c r="C1474" s="3">
        <f t="shared" si="115"/>
        <v>35.87</v>
      </c>
      <c r="D1474" s="2" t="s">
        <v>1912</v>
      </c>
      <c r="E1474" s="2">
        <v>40</v>
      </c>
      <c r="F1474" s="12">
        <v>66</v>
      </c>
      <c r="G1474" s="9">
        <v>70</v>
      </c>
      <c r="H1474" s="2" t="s">
        <v>37</v>
      </c>
      <c r="I1474" s="2" t="s">
        <v>58</v>
      </c>
      <c r="J1474" s="4" t="s">
        <v>105</v>
      </c>
      <c r="M1474" s="2">
        <f t="shared" ref="M1474:M1518" si="116">IF(J1474="1000+",1000,(LEFT(J1474,FIND("-",J1474)-1)+RIGHT(J1474,LEN(J1474)-FIND("-",J1474)))/2)</f>
        <v>105</v>
      </c>
      <c r="N1474" s="2">
        <f t="shared" ref="N1474:N1518" si="117">ROUND(E1474*0.7+F1474*0.2+G1474*0.1,2)</f>
        <v>48.2</v>
      </c>
      <c r="O1474" s="2">
        <f>IF(M1474="","",IF(M1474&gt;=1000,95,IF(M1474&lt;=12.5,50,LOOKUP(M1474,{12.5,15,20,30,45,60,75,105,115,150,200,225,250,600,1000},{50,55,60,62,65,68,70,72,75,80,82,85,87,90,95})+(M1474-LOOKUP(M1474,{12.5,15,20,30,45,60,75,105,115,150,200,225,250,600},{12.5,15,20,30,45,60,75,105,115,150,200,225,250,600}))/(LOOKUP(M1474,{12.5,15,20,30,45,60,75,105,115,150,200,225,250,600,1000},{15,20,30,45,60,75,105,115,150,200,225,250,600,1000,1000})-LOOKUP(M1474,{12.5,15,20,30,45,60,75,105,115,150,200,225,250,600},{12.5,15,20,30,45,60,75,105,115,150,200,225,250,600}))*(LOOKUP(M1474,{12.5,15,20,30,45,60,75,105,115,150,200,225,250,600,1000},{55,60,62,65,68,70,72,75,80,82,85,87,90,95,95})-LOOKUP(M1474,{12.5,15,20,30,45,60,75,105,115,150,200,225,250,600,1000},{50,55,60,62,65,68,70,72,75,80,82,85,87,90,95})))))</f>
        <v>72</v>
      </c>
      <c r="P1474" s="2">
        <f t="shared" si="113"/>
        <v>-32</v>
      </c>
      <c r="Q1474" s="2">
        <f t="shared" si="114"/>
        <v>-12.33</v>
      </c>
    </row>
    <row r="1475" customHeight="1" spans="1:17">
      <c r="B1475" s="2">
        <v>1474</v>
      </c>
      <c r="C1475" s="3">
        <f t="shared" si="115"/>
        <v>35.7</v>
      </c>
      <c r="D1475" s="2" t="s">
        <v>1913</v>
      </c>
      <c r="E1475" s="2">
        <v>45</v>
      </c>
      <c r="F1475" s="12">
        <v>60</v>
      </c>
      <c r="G1475" s="12">
        <v>62</v>
      </c>
      <c r="H1475" s="2" t="s">
        <v>573</v>
      </c>
      <c r="I1475" s="2" t="s">
        <v>612</v>
      </c>
      <c r="J1475" s="4" t="s">
        <v>51</v>
      </c>
      <c r="M1475" s="2">
        <f t="shared" si="116"/>
        <v>200</v>
      </c>
      <c r="N1475" s="2">
        <f t="shared" si="117"/>
        <v>49.7</v>
      </c>
      <c r="O1475" s="2">
        <f>IF(M1475="","",IF(M1475&gt;=1000,95,IF(M1475&lt;=12.5,50,LOOKUP(M1475,{12.5,15,20,30,45,60,75,105,115,150,200,225,250,600,1000},{50,55,60,62,65,68,70,72,75,80,82,85,87,90,95})+(M1475-LOOKUP(M1475,{12.5,15,20,30,45,60,75,105,115,150,200,225,250,600},{12.5,15,20,30,45,60,75,105,115,150,200,225,250,600}))/(LOOKUP(M1475,{12.5,15,20,30,45,60,75,105,115,150,200,225,250,600,1000},{15,20,30,45,60,75,105,115,150,200,225,250,600,1000,1000})-LOOKUP(M1475,{12.5,15,20,30,45,60,75,105,115,150,200,225,250,600},{12.5,15,20,30,45,60,75,105,115,150,200,225,250,600}))*(LOOKUP(M1475,{12.5,15,20,30,45,60,75,105,115,150,200,225,250,600,1000},{55,60,62,65,68,70,72,75,80,82,85,87,90,95,95})-LOOKUP(M1475,{12.5,15,20,30,45,60,75,105,115,150,200,225,250,600,1000},{50,55,60,62,65,68,70,72,75,80,82,85,87,90,95})))))</f>
        <v>82</v>
      </c>
      <c r="P1475" s="2">
        <f t="shared" si="113"/>
        <v>-37</v>
      </c>
      <c r="Q1475" s="2">
        <f t="shared" si="114"/>
        <v>-14</v>
      </c>
    </row>
    <row r="1476" customHeight="1" spans="1:17">
      <c r="B1476" s="2">
        <v>1475</v>
      </c>
      <c r="C1476" s="3">
        <f t="shared" si="115"/>
        <v>35.63</v>
      </c>
      <c r="D1476" s="2" t="s">
        <v>1914</v>
      </c>
      <c r="E1476" s="2">
        <v>41</v>
      </c>
      <c r="F1476" s="2">
        <v>51</v>
      </c>
      <c r="G1476" s="2">
        <v>54</v>
      </c>
      <c r="H1476" s="2" t="s">
        <v>41</v>
      </c>
      <c r="I1476" s="2" t="s">
        <v>128</v>
      </c>
      <c r="J1476" s="4" t="s">
        <v>88</v>
      </c>
      <c r="M1476" s="2">
        <f t="shared" si="116"/>
        <v>30</v>
      </c>
      <c r="N1476" s="2">
        <f t="shared" si="117"/>
        <v>44.3</v>
      </c>
      <c r="O1476" s="2">
        <f>IF(M1476="","",IF(M1476&gt;=1000,95,IF(M1476&lt;=12.5,50,LOOKUP(M1476,{12.5,15,20,30,45,60,75,105,115,150,200,225,250,600,1000},{50,55,60,62,65,68,70,72,75,80,82,85,87,90,95})+(M1476-LOOKUP(M1476,{12.5,15,20,30,45,60,75,105,115,150,200,225,250,600},{12.5,15,20,30,45,60,75,105,115,150,200,225,250,600}))/(LOOKUP(M1476,{12.5,15,20,30,45,60,75,105,115,150,200,225,250,600,1000},{15,20,30,45,60,75,105,115,150,200,225,250,600,1000,1000})-LOOKUP(M1476,{12.5,15,20,30,45,60,75,105,115,150,200,225,250,600},{12.5,15,20,30,45,60,75,105,115,150,200,225,250,600}))*(LOOKUP(M1476,{12.5,15,20,30,45,60,75,105,115,150,200,225,250,600,1000},{55,60,62,65,68,70,72,75,80,82,85,87,90,95,95})-LOOKUP(M1476,{12.5,15,20,30,45,60,75,105,115,150,200,225,250,600,1000},{50,55,60,62,65,68,70,72,75,80,82,85,87,90,95})))))</f>
        <v>62</v>
      </c>
      <c r="P1476" s="2">
        <f t="shared" si="113"/>
        <v>-21</v>
      </c>
      <c r="Q1476" s="2">
        <f t="shared" si="114"/>
        <v>-8.67</v>
      </c>
    </row>
    <row r="1477" customHeight="1" spans="1:17">
      <c r="A1477" s="2">
        <v>2026</v>
      </c>
      <c r="B1477" s="2">
        <v>1476</v>
      </c>
      <c r="C1477" s="3">
        <f t="shared" si="115"/>
        <v>35.3</v>
      </c>
      <c r="D1477" s="2" t="s">
        <v>1915</v>
      </c>
      <c r="E1477" s="2">
        <v>44</v>
      </c>
      <c r="F1477" s="2">
        <v>45</v>
      </c>
      <c r="G1477" s="2">
        <v>25</v>
      </c>
      <c r="H1477" s="2" t="s">
        <v>54</v>
      </c>
      <c r="I1477" s="2" t="s">
        <v>321</v>
      </c>
      <c r="J1477" s="4" t="s">
        <v>140</v>
      </c>
      <c r="M1477" s="2">
        <f t="shared" si="116"/>
        <v>20</v>
      </c>
      <c r="N1477" s="2">
        <f t="shared" si="117"/>
        <v>42.3</v>
      </c>
      <c r="O1477" s="2">
        <f>IF(M1477="","",IF(M1477&gt;=1000,95,IF(M1477&lt;=12.5,50,LOOKUP(M1477,{12.5,15,20,30,45,60,75,105,115,150,200,225,250,600,1000},{50,55,60,62,65,68,70,72,75,80,82,85,87,90,95})+(M1477-LOOKUP(M1477,{12.5,15,20,30,45,60,75,105,115,150,200,225,250,600},{12.5,15,20,30,45,60,75,105,115,150,200,225,250,600}))/(LOOKUP(M1477,{12.5,15,20,30,45,60,75,105,115,150,200,225,250,600,1000},{15,20,30,45,60,75,105,115,150,200,225,250,600,1000,1000})-LOOKUP(M1477,{12.5,15,20,30,45,60,75,105,115,150,200,225,250,600},{12.5,15,20,30,45,60,75,105,115,150,200,225,250,600}))*(LOOKUP(M1477,{12.5,15,20,30,45,60,75,105,115,150,200,225,250,600,1000},{55,60,62,65,68,70,72,75,80,82,85,87,90,95,95})-LOOKUP(M1477,{12.5,15,20,30,45,60,75,105,115,150,200,225,250,600,1000},{50,55,60,62,65,68,70,72,75,80,82,85,87,90,95})))))</f>
        <v>60</v>
      </c>
      <c r="P1477" s="2">
        <f t="shared" si="113"/>
        <v>-16</v>
      </c>
      <c r="Q1477" s="2">
        <f t="shared" si="114"/>
        <v>-7</v>
      </c>
    </row>
    <row r="1478" customHeight="1" spans="1:17">
      <c r="B1478" s="2">
        <v>1477</v>
      </c>
      <c r="C1478" s="3">
        <f t="shared" si="115"/>
        <v>35.27</v>
      </c>
      <c r="D1478" s="2" t="s">
        <v>1916</v>
      </c>
      <c r="E1478" s="2">
        <v>46</v>
      </c>
      <c r="F1478" s="2">
        <v>51</v>
      </c>
      <c r="G1478" s="2">
        <v>42</v>
      </c>
      <c r="H1478" s="2" t="s">
        <v>342</v>
      </c>
      <c r="I1478" s="2" t="s">
        <v>33</v>
      </c>
      <c r="J1478" s="4" t="s">
        <v>148</v>
      </c>
      <c r="M1478" s="2">
        <f t="shared" si="116"/>
        <v>115</v>
      </c>
      <c r="N1478" s="2">
        <f t="shared" si="117"/>
        <v>46.6</v>
      </c>
      <c r="O1478" s="2">
        <f>IF(M1478="","",IF(M1478&gt;=1000,95,IF(M1478&lt;=12.5,50,LOOKUP(M1478,{12.5,15,20,30,45,60,75,105,115,150,200,225,250,600,1000},{50,55,60,62,65,68,70,72,75,80,82,85,87,90,95})+(M1478-LOOKUP(M1478,{12.5,15,20,30,45,60,75,105,115,150,200,225,250,600},{12.5,15,20,30,45,60,75,105,115,150,200,225,250,600}))/(LOOKUP(M1478,{12.5,15,20,30,45,60,75,105,115,150,200,225,250,600,1000},{15,20,30,45,60,75,105,115,150,200,225,250,600,1000,1000})-LOOKUP(M1478,{12.5,15,20,30,45,60,75,105,115,150,200,225,250,600},{12.5,15,20,30,45,60,75,105,115,150,200,225,250,600}))*(LOOKUP(M1478,{12.5,15,20,30,45,60,75,105,115,150,200,225,250,600,1000},{55,60,62,65,68,70,72,75,80,82,85,87,90,95,95})-LOOKUP(M1478,{12.5,15,20,30,45,60,75,105,115,150,200,225,250,600,1000},{50,55,60,62,65,68,70,72,75,80,82,85,87,90,95})))))</f>
        <v>75</v>
      </c>
      <c r="P1478" s="2">
        <f t="shared" ref="P1478:P1518" si="118">E1478-O1478</f>
        <v>-29</v>
      </c>
      <c r="Q1478" s="2">
        <f t="shared" ref="Q1478:Q1518" si="119">ROUND(SIGN(P1478)*IF(ABS(P1478)&lt;=10,ABS(P1478)*0.5,IF(ABS(P1478)&lt;=15,5+(ABS(P1478)-10)*(1.67/5),6.67+(ABS(P1478)-15)*0.333)),2)</f>
        <v>-11.33</v>
      </c>
    </row>
    <row r="1479" customHeight="1" spans="1:17">
      <c r="B1479" s="2">
        <v>1478</v>
      </c>
      <c r="C1479" s="3">
        <f t="shared" si="115"/>
        <v>34.6</v>
      </c>
      <c r="D1479" s="2" t="s">
        <v>1917</v>
      </c>
      <c r="E1479" s="2">
        <v>51</v>
      </c>
      <c r="F1479" s="2">
        <v>40</v>
      </c>
      <c r="G1479" s="2">
        <v>39</v>
      </c>
      <c r="H1479" s="2" t="s">
        <v>87</v>
      </c>
      <c r="I1479" s="2" t="s">
        <v>104</v>
      </c>
      <c r="J1479" s="4" t="s">
        <v>19</v>
      </c>
      <c r="M1479" s="2">
        <f t="shared" si="116"/>
        <v>225</v>
      </c>
      <c r="N1479" s="2">
        <f t="shared" si="117"/>
        <v>47.6</v>
      </c>
      <c r="O1479" s="2">
        <f>IF(M1479="","",IF(M1479&gt;=1000,95,IF(M1479&lt;=12.5,50,LOOKUP(M1479,{12.5,15,20,30,45,60,75,105,115,150,200,225,250,600,1000},{50,55,60,62,65,68,70,72,75,80,82,85,87,90,95})+(M1479-LOOKUP(M1479,{12.5,15,20,30,45,60,75,105,115,150,200,225,250,600},{12.5,15,20,30,45,60,75,105,115,150,200,225,250,600}))/(LOOKUP(M1479,{12.5,15,20,30,45,60,75,105,115,150,200,225,250,600,1000},{15,20,30,45,60,75,105,115,150,200,225,250,600,1000,1000})-LOOKUP(M1479,{12.5,15,20,30,45,60,75,105,115,150,200,225,250,600},{12.5,15,20,30,45,60,75,105,115,150,200,225,250,600}))*(LOOKUP(M1479,{12.5,15,20,30,45,60,75,105,115,150,200,225,250,600,1000},{55,60,62,65,68,70,72,75,80,82,85,87,90,95,95})-LOOKUP(M1479,{12.5,15,20,30,45,60,75,105,115,150,200,225,250,600,1000},{50,55,60,62,65,68,70,72,75,80,82,85,87,90,95})))))</f>
        <v>85</v>
      </c>
      <c r="P1479" s="2">
        <f t="shared" si="118"/>
        <v>-34</v>
      </c>
      <c r="Q1479" s="2">
        <f t="shared" si="119"/>
        <v>-13</v>
      </c>
    </row>
    <row r="1480" customHeight="1" spans="1:17">
      <c r="B1480" s="2">
        <v>1479</v>
      </c>
      <c r="C1480" s="3">
        <f t="shared" si="115"/>
        <v>34.53</v>
      </c>
      <c r="D1480" s="2" t="s">
        <v>1918</v>
      </c>
      <c r="E1480" s="2">
        <v>45</v>
      </c>
      <c r="F1480" s="2">
        <v>54</v>
      </c>
      <c r="G1480" s="2">
        <v>39</v>
      </c>
      <c r="H1480" s="2" t="s">
        <v>175</v>
      </c>
      <c r="I1480" s="2" t="s">
        <v>612</v>
      </c>
      <c r="J1480" s="4" t="s">
        <v>148</v>
      </c>
      <c r="M1480" s="2">
        <f t="shared" si="116"/>
        <v>115</v>
      </c>
      <c r="N1480" s="2">
        <f t="shared" si="117"/>
        <v>46.2</v>
      </c>
      <c r="O1480" s="2">
        <f>IF(M1480="","",IF(M1480&gt;=1000,95,IF(M1480&lt;=12.5,50,LOOKUP(M1480,{12.5,15,20,30,45,60,75,105,115,150,200,225,250,600,1000},{50,55,60,62,65,68,70,72,75,80,82,85,87,90,95})+(M1480-LOOKUP(M1480,{12.5,15,20,30,45,60,75,105,115,150,200,225,250,600},{12.5,15,20,30,45,60,75,105,115,150,200,225,250,600}))/(LOOKUP(M1480,{12.5,15,20,30,45,60,75,105,115,150,200,225,250,600,1000},{15,20,30,45,60,75,105,115,150,200,225,250,600,1000,1000})-LOOKUP(M1480,{12.5,15,20,30,45,60,75,105,115,150,200,225,250,600},{12.5,15,20,30,45,60,75,105,115,150,200,225,250,600}))*(LOOKUP(M1480,{12.5,15,20,30,45,60,75,105,115,150,200,225,250,600,1000},{55,60,62,65,68,70,72,75,80,82,85,87,90,95,95})-LOOKUP(M1480,{12.5,15,20,30,45,60,75,105,115,150,200,225,250,600,1000},{50,55,60,62,65,68,70,72,75,80,82,85,87,90,95})))))</f>
        <v>75</v>
      </c>
      <c r="P1480" s="2">
        <f t="shared" si="118"/>
        <v>-30</v>
      </c>
      <c r="Q1480" s="2">
        <f t="shared" si="119"/>
        <v>-11.67</v>
      </c>
    </row>
    <row r="1481" customHeight="1" spans="1:17">
      <c r="B1481" s="2">
        <v>1480</v>
      </c>
      <c r="C1481" s="3">
        <f t="shared" si="115"/>
        <v>34.14</v>
      </c>
      <c r="D1481" s="2" t="s">
        <v>1919</v>
      </c>
      <c r="E1481" s="2">
        <v>44</v>
      </c>
      <c r="F1481" s="12">
        <v>60</v>
      </c>
      <c r="G1481" s="2">
        <v>50</v>
      </c>
      <c r="H1481" s="2" t="s">
        <v>444</v>
      </c>
      <c r="I1481" s="2" t="s">
        <v>33</v>
      </c>
      <c r="J1481" s="4" t="s">
        <v>59</v>
      </c>
      <c r="M1481" s="2">
        <f t="shared" si="116"/>
        <v>150</v>
      </c>
      <c r="N1481" s="2">
        <f t="shared" si="117"/>
        <v>47.8</v>
      </c>
      <c r="O1481" s="2">
        <f>IF(M1481="","",IF(M1481&gt;=1000,95,IF(M1481&lt;=12.5,50,LOOKUP(M1481,{12.5,15,20,30,45,60,75,105,115,150,200,225,250,600,1000},{50,55,60,62,65,68,70,72,75,80,82,85,87,90,95})+(M1481-LOOKUP(M1481,{12.5,15,20,30,45,60,75,105,115,150,200,225,250,600},{12.5,15,20,30,45,60,75,105,115,150,200,225,250,600}))/(LOOKUP(M1481,{12.5,15,20,30,45,60,75,105,115,150,200,225,250,600,1000},{15,20,30,45,60,75,105,115,150,200,225,250,600,1000,1000})-LOOKUP(M1481,{12.5,15,20,30,45,60,75,105,115,150,200,225,250,600},{12.5,15,20,30,45,60,75,105,115,150,200,225,250,600}))*(LOOKUP(M1481,{12.5,15,20,30,45,60,75,105,115,150,200,225,250,600,1000},{55,60,62,65,68,70,72,75,80,82,85,87,90,95,95})-LOOKUP(M1481,{12.5,15,20,30,45,60,75,105,115,150,200,225,250,600,1000},{50,55,60,62,65,68,70,72,75,80,82,85,87,90,95})))))</f>
        <v>80</v>
      </c>
      <c r="P1481" s="2">
        <f t="shared" si="118"/>
        <v>-36</v>
      </c>
      <c r="Q1481" s="2">
        <f t="shared" si="119"/>
        <v>-13.66</v>
      </c>
    </row>
    <row r="1482" customHeight="1" spans="1:17">
      <c r="B1482" s="2">
        <v>1481</v>
      </c>
      <c r="C1482" s="3">
        <f t="shared" si="115"/>
        <v>34.07</v>
      </c>
      <c r="D1482" s="2" t="s">
        <v>1920</v>
      </c>
      <c r="E1482" s="2">
        <v>44</v>
      </c>
      <c r="F1482" s="2">
        <v>56</v>
      </c>
      <c r="G1482" s="12">
        <v>64</v>
      </c>
      <c r="H1482" s="2" t="s">
        <v>175</v>
      </c>
      <c r="I1482" s="2" t="s">
        <v>33</v>
      </c>
      <c r="J1482" s="4" t="s">
        <v>51</v>
      </c>
      <c r="M1482" s="2">
        <f t="shared" si="116"/>
        <v>200</v>
      </c>
      <c r="N1482" s="2">
        <f t="shared" si="117"/>
        <v>48.4</v>
      </c>
      <c r="O1482" s="2">
        <f>IF(M1482="","",IF(M1482&gt;=1000,95,IF(M1482&lt;=12.5,50,LOOKUP(M1482,{12.5,15,20,30,45,60,75,105,115,150,200,225,250,600,1000},{50,55,60,62,65,68,70,72,75,80,82,85,87,90,95})+(M1482-LOOKUP(M1482,{12.5,15,20,30,45,60,75,105,115,150,200,225,250,600},{12.5,15,20,30,45,60,75,105,115,150,200,225,250,600}))/(LOOKUP(M1482,{12.5,15,20,30,45,60,75,105,115,150,200,225,250,600,1000},{15,20,30,45,60,75,105,115,150,200,225,250,600,1000,1000})-LOOKUP(M1482,{12.5,15,20,30,45,60,75,105,115,150,200,225,250,600},{12.5,15,20,30,45,60,75,105,115,150,200,225,250,600}))*(LOOKUP(M1482,{12.5,15,20,30,45,60,75,105,115,150,200,225,250,600,1000},{55,60,62,65,68,70,72,75,80,82,85,87,90,95,95})-LOOKUP(M1482,{12.5,15,20,30,45,60,75,105,115,150,200,225,250,600,1000},{50,55,60,62,65,68,70,72,75,80,82,85,87,90,95})))))</f>
        <v>82</v>
      </c>
      <c r="P1482" s="2">
        <f t="shared" si="118"/>
        <v>-38</v>
      </c>
      <c r="Q1482" s="2">
        <f t="shared" si="119"/>
        <v>-14.33</v>
      </c>
    </row>
    <row r="1483" customHeight="1" spans="1:17">
      <c r="A1483" s="2">
        <v>2026</v>
      </c>
      <c r="B1483" s="2">
        <v>1482</v>
      </c>
      <c r="C1483" s="3">
        <f t="shared" si="115"/>
        <v>33.67</v>
      </c>
      <c r="D1483" s="2" t="s">
        <v>1921</v>
      </c>
      <c r="E1483" s="2">
        <v>54</v>
      </c>
      <c r="F1483" s="2">
        <v>18</v>
      </c>
      <c r="G1483" s="2">
        <v>26</v>
      </c>
      <c r="H1483" s="2" t="s">
        <v>41</v>
      </c>
      <c r="I1483" s="2" t="s">
        <v>183</v>
      </c>
      <c r="J1483" s="4" t="s">
        <v>59</v>
      </c>
      <c r="M1483" s="2">
        <f t="shared" si="116"/>
        <v>150</v>
      </c>
      <c r="N1483" s="2">
        <f t="shared" si="117"/>
        <v>44</v>
      </c>
      <c r="O1483" s="2">
        <f>IF(M1483="","",IF(M1483&gt;=1000,95,IF(M1483&lt;=12.5,50,LOOKUP(M1483,{12.5,15,20,30,45,60,75,105,115,150,200,225,250,600,1000},{50,55,60,62,65,68,70,72,75,80,82,85,87,90,95})+(M1483-LOOKUP(M1483,{12.5,15,20,30,45,60,75,105,115,150,200,225,250,600},{12.5,15,20,30,45,60,75,105,115,150,200,225,250,600}))/(LOOKUP(M1483,{12.5,15,20,30,45,60,75,105,115,150,200,225,250,600,1000},{15,20,30,45,60,75,105,115,150,200,225,250,600,1000,1000})-LOOKUP(M1483,{12.5,15,20,30,45,60,75,105,115,150,200,225,250,600},{12.5,15,20,30,45,60,75,105,115,150,200,225,250,600}))*(LOOKUP(M1483,{12.5,15,20,30,45,60,75,105,115,150,200,225,250,600,1000},{55,60,62,65,68,70,72,75,80,82,85,87,90,95,95})-LOOKUP(M1483,{12.5,15,20,30,45,60,75,105,115,150,200,225,250,600,1000},{50,55,60,62,65,68,70,72,75,80,82,85,87,90,95})))))</f>
        <v>80</v>
      </c>
      <c r="P1483" s="2">
        <f t="shared" si="118"/>
        <v>-26</v>
      </c>
      <c r="Q1483" s="2">
        <f t="shared" si="119"/>
        <v>-10.33</v>
      </c>
    </row>
    <row r="1484" customHeight="1" spans="1:17">
      <c r="B1484" s="2">
        <v>1483</v>
      </c>
      <c r="C1484" s="3">
        <f t="shared" si="115"/>
        <v>33.53</v>
      </c>
      <c r="D1484" s="2" t="s">
        <v>1922</v>
      </c>
      <c r="E1484" s="2">
        <v>41</v>
      </c>
      <c r="F1484" s="2">
        <v>50</v>
      </c>
      <c r="G1484" s="2">
        <v>35</v>
      </c>
      <c r="H1484" s="2" t="s">
        <v>1239</v>
      </c>
      <c r="I1484" s="2" t="s">
        <v>128</v>
      </c>
      <c r="J1484" s="4" t="s">
        <v>88</v>
      </c>
      <c r="M1484" s="2">
        <f t="shared" si="116"/>
        <v>30</v>
      </c>
      <c r="N1484" s="2">
        <f t="shared" si="117"/>
        <v>42.2</v>
      </c>
      <c r="O1484" s="2">
        <f>IF(M1484="","",IF(M1484&gt;=1000,95,IF(M1484&lt;=12.5,50,LOOKUP(M1484,{12.5,15,20,30,45,60,75,105,115,150,200,225,250,600,1000},{50,55,60,62,65,68,70,72,75,80,82,85,87,90,95})+(M1484-LOOKUP(M1484,{12.5,15,20,30,45,60,75,105,115,150,200,225,250,600},{12.5,15,20,30,45,60,75,105,115,150,200,225,250,600}))/(LOOKUP(M1484,{12.5,15,20,30,45,60,75,105,115,150,200,225,250,600,1000},{15,20,30,45,60,75,105,115,150,200,225,250,600,1000,1000})-LOOKUP(M1484,{12.5,15,20,30,45,60,75,105,115,150,200,225,250,600},{12.5,15,20,30,45,60,75,105,115,150,200,225,250,600}))*(LOOKUP(M1484,{12.5,15,20,30,45,60,75,105,115,150,200,225,250,600,1000},{55,60,62,65,68,70,72,75,80,82,85,87,90,95,95})-LOOKUP(M1484,{12.5,15,20,30,45,60,75,105,115,150,200,225,250,600,1000},{50,55,60,62,65,68,70,72,75,80,82,85,87,90,95})))))</f>
        <v>62</v>
      </c>
      <c r="P1484" s="2">
        <f t="shared" si="118"/>
        <v>-21</v>
      </c>
      <c r="Q1484" s="2">
        <f t="shared" si="119"/>
        <v>-8.67</v>
      </c>
    </row>
    <row r="1485" customHeight="1" spans="1:17">
      <c r="B1485" s="2">
        <v>1484</v>
      </c>
      <c r="C1485" s="3">
        <f t="shared" si="115"/>
        <v>33.4</v>
      </c>
      <c r="D1485" s="2" t="s">
        <v>1923</v>
      </c>
      <c r="E1485" s="2">
        <v>45</v>
      </c>
      <c r="F1485" s="12">
        <v>64</v>
      </c>
      <c r="G1485" s="2">
        <v>41</v>
      </c>
      <c r="H1485" s="2" t="s">
        <v>201</v>
      </c>
      <c r="I1485" s="2" t="s">
        <v>159</v>
      </c>
      <c r="J1485" s="4" t="s">
        <v>19</v>
      </c>
      <c r="M1485" s="2">
        <f t="shared" si="116"/>
        <v>225</v>
      </c>
      <c r="N1485" s="2">
        <f t="shared" si="117"/>
        <v>48.4</v>
      </c>
      <c r="O1485" s="2">
        <f>IF(M1485="","",IF(M1485&gt;=1000,95,IF(M1485&lt;=12.5,50,LOOKUP(M1485,{12.5,15,20,30,45,60,75,105,115,150,200,225,250,600,1000},{50,55,60,62,65,68,70,72,75,80,82,85,87,90,95})+(M1485-LOOKUP(M1485,{12.5,15,20,30,45,60,75,105,115,150,200,225,250,600},{12.5,15,20,30,45,60,75,105,115,150,200,225,250,600}))/(LOOKUP(M1485,{12.5,15,20,30,45,60,75,105,115,150,200,225,250,600,1000},{15,20,30,45,60,75,105,115,150,200,225,250,600,1000,1000})-LOOKUP(M1485,{12.5,15,20,30,45,60,75,105,115,150,200,225,250,600},{12.5,15,20,30,45,60,75,105,115,150,200,225,250,600}))*(LOOKUP(M1485,{12.5,15,20,30,45,60,75,105,115,150,200,225,250,600,1000},{55,60,62,65,68,70,72,75,80,82,85,87,90,95,95})-LOOKUP(M1485,{12.5,15,20,30,45,60,75,105,115,150,200,225,250,600,1000},{50,55,60,62,65,68,70,72,75,80,82,85,87,90,95})))))</f>
        <v>85</v>
      </c>
      <c r="P1485" s="2">
        <f t="shared" si="118"/>
        <v>-40</v>
      </c>
      <c r="Q1485" s="2">
        <f t="shared" si="119"/>
        <v>-15</v>
      </c>
    </row>
    <row r="1486" customHeight="1" spans="1:17">
      <c r="B1486" s="2">
        <v>1485</v>
      </c>
      <c r="C1486" s="3">
        <f t="shared" si="115"/>
        <v>32.81</v>
      </c>
      <c r="D1486" s="2" t="s">
        <v>1924</v>
      </c>
      <c r="E1486" s="2">
        <v>38</v>
      </c>
      <c r="F1486" s="10">
        <v>88</v>
      </c>
      <c r="G1486" s="9">
        <v>76</v>
      </c>
      <c r="H1486" s="2" t="s">
        <v>1264</v>
      </c>
      <c r="I1486" s="2" t="s">
        <v>159</v>
      </c>
      <c r="J1486" s="4" t="s">
        <v>73</v>
      </c>
      <c r="M1486" s="2">
        <f t="shared" si="116"/>
        <v>600</v>
      </c>
      <c r="N1486" s="2">
        <f t="shared" si="117"/>
        <v>51.8</v>
      </c>
      <c r="O1486" s="2">
        <f>IF(M1486="","",IF(M1486&gt;=1000,95,IF(M1486&lt;=12.5,50,LOOKUP(M1486,{12.5,15,20,30,45,60,75,105,115,150,200,225,250,600,1000},{50,55,60,62,65,68,70,72,75,80,82,85,87,90,95})+(M1486-LOOKUP(M1486,{12.5,15,20,30,45,60,75,105,115,150,200,225,250,600},{12.5,15,20,30,45,60,75,105,115,150,200,225,250,600}))/(LOOKUP(M1486,{12.5,15,20,30,45,60,75,105,115,150,200,225,250,600,1000},{15,20,30,45,60,75,105,115,150,200,225,250,600,1000,1000})-LOOKUP(M1486,{12.5,15,20,30,45,60,75,105,115,150,200,225,250,600},{12.5,15,20,30,45,60,75,105,115,150,200,225,250,600}))*(LOOKUP(M1486,{12.5,15,20,30,45,60,75,105,115,150,200,225,250,600,1000},{55,60,62,65,68,70,72,75,80,82,85,87,90,95,95})-LOOKUP(M1486,{12.5,15,20,30,45,60,75,105,115,150,200,225,250,600,1000},{50,55,60,62,65,68,70,72,75,80,82,85,87,90,95})))))</f>
        <v>90</v>
      </c>
      <c r="P1486" s="2">
        <f t="shared" si="118"/>
        <v>-52</v>
      </c>
      <c r="Q1486" s="2">
        <f t="shared" si="119"/>
        <v>-18.99</v>
      </c>
    </row>
    <row r="1487" customHeight="1" spans="1:17">
      <c r="B1487" s="2">
        <v>1486</v>
      </c>
      <c r="C1487" s="3">
        <f t="shared" si="115"/>
        <v>32.74</v>
      </c>
      <c r="D1487" s="2" t="s">
        <v>1925</v>
      </c>
      <c r="E1487" s="2">
        <v>51</v>
      </c>
      <c r="F1487" s="2">
        <v>33</v>
      </c>
      <c r="G1487" s="2">
        <v>41</v>
      </c>
      <c r="H1487" s="2" t="s">
        <v>113</v>
      </c>
      <c r="I1487" s="2" t="s">
        <v>50</v>
      </c>
      <c r="J1487" s="4" t="s">
        <v>123</v>
      </c>
      <c r="M1487" s="2">
        <f t="shared" si="116"/>
        <v>250</v>
      </c>
      <c r="N1487" s="2">
        <f t="shared" si="117"/>
        <v>46.4</v>
      </c>
      <c r="O1487" s="2">
        <f>IF(M1487="","",IF(M1487&gt;=1000,95,IF(M1487&lt;=12.5,50,LOOKUP(M1487,{12.5,15,20,30,45,60,75,105,115,150,200,225,250,600,1000},{50,55,60,62,65,68,70,72,75,80,82,85,87,90,95})+(M1487-LOOKUP(M1487,{12.5,15,20,30,45,60,75,105,115,150,200,225,250,600},{12.5,15,20,30,45,60,75,105,115,150,200,225,250,600}))/(LOOKUP(M1487,{12.5,15,20,30,45,60,75,105,115,150,200,225,250,600,1000},{15,20,30,45,60,75,105,115,150,200,225,250,600,1000,1000})-LOOKUP(M1487,{12.5,15,20,30,45,60,75,105,115,150,200,225,250,600},{12.5,15,20,30,45,60,75,105,115,150,200,225,250,600}))*(LOOKUP(M1487,{12.5,15,20,30,45,60,75,105,115,150,200,225,250,600,1000},{55,60,62,65,68,70,72,75,80,82,85,87,90,95,95})-LOOKUP(M1487,{12.5,15,20,30,45,60,75,105,115,150,200,225,250,600,1000},{50,55,60,62,65,68,70,72,75,80,82,85,87,90,95})))))</f>
        <v>87</v>
      </c>
      <c r="P1487" s="2">
        <f t="shared" si="118"/>
        <v>-36</v>
      </c>
      <c r="Q1487" s="2">
        <f t="shared" si="119"/>
        <v>-13.66</v>
      </c>
    </row>
    <row r="1488" customHeight="1" spans="1:17">
      <c r="B1488" s="2">
        <v>1487</v>
      </c>
      <c r="C1488" s="3">
        <f t="shared" si="115"/>
        <v>32.6</v>
      </c>
      <c r="D1488" s="2" t="s">
        <v>1926</v>
      </c>
      <c r="E1488" s="2">
        <v>40</v>
      </c>
      <c r="F1488" s="2">
        <v>55</v>
      </c>
      <c r="G1488" s="2">
        <v>46</v>
      </c>
      <c r="H1488" s="2" t="s">
        <v>66</v>
      </c>
      <c r="I1488" s="2" t="s">
        <v>33</v>
      </c>
      <c r="J1488" s="4" t="s">
        <v>34</v>
      </c>
      <c r="M1488" s="2">
        <f t="shared" si="116"/>
        <v>60</v>
      </c>
      <c r="N1488" s="2">
        <f t="shared" si="117"/>
        <v>43.6</v>
      </c>
      <c r="O1488" s="2">
        <f>IF(M1488="","",IF(M1488&gt;=1000,95,IF(M1488&lt;=12.5,50,LOOKUP(M1488,{12.5,15,20,30,45,60,75,105,115,150,200,225,250,600,1000},{50,55,60,62,65,68,70,72,75,80,82,85,87,90,95})+(M1488-LOOKUP(M1488,{12.5,15,20,30,45,60,75,105,115,150,200,225,250,600},{12.5,15,20,30,45,60,75,105,115,150,200,225,250,600}))/(LOOKUP(M1488,{12.5,15,20,30,45,60,75,105,115,150,200,225,250,600,1000},{15,20,30,45,60,75,105,115,150,200,225,250,600,1000,1000})-LOOKUP(M1488,{12.5,15,20,30,45,60,75,105,115,150,200,225,250,600},{12.5,15,20,30,45,60,75,105,115,150,200,225,250,600}))*(LOOKUP(M1488,{12.5,15,20,30,45,60,75,105,115,150,200,225,250,600,1000},{55,60,62,65,68,70,72,75,80,82,85,87,90,95,95})-LOOKUP(M1488,{12.5,15,20,30,45,60,75,105,115,150,200,225,250,600,1000},{50,55,60,62,65,68,70,72,75,80,82,85,87,90,95})))))</f>
        <v>68</v>
      </c>
      <c r="P1488" s="2">
        <f t="shared" si="118"/>
        <v>-28</v>
      </c>
      <c r="Q1488" s="2">
        <f t="shared" si="119"/>
        <v>-11</v>
      </c>
    </row>
    <row r="1489" customHeight="1" spans="1:17">
      <c r="A1489" s="2">
        <v>2026</v>
      </c>
      <c r="B1489" s="2">
        <v>1488</v>
      </c>
      <c r="C1489" s="3">
        <f t="shared" si="115"/>
        <v>32.53</v>
      </c>
      <c r="D1489" s="2" t="s">
        <v>1927</v>
      </c>
      <c r="E1489" s="2">
        <v>41</v>
      </c>
      <c r="F1489" s="2">
        <v>50</v>
      </c>
      <c r="G1489" s="2">
        <v>45</v>
      </c>
      <c r="H1489" s="2" t="s">
        <v>367</v>
      </c>
      <c r="I1489" s="2" t="s">
        <v>63</v>
      </c>
      <c r="J1489" s="4" t="s">
        <v>34</v>
      </c>
      <c r="M1489" s="2">
        <f t="shared" si="116"/>
        <v>60</v>
      </c>
      <c r="N1489" s="2">
        <f t="shared" si="117"/>
        <v>43.2</v>
      </c>
      <c r="O1489" s="2">
        <f>IF(M1489="","",IF(M1489&gt;=1000,95,IF(M1489&lt;=12.5,50,LOOKUP(M1489,{12.5,15,20,30,45,60,75,105,115,150,200,225,250,600,1000},{50,55,60,62,65,68,70,72,75,80,82,85,87,90,95})+(M1489-LOOKUP(M1489,{12.5,15,20,30,45,60,75,105,115,150,200,225,250,600},{12.5,15,20,30,45,60,75,105,115,150,200,225,250,600}))/(LOOKUP(M1489,{12.5,15,20,30,45,60,75,105,115,150,200,225,250,600,1000},{15,20,30,45,60,75,105,115,150,200,225,250,600,1000,1000})-LOOKUP(M1489,{12.5,15,20,30,45,60,75,105,115,150,200,225,250,600},{12.5,15,20,30,45,60,75,105,115,150,200,225,250,600}))*(LOOKUP(M1489,{12.5,15,20,30,45,60,75,105,115,150,200,225,250,600,1000},{55,60,62,65,68,70,72,75,80,82,85,87,90,95,95})-LOOKUP(M1489,{12.5,15,20,30,45,60,75,105,115,150,200,225,250,600,1000},{50,55,60,62,65,68,70,72,75,80,82,85,87,90,95})))))</f>
        <v>68</v>
      </c>
      <c r="P1489" s="2">
        <f t="shared" si="118"/>
        <v>-27</v>
      </c>
      <c r="Q1489" s="2">
        <f t="shared" si="119"/>
        <v>-10.67</v>
      </c>
    </row>
    <row r="1490" customHeight="1" spans="1:17">
      <c r="B1490" s="2">
        <v>1489</v>
      </c>
      <c r="C1490" s="3">
        <f t="shared" si="115"/>
        <v>30.8</v>
      </c>
      <c r="D1490" s="2" t="s">
        <v>1928</v>
      </c>
      <c r="E1490" s="2">
        <v>40</v>
      </c>
      <c r="F1490" s="2">
        <v>58</v>
      </c>
      <c r="G1490" s="12">
        <v>62</v>
      </c>
      <c r="H1490" s="2" t="s">
        <v>17</v>
      </c>
      <c r="I1490" s="2" t="s">
        <v>284</v>
      </c>
      <c r="J1490" s="4" t="s">
        <v>59</v>
      </c>
      <c r="M1490" s="2">
        <f t="shared" si="116"/>
        <v>150</v>
      </c>
      <c r="N1490" s="2">
        <f t="shared" si="117"/>
        <v>45.8</v>
      </c>
      <c r="O1490" s="2">
        <f>IF(M1490="","",IF(M1490&gt;=1000,95,IF(M1490&lt;=12.5,50,LOOKUP(M1490,{12.5,15,20,30,45,60,75,105,115,150,200,225,250,600,1000},{50,55,60,62,65,68,70,72,75,80,82,85,87,90,95})+(M1490-LOOKUP(M1490,{12.5,15,20,30,45,60,75,105,115,150,200,225,250,600},{12.5,15,20,30,45,60,75,105,115,150,200,225,250,600}))/(LOOKUP(M1490,{12.5,15,20,30,45,60,75,105,115,150,200,225,250,600,1000},{15,20,30,45,60,75,105,115,150,200,225,250,600,1000,1000})-LOOKUP(M1490,{12.5,15,20,30,45,60,75,105,115,150,200,225,250,600},{12.5,15,20,30,45,60,75,105,115,150,200,225,250,600}))*(LOOKUP(M1490,{12.5,15,20,30,45,60,75,105,115,150,200,225,250,600,1000},{55,60,62,65,68,70,72,75,80,82,85,87,90,95,95})-LOOKUP(M1490,{12.5,15,20,30,45,60,75,105,115,150,200,225,250,600,1000},{50,55,60,62,65,68,70,72,75,80,82,85,87,90,95})))))</f>
        <v>80</v>
      </c>
      <c r="P1490" s="2">
        <f t="shared" si="118"/>
        <v>-40</v>
      </c>
      <c r="Q1490" s="2">
        <f t="shared" si="119"/>
        <v>-15</v>
      </c>
    </row>
    <row r="1491" customHeight="1" spans="1:17">
      <c r="B1491" s="2">
        <v>1490</v>
      </c>
      <c r="C1491" s="3">
        <f t="shared" si="115"/>
        <v>30.37</v>
      </c>
      <c r="D1491" s="2" t="s">
        <v>1929</v>
      </c>
      <c r="E1491" s="2">
        <v>37</v>
      </c>
      <c r="F1491" s="2">
        <v>50</v>
      </c>
      <c r="G1491" s="2">
        <v>38</v>
      </c>
      <c r="H1491" s="2" t="s">
        <v>17</v>
      </c>
      <c r="I1491" s="2" t="s">
        <v>503</v>
      </c>
      <c r="J1491" s="4" t="s">
        <v>140</v>
      </c>
      <c r="M1491" s="2">
        <f t="shared" si="116"/>
        <v>20</v>
      </c>
      <c r="N1491" s="2">
        <f t="shared" si="117"/>
        <v>39.7</v>
      </c>
      <c r="O1491" s="2">
        <f>IF(M1491="","",IF(M1491&gt;=1000,95,IF(M1491&lt;=12.5,50,LOOKUP(M1491,{12.5,15,20,30,45,60,75,105,115,150,200,225,250,600,1000},{50,55,60,62,65,68,70,72,75,80,82,85,87,90,95})+(M1491-LOOKUP(M1491,{12.5,15,20,30,45,60,75,105,115,150,200,225,250,600},{12.5,15,20,30,45,60,75,105,115,150,200,225,250,600}))/(LOOKUP(M1491,{12.5,15,20,30,45,60,75,105,115,150,200,225,250,600,1000},{15,20,30,45,60,75,105,115,150,200,225,250,600,1000,1000})-LOOKUP(M1491,{12.5,15,20,30,45,60,75,105,115,150,200,225,250,600},{12.5,15,20,30,45,60,75,105,115,150,200,225,250,600}))*(LOOKUP(M1491,{12.5,15,20,30,45,60,75,105,115,150,200,225,250,600,1000},{55,60,62,65,68,70,72,75,80,82,85,87,90,95,95})-LOOKUP(M1491,{12.5,15,20,30,45,60,75,105,115,150,200,225,250,600,1000},{50,55,60,62,65,68,70,72,75,80,82,85,87,90,95})))))</f>
        <v>60</v>
      </c>
      <c r="P1491" s="2">
        <f t="shared" si="118"/>
        <v>-23</v>
      </c>
      <c r="Q1491" s="2">
        <f t="shared" si="119"/>
        <v>-9.33</v>
      </c>
    </row>
    <row r="1492" customHeight="1" spans="1:17">
      <c r="B1492" s="2">
        <v>1491</v>
      </c>
      <c r="C1492" s="3">
        <f t="shared" ref="C1492:C1518" si="120">ROUND(MAX(MIN(N1492+Q1492,100),0),2)</f>
        <v>29.83</v>
      </c>
      <c r="D1492" s="2" t="s">
        <v>1930</v>
      </c>
      <c r="E1492" s="2">
        <v>35</v>
      </c>
      <c r="F1492" s="2">
        <v>53</v>
      </c>
      <c r="G1492" s="12">
        <v>64</v>
      </c>
      <c r="H1492" s="2" t="s">
        <v>1631</v>
      </c>
      <c r="I1492" s="2" t="s">
        <v>28</v>
      </c>
      <c r="J1492" s="4" t="s">
        <v>38</v>
      </c>
      <c r="M1492" s="2">
        <f t="shared" si="116"/>
        <v>45</v>
      </c>
      <c r="N1492" s="2">
        <f t="shared" si="117"/>
        <v>41.5</v>
      </c>
      <c r="O1492" s="2">
        <f>IF(M1492="","",IF(M1492&gt;=1000,95,IF(M1492&lt;=12.5,50,LOOKUP(M1492,{12.5,15,20,30,45,60,75,105,115,150,200,225,250,600,1000},{50,55,60,62,65,68,70,72,75,80,82,85,87,90,95})+(M1492-LOOKUP(M1492,{12.5,15,20,30,45,60,75,105,115,150,200,225,250,600},{12.5,15,20,30,45,60,75,105,115,150,200,225,250,600}))/(LOOKUP(M1492,{12.5,15,20,30,45,60,75,105,115,150,200,225,250,600,1000},{15,20,30,45,60,75,105,115,150,200,225,250,600,1000,1000})-LOOKUP(M1492,{12.5,15,20,30,45,60,75,105,115,150,200,225,250,600},{12.5,15,20,30,45,60,75,105,115,150,200,225,250,600}))*(LOOKUP(M1492,{12.5,15,20,30,45,60,75,105,115,150,200,225,250,600,1000},{55,60,62,65,68,70,72,75,80,82,85,87,90,95,95})-LOOKUP(M1492,{12.5,15,20,30,45,60,75,105,115,150,200,225,250,600,1000},{50,55,60,62,65,68,70,72,75,80,82,85,87,90,95})))))</f>
        <v>65</v>
      </c>
      <c r="P1492" s="2">
        <f t="shared" si="118"/>
        <v>-30</v>
      </c>
      <c r="Q1492" s="2">
        <f t="shared" si="119"/>
        <v>-11.67</v>
      </c>
    </row>
    <row r="1493" customHeight="1" spans="1:17">
      <c r="B1493" s="2">
        <v>1492</v>
      </c>
      <c r="C1493" s="3">
        <f t="shared" si="120"/>
        <v>29.23</v>
      </c>
      <c r="D1493" s="2" t="s">
        <v>1931</v>
      </c>
      <c r="E1493" s="2">
        <v>35</v>
      </c>
      <c r="F1493" s="2">
        <v>57</v>
      </c>
      <c r="G1493" s="2">
        <v>50</v>
      </c>
      <c r="H1493" s="2" t="s">
        <v>353</v>
      </c>
      <c r="I1493" s="2" t="s">
        <v>354</v>
      </c>
      <c r="J1493" s="4" t="s">
        <v>38</v>
      </c>
      <c r="M1493" s="2">
        <f t="shared" si="116"/>
        <v>45</v>
      </c>
      <c r="N1493" s="2">
        <f t="shared" si="117"/>
        <v>40.9</v>
      </c>
      <c r="O1493" s="2">
        <f>IF(M1493="","",IF(M1493&gt;=1000,95,IF(M1493&lt;=12.5,50,LOOKUP(M1493,{12.5,15,20,30,45,60,75,105,115,150,200,225,250,600,1000},{50,55,60,62,65,68,70,72,75,80,82,85,87,90,95})+(M1493-LOOKUP(M1493,{12.5,15,20,30,45,60,75,105,115,150,200,225,250,600},{12.5,15,20,30,45,60,75,105,115,150,200,225,250,600}))/(LOOKUP(M1493,{12.5,15,20,30,45,60,75,105,115,150,200,225,250,600,1000},{15,20,30,45,60,75,105,115,150,200,225,250,600,1000,1000})-LOOKUP(M1493,{12.5,15,20,30,45,60,75,105,115,150,200,225,250,600},{12.5,15,20,30,45,60,75,105,115,150,200,225,250,600}))*(LOOKUP(M1493,{12.5,15,20,30,45,60,75,105,115,150,200,225,250,600,1000},{55,60,62,65,68,70,72,75,80,82,85,87,90,95,95})-LOOKUP(M1493,{12.5,15,20,30,45,60,75,105,115,150,200,225,250,600,1000},{50,55,60,62,65,68,70,72,75,80,82,85,87,90,95})))))</f>
        <v>65</v>
      </c>
      <c r="P1493" s="2">
        <f t="shared" si="118"/>
        <v>-30</v>
      </c>
      <c r="Q1493" s="2">
        <f t="shared" si="119"/>
        <v>-11.67</v>
      </c>
    </row>
    <row r="1494" customHeight="1" spans="1:17">
      <c r="A1494" s="2">
        <v>2026</v>
      </c>
      <c r="B1494" s="2">
        <v>1493</v>
      </c>
      <c r="C1494" s="3">
        <f t="shared" si="120"/>
        <v>28.97</v>
      </c>
      <c r="D1494" s="2" t="s">
        <v>1932</v>
      </c>
      <c r="E1494" s="2">
        <v>36</v>
      </c>
      <c r="F1494" s="2">
        <v>56</v>
      </c>
      <c r="G1494" s="2">
        <v>29</v>
      </c>
      <c r="H1494" s="2" t="s">
        <v>347</v>
      </c>
      <c r="I1494" s="2" t="s">
        <v>28</v>
      </c>
      <c r="J1494" s="4" t="s">
        <v>88</v>
      </c>
      <c r="M1494" s="2">
        <f t="shared" si="116"/>
        <v>30</v>
      </c>
      <c r="N1494" s="2">
        <f t="shared" si="117"/>
        <v>39.3</v>
      </c>
      <c r="O1494" s="2">
        <f>IF(M1494="","",IF(M1494&gt;=1000,95,IF(M1494&lt;=12.5,50,LOOKUP(M1494,{12.5,15,20,30,45,60,75,105,115,150,200,225,250,600,1000},{50,55,60,62,65,68,70,72,75,80,82,85,87,90,95})+(M1494-LOOKUP(M1494,{12.5,15,20,30,45,60,75,105,115,150,200,225,250,600},{12.5,15,20,30,45,60,75,105,115,150,200,225,250,600}))/(LOOKUP(M1494,{12.5,15,20,30,45,60,75,105,115,150,200,225,250,600,1000},{15,20,30,45,60,75,105,115,150,200,225,250,600,1000,1000})-LOOKUP(M1494,{12.5,15,20,30,45,60,75,105,115,150,200,225,250,600},{12.5,15,20,30,45,60,75,105,115,150,200,225,250,600}))*(LOOKUP(M1494,{12.5,15,20,30,45,60,75,105,115,150,200,225,250,600,1000},{55,60,62,65,68,70,72,75,80,82,85,87,90,95,95})-LOOKUP(M1494,{12.5,15,20,30,45,60,75,105,115,150,200,225,250,600,1000},{50,55,60,62,65,68,70,72,75,80,82,85,87,90,95})))))</f>
        <v>62</v>
      </c>
      <c r="P1494" s="2">
        <f t="shared" si="118"/>
        <v>-26</v>
      </c>
      <c r="Q1494" s="2">
        <f t="shared" si="119"/>
        <v>-10.33</v>
      </c>
    </row>
    <row r="1495" customHeight="1" spans="1:17">
      <c r="B1495" s="2">
        <v>1494</v>
      </c>
      <c r="C1495" s="3">
        <f t="shared" si="120"/>
        <v>28.91</v>
      </c>
      <c r="D1495" s="2" t="s">
        <v>1933</v>
      </c>
      <c r="E1495" s="2">
        <v>39</v>
      </c>
      <c r="F1495" s="2">
        <v>50</v>
      </c>
      <c r="G1495" s="9">
        <v>76</v>
      </c>
      <c r="H1495" s="2" t="s">
        <v>32</v>
      </c>
      <c r="I1495" s="2" t="s">
        <v>63</v>
      </c>
      <c r="J1495" s="4" t="s">
        <v>51</v>
      </c>
      <c r="M1495" s="2">
        <f t="shared" si="116"/>
        <v>200</v>
      </c>
      <c r="N1495" s="2">
        <f t="shared" si="117"/>
        <v>44.9</v>
      </c>
      <c r="O1495" s="2">
        <f>IF(M1495="","",IF(M1495&gt;=1000,95,IF(M1495&lt;=12.5,50,LOOKUP(M1495,{12.5,15,20,30,45,60,75,105,115,150,200,225,250,600,1000},{50,55,60,62,65,68,70,72,75,80,82,85,87,90,95})+(M1495-LOOKUP(M1495,{12.5,15,20,30,45,60,75,105,115,150,200,225,250,600},{12.5,15,20,30,45,60,75,105,115,150,200,225,250,600}))/(LOOKUP(M1495,{12.5,15,20,30,45,60,75,105,115,150,200,225,250,600,1000},{15,20,30,45,60,75,105,115,150,200,225,250,600,1000,1000})-LOOKUP(M1495,{12.5,15,20,30,45,60,75,105,115,150,200,225,250,600},{12.5,15,20,30,45,60,75,105,115,150,200,225,250,600}))*(LOOKUP(M1495,{12.5,15,20,30,45,60,75,105,115,150,200,225,250,600,1000},{55,60,62,65,68,70,72,75,80,82,85,87,90,95,95})-LOOKUP(M1495,{12.5,15,20,30,45,60,75,105,115,150,200,225,250,600,1000},{50,55,60,62,65,68,70,72,75,80,82,85,87,90,95})))))</f>
        <v>82</v>
      </c>
      <c r="P1495" s="2">
        <f t="shared" si="118"/>
        <v>-43</v>
      </c>
      <c r="Q1495" s="2">
        <f t="shared" si="119"/>
        <v>-15.99</v>
      </c>
    </row>
    <row r="1496" customHeight="1" spans="1:17">
      <c r="B1496" s="2">
        <v>1495</v>
      </c>
      <c r="C1496" s="3">
        <f t="shared" si="120"/>
        <v>27.64</v>
      </c>
      <c r="D1496" s="2" t="s">
        <v>1934</v>
      </c>
      <c r="E1496" s="2">
        <v>40</v>
      </c>
      <c r="F1496" s="12">
        <v>64</v>
      </c>
      <c r="G1496" s="2">
        <v>35</v>
      </c>
      <c r="H1496" s="2" t="s">
        <v>1101</v>
      </c>
      <c r="I1496" s="2" t="s">
        <v>932</v>
      </c>
      <c r="J1496" s="4" t="s">
        <v>19</v>
      </c>
      <c r="M1496" s="2">
        <f t="shared" si="116"/>
        <v>225</v>
      </c>
      <c r="N1496" s="2">
        <f t="shared" si="117"/>
        <v>44.3</v>
      </c>
      <c r="O1496" s="2">
        <f>IF(M1496="","",IF(M1496&gt;=1000,95,IF(M1496&lt;=12.5,50,LOOKUP(M1496,{12.5,15,20,30,45,60,75,105,115,150,200,225,250,600,1000},{50,55,60,62,65,68,70,72,75,80,82,85,87,90,95})+(M1496-LOOKUP(M1496,{12.5,15,20,30,45,60,75,105,115,150,200,225,250,600},{12.5,15,20,30,45,60,75,105,115,150,200,225,250,600}))/(LOOKUP(M1496,{12.5,15,20,30,45,60,75,105,115,150,200,225,250,600,1000},{15,20,30,45,60,75,105,115,150,200,225,250,600,1000,1000})-LOOKUP(M1496,{12.5,15,20,30,45,60,75,105,115,150,200,225,250,600},{12.5,15,20,30,45,60,75,105,115,150,200,225,250,600}))*(LOOKUP(M1496,{12.5,15,20,30,45,60,75,105,115,150,200,225,250,600,1000},{55,60,62,65,68,70,72,75,80,82,85,87,90,95,95})-LOOKUP(M1496,{12.5,15,20,30,45,60,75,105,115,150,200,225,250,600,1000},{50,55,60,62,65,68,70,72,75,80,82,85,87,90,95})))))</f>
        <v>85</v>
      </c>
      <c r="P1496" s="2">
        <f t="shared" si="118"/>
        <v>-45</v>
      </c>
      <c r="Q1496" s="2">
        <f t="shared" si="119"/>
        <v>-16.66</v>
      </c>
    </row>
    <row r="1497" customHeight="1" spans="1:17">
      <c r="B1497" s="2">
        <v>1496</v>
      </c>
      <c r="C1497" s="3">
        <f t="shared" si="120"/>
        <v>27.3</v>
      </c>
      <c r="D1497" s="2" t="s">
        <v>1935</v>
      </c>
      <c r="E1497" s="2">
        <v>50</v>
      </c>
      <c r="F1497" s="2">
        <v>10</v>
      </c>
      <c r="G1497" s="2">
        <v>53</v>
      </c>
      <c r="H1497" s="2" t="s">
        <v>66</v>
      </c>
      <c r="I1497" s="2" t="s">
        <v>50</v>
      </c>
      <c r="J1497" s="4" t="s">
        <v>73</v>
      </c>
      <c r="M1497" s="2">
        <f t="shared" si="116"/>
        <v>600</v>
      </c>
      <c r="N1497" s="2">
        <f t="shared" si="117"/>
        <v>42.3</v>
      </c>
      <c r="O1497" s="2">
        <f>IF(M1497="","",IF(M1497&gt;=1000,95,IF(M1497&lt;=12.5,50,LOOKUP(M1497,{12.5,15,20,30,45,60,75,105,115,150,200,225,250,600,1000},{50,55,60,62,65,68,70,72,75,80,82,85,87,90,95})+(M1497-LOOKUP(M1497,{12.5,15,20,30,45,60,75,105,115,150,200,225,250,600},{12.5,15,20,30,45,60,75,105,115,150,200,225,250,600}))/(LOOKUP(M1497,{12.5,15,20,30,45,60,75,105,115,150,200,225,250,600,1000},{15,20,30,45,60,75,105,115,150,200,225,250,600,1000,1000})-LOOKUP(M1497,{12.5,15,20,30,45,60,75,105,115,150,200,225,250,600},{12.5,15,20,30,45,60,75,105,115,150,200,225,250,600}))*(LOOKUP(M1497,{12.5,15,20,30,45,60,75,105,115,150,200,225,250,600,1000},{55,60,62,65,68,70,72,75,80,82,85,87,90,95,95})-LOOKUP(M1497,{12.5,15,20,30,45,60,75,105,115,150,200,225,250,600,1000},{50,55,60,62,65,68,70,72,75,80,82,85,87,90,95})))))</f>
        <v>90</v>
      </c>
      <c r="P1497" s="2">
        <f t="shared" si="118"/>
        <v>-40</v>
      </c>
      <c r="Q1497" s="2">
        <f t="shared" si="119"/>
        <v>-15</v>
      </c>
    </row>
    <row r="1498" customHeight="1" spans="1:17">
      <c r="B1498" s="2">
        <v>1497</v>
      </c>
      <c r="C1498" s="3">
        <f t="shared" si="120"/>
        <v>27.07</v>
      </c>
      <c r="D1498" s="2" t="s">
        <v>1936</v>
      </c>
      <c r="E1498" s="2">
        <v>34</v>
      </c>
      <c r="F1498" s="2">
        <v>59</v>
      </c>
      <c r="G1498" s="12">
        <v>68</v>
      </c>
      <c r="H1498" s="2" t="s">
        <v>1101</v>
      </c>
      <c r="I1498" s="2" t="s">
        <v>128</v>
      </c>
      <c r="J1498" s="4" t="s">
        <v>148</v>
      </c>
      <c r="M1498" s="2">
        <f t="shared" si="116"/>
        <v>115</v>
      </c>
      <c r="N1498" s="2">
        <f t="shared" si="117"/>
        <v>42.4</v>
      </c>
      <c r="O1498" s="2">
        <f>IF(M1498="","",IF(M1498&gt;=1000,95,IF(M1498&lt;=12.5,50,LOOKUP(M1498,{12.5,15,20,30,45,60,75,105,115,150,200,225,250,600,1000},{50,55,60,62,65,68,70,72,75,80,82,85,87,90,95})+(M1498-LOOKUP(M1498,{12.5,15,20,30,45,60,75,105,115,150,200,225,250,600},{12.5,15,20,30,45,60,75,105,115,150,200,225,250,600}))/(LOOKUP(M1498,{12.5,15,20,30,45,60,75,105,115,150,200,225,250,600,1000},{15,20,30,45,60,75,105,115,150,200,225,250,600,1000,1000})-LOOKUP(M1498,{12.5,15,20,30,45,60,75,105,115,150,200,225,250,600},{12.5,15,20,30,45,60,75,105,115,150,200,225,250,600}))*(LOOKUP(M1498,{12.5,15,20,30,45,60,75,105,115,150,200,225,250,600,1000},{55,60,62,65,68,70,72,75,80,82,85,87,90,95,95})-LOOKUP(M1498,{12.5,15,20,30,45,60,75,105,115,150,200,225,250,600,1000},{50,55,60,62,65,68,70,72,75,80,82,85,87,90,95})))))</f>
        <v>75</v>
      </c>
      <c r="P1498" s="2">
        <f t="shared" si="118"/>
        <v>-41</v>
      </c>
      <c r="Q1498" s="2">
        <f t="shared" si="119"/>
        <v>-15.33</v>
      </c>
    </row>
    <row r="1499" customHeight="1" spans="1:17">
      <c r="B1499" s="2">
        <v>1498</v>
      </c>
      <c r="C1499" s="3">
        <f t="shared" si="120"/>
        <v>27.07</v>
      </c>
      <c r="D1499" s="2" t="s">
        <v>1937</v>
      </c>
      <c r="E1499" s="2">
        <v>33</v>
      </c>
      <c r="F1499" s="12">
        <v>60</v>
      </c>
      <c r="G1499" s="2">
        <v>53</v>
      </c>
      <c r="H1499" s="2" t="s">
        <v>1309</v>
      </c>
      <c r="I1499" s="2" t="s">
        <v>128</v>
      </c>
      <c r="J1499" s="4" t="s">
        <v>34</v>
      </c>
      <c r="M1499" s="2">
        <f t="shared" si="116"/>
        <v>60</v>
      </c>
      <c r="N1499" s="2">
        <f t="shared" si="117"/>
        <v>40.4</v>
      </c>
      <c r="O1499" s="2">
        <f>IF(M1499="","",IF(M1499&gt;=1000,95,IF(M1499&lt;=12.5,50,LOOKUP(M1499,{12.5,15,20,30,45,60,75,105,115,150,200,225,250,600,1000},{50,55,60,62,65,68,70,72,75,80,82,85,87,90,95})+(M1499-LOOKUP(M1499,{12.5,15,20,30,45,60,75,105,115,150,200,225,250,600},{12.5,15,20,30,45,60,75,105,115,150,200,225,250,600}))/(LOOKUP(M1499,{12.5,15,20,30,45,60,75,105,115,150,200,225,250,600,1000},{15,20,30,45,60,75,105,115,150,200,225,250,600,1000,1000})-LOOKUP(M1499,{12.5,15,20,30,45,60,75,105,115,150,200,225,250,600},{12.5,15,20,30,45,60,75,105,115,150,200,225,250,600}))*(LOOKUP(M1499,{12.5,15,20,30,45,60,75,105,115,150,200,225,250,600,1000},{55,60,62,65,68,70,72,75,80,82,85,87,90,95,95})-LOOKUP(M1499,{12.5,15,20,30,45,60,75,105,115,150,200,225,250,600,1000},{50,55,60,62,65,68,70,72,75,80,82,85,87,90,95})))))</f>
        <v>68</v>
      </c>
      <c r="P1499" s="2">
        <f t="shared" si="118"/>
        <v>-35</v>
      </c>
      <c r="Q1499" s="2">
        <f t="shared" si="119"/>
        <v>-13.33</v>
      </c>
    </row>
    <row r="1500" customHeight="1" spans="1:17">
      <c r="A1500" s="2">
        <v>2026</v>
      </c>
      <c r="B1500" s="2">
        <v>1499</v>
      </c>
      <c r="C1500" s="3">
        <f t="shared" si="120"/>
        <v>26.73</v>
      </c>
      <c r="D1500" s="2" t="s">
        <v>1938</v>
      </c>
      <c r="E1500" s="2">
        <v>38</v>
      </c>
      <c r="F1500" s="2">
        <v>35</v>
      </c>
      <c r="G1500" s="2">
        <v>48</v>
      </c>
      <c r="H1500" s="2" t="s">
        <v>367</v>
      </c>
      <c r="I1500" s="2" t="s">
        <v>577</v>
      </c>
      <c r="J1500" s="4" t="s">
        <v>34</v>
      </c>
      <c r="M1500" s="2">
        <f t="shared" si="116"/>
        <v>60</v>
      </c>
      <c r="N1500" s="2">
        <f t="shared" si="117"/>
        <v>38.4</v>
      </c>
      <c r="O1500" s="2">
        <f>IF(M1500="","",IF(M1500&gt;=1000,95,IF(M1500&lt;=12.5,50,LOOKUP(M1500,{12.5,15,20,30,45,60,75,105,115,150,200,225,250,600,1000},{50,55,60,62,65,68,70,72,75,80,82,85,87,90,95})+(M1500-LOOKUP(M1500,{12.5,15,20,30,45,60,75,105,115,150,200,225,250,600},{12.5,15,20,30,45,60,75,105,115,150,200,225,250,600}))/(LOOKUP(M1500,{12.5,15,20,30,45,60,75,105,115,150,200,225,250,600,1000},{15,20,30,45,60,75,105,115,150,200,225,250,600,1000,1000})-LOOKUP(M1500,{12.5,15,20,30,45,60,75,105,115,150,200,225,250,600},{12.5,15,20,30,45,60,75,105,115,150,200,225,250,600}))*(LOOKUP(M1500,{12.5,15,20,30,45,60,75,105,115,150,200,225,250,600,1000},{55,60,62,65,68,70,72,75,80,82,85,87,90,95,95})-LOOKUP(M1500,{12.5,15,20,30,45,60,75,105,115,150,200,225,250,600,1000},{50,55,60,62,65,68,70,72,75,80,82,85,87,90,95})))))</f>
        <v>68</v>
      </c>
      <c r="P1500" s="2">
        <f t="shared" si="118"/>
        <v>-30</v>
      </c>
      <c r="Q1500" s="2">
        <f t="shared" si="119"/>
        <v>-11.67</v>
      </c>
    </row>
    <row r="1501" customHeight="1" spans="1:17">
      <c r="A1501" s="2">
        <v>2026</v>
      </c>
      <c r="B1501" s="2">
        <v>1500</v>
      </c>
      <c r="C1501" s="3">
        <f t="shared" si="120"/>
        <v>25.47</v>
      </c>
      <c r="D1501" s="2" t="s">
        <v>1939</v>
      </c>
      <c r="E1501" s="2">
        <v>40</v>
      </c>
      <c r="F1501" s="2">
        <v>45</v>
      </c>
      <c r="G1501" s="12">
        <v>68</v>
      </c>
      <c r="H1501" s="2" t="s">
        <v>41</v>
      </c>
      <c r="I1501" s="2" t="s">
        <v>577</v>
      </c>
      <c r="J1501" s="4" t="s">
        <v>73</v>
      </c>
      <c r="M1501" s="2">
        <f t="shared" si="116"/>
        <v>600</v>
      </c>
      <c r="N1501" s="2">
        <f t="shared" si="117"/>
        <v>43.8</v>
      </c>
      <c r="O1501" s="2">
        <f>IF(M1501="","",IF(M1501&gt;=1000,95,IF(M1501&lt;=12.5,50,LOOKUP(M1501,{12.5,15,20,30,45,60,75,105,115,150,200,225,250,600,1000},{50,55,60,62,65,68,70,72,75,80,82,85,87,90,95})+(M1501-LOOKUP(M1501,{12.5,15,20,30,45,60,75,105,115,150,200,225,250,600},{12.5,15,20,30,45,60,75,105,115,150,200,225,250,600}))/(LOOKUP(M1501,{12.5,15,20,30,45,60,75,105,115,150,200,225,250,600,1000},{15,20,30,45,60,75,105,115,150,200,225,250,600,1000,1000})-LOOKUP(M1501,{12.5,15,20,30,45,60,75,105,115,150,200,225,250,600},{12.5,15,20,30,45,60,75,105,115,150,200,225,250,600}))*(LOOKUP(M1501,{12.5,15,20,30,45,60,75,105,115,150,200,225,250,600,1000},{55,60,62,65,68,70,72,75,80,82,85,87,90,95,95})-LOOKUP(M1501,{12.5,15,20,30,45,60,75,105,115,150,200,225,250,600,1000},{50,55,60,62,65,68,70,72,75,80,82,85,87,90,95})))))</f>
        <v>90</v>
      </c>
      <c r="P1501" s="2">
        <f t="shared" si="118"/>
        <v>-50</v>
      </c>
      <c r="Q1501" s="2">
        <f t="shared" si="119"/>
        <v>-18.33</v>
      </c>
    </row>
    <row r="1502" customHeight="1" spans="1:17">
      <c r="B1502" s="2">
        <v>1501</v>
      </c>
      <c r="C1502" s="3">
        <f t="shared" si="120"/>
        <v>23.77</v>
      </c>
      <c r="D1502" s="2" t="s">
        <v>1940</v>
      </c>
      <c r="E1502" s="2">
        <v>38</v>
      </c>
      <c r="F1502" s="2">
        <v>50</v>
      </c>
      <c r="G1502" s="2">
        <v>35</v>
      </c>
      <c r="H1502" s="2" t="s">
        <v>1941</v>
      </c>
      <c r="I1502" s="2" t="s">
        <v>128</v>
      </c>
      <c r="J1502" s="4" t="s">
        <v>51</v>
      </c>
      <c r="M1502" s="2">
        <f t="shared" si="116"/>
        <v>200</v>
      </c>
      <c r="N1502" s="2">
        <f t="shared" si="117"/>
        <v>40.1</v>
      </c>
      <c r="O1502" s="2">
        <f>IF(M1502="","",IF(M1502&gt;=1000,95,IF(M1502&lt;=12.5,50,LOOKUP(M1502,{12.5,15,20,30,45,60,75,105,115,150,200,225,250,600,1000},{50,55,60,62,65,68,70,72,75,80,82,85,87,90,95})+(M1502-LOOKUP(M1502,{12.5,15,20,30,45,60,75,105,115,150,200,225,250,600},{12.5,15,20,30,45,60,75,105,115,150,200,225,250,600}))/(LOOKUP(M1502,{12.5,15,20,30,45,60,75,105,115,150,200,225,250,600,1000},{15,20,30,45,60,75,105,115,150,200,225,250,600,1000,1000})-LOOKUP(M1502,{12.5,15,20,30,45,60,75,105,115,150,200,225,250,600},{12.5,15,20,30,45,60,75,105,115,150,200,225,250,600}))*(LOOKUP(M1502,{12.5,15,20,30,45,60,75,105,115,150,200,225,250,600,1000},{55,60,62,65,68,70,72,75,80,82,85,87,90,95,95})-LOOKUP(M1502,{12.5,15,20,30,45,60,75,105,115,150,200,225,250,600,1000},{50,55,60,62,65,68,70,72,75,80,82,85,87,90,95})))))</f>
        <v>82</v>
      </c>
      <c r="P1502" s="2">
        <f t="shared" si="118"/>
        <v>-44</v>
      </c>
      <c r="Q1502" s="2">
        <f t="shared" si="119"/>
        <v>-16.33</v>
      </c>
    </row>
    <row r="1503" customHeight="1" spans="1:17">
      <c r="B1503" s="2">
        <v>1502</v>
      </c>
      <c r="C1503" s="3">
        <f t="shared" si="120"/>
        <v>23.5</v>
      </c>
      <c r="D1503" s="2" t="s">
        <v>1942</v>
      </c>
      <c r="E1503" s="2">
        <v>35</v>
      </c>
      <c r="F1503" s="2">
        <v>45</v>
      </c>
      <c r="G1503" s="2">
        <v>50</v>
      </c>
      <c r="H1503" s="2" t="s">
        <v>37</v>
      </c>
      <c r="I1503" s="2" t="s">
        <v>154</v>
      </c>
      <c r="J1503" s="4" t="s">
        <v>148</v>
      </c>
      <c r="M1503" s="2">
        <f t="shared" si="116"/>
        <v>115</v>
      </c>
      <c r="N1503" s="2">
        <f t="shared" si="117"/>
        <v>38.5</v>
      </c>
      <c r="O1503" s="2">
        <f>IF(M1503="","",IF(M1503&gt;=1000,95,IF(M1503&lt;=12.5,50,LOOKUP(M1503,{12.5,15,20,30,45,60,75,105,115,150,200,225,250,600,1000},{50,55,60,62,65,68,70,72,75,80,82,85,87,90,95})+(M1503-LOOKUP(M1503,{12.5,15,20,30,45,60,75,105,115,150,200,225,250,600},{12.5,15,20,30,45,60,75,105,115,150,200,225,250,600}))/(LOOKUP(M1503,{12.5,15,20,30,45,60,75,105,115,150,200,225,250,600,1000},{15,20,30,45,60,75,105,115,150,200,225,250,600,1000,1000})-LOOKUP(M1503,{12.5,15,20,30,45,60,75,105,115,150,200,225,250,600},{12.5,15,20,30,45,60,75,105,115,150,200,225,250,600}))*(LOOKUP(M1503,{12.5,15,20,30,45,60,75,105,115,150,200,225,250,600,1000},{55,60,62,65,68,70,72,75,80,82,85,87,90,95,95})-LOOKUP(M1503,{12.5,15,20,30,45,60,75,105,115,150,200,225,250,600,1000},{50,55,60,62,65,68,70,72,75,80,82,85,87,90,95})))))</f>
        <v>75</v>
      </c>
      <c r="P1503" s="2">
        <f t="shared" si="118"/>
        <v>-40</v>
      </c>
      <c r="Q1503" s="2">
        <f t="shared" si="119"/>
        <v>-15</v>
      </c>
    </row>
    <row r="1504" customHeight="1" spans="1:17">
      <c r="A1504" s="2">
        <v>2026</v>
      </c>
      <c r="B1504" s="2">
        <v>1503</v>
      </c>
      <c r="C1504" s="3">
        <f t="shared" si="120"/>
        <v>23.07</v>
      </c>
      <c r="D1504" s="2" t="s">
        <v>1943</v>
      </c>
      <c r="E1504" s="2">
        <v>30</v>
      </c>
      <c r="F1504" s="2">
        <v>58</v>
      </c>
      <c r="G1504" s="2">
        <v>48</v>
      </c>
      <c r="H1504" s="2" t="s">
        <v>108</v>
      </c>
      <c r="I1504" s="2" t="s">
        <v>33</v>
      </c>
      <c r="J1504" s="4" t="s">
        <v>34</v>
      </c>
      <c r="M1504" s="2">
        <f t="shared" si="116"/>
        <v>60</v>
      </c>
      <c r="N1504" s="2">
        <f t="shared" si="117"/>
        <v>37.4</v>
      </c>
      <c r="O1504" s="2">
        <f>IF(M1504="","",IF(M1504&gt;=1000,95,IF(M1504&lt;=12.5,50,LOOKUP(M1504,{12.5,15,20,30,45,60,75,105,115,150,200,225,250,600,1000},{50,55,60,62,65,68,70,72,75,80,82,85,87,90,95})+(M1504-LOOKUP(M1504,{12.5,15,20,30,45,60,75,105,115,150,200,225,250,600},{12.5,15,20,30,45,60,75,105,115,150,200,225,250,600}))/(LOOKUP(M1504,{12.5,15,20,30,45,60,75,105,115,150,200,225,250,600,1000},{15,20,30,45,60,75,105,115,150,200,225,250,600,1000,1000})-LOOKUP(M1504,{12.5,15,20,30,45,60,75,105,115,150,200,225,250,600},{12.5,15,20,30,45,60,75,105,115,150,200,225,250,600}))*(LOOKUP(M1504,{12.5,15,20,30,45,60,75,105,115,150,200,225,250,600,1000},{55,60,62,65,68,70,72,75,80,82,85,87,90,95,95})-LOOKUP(M1504,{12.5,15,20,30,45,60,75,105,115,150,200,225,250,600,1000},{50,55,60,62,65,68,70,72,75,80,82,85,87,90,95})))))</f>
        <v>68</v>
      </c>
      <c r="P1504" s="2">
        <f t="shared" si="118"/>
        <v>-38</v>
      </c>
      <c r="Q1504" s="2">
        <f t="shared" si="119"/>
        <v>-14.33</v>
      </c>
    </row>
    <row r="1505" customHeight="1" spans="1:17">
      <c r="B1505" s="2">
        <v>1504</v>
      </c>
      <c r="C1505" s="3">
        <f t="shared" si="120"/>
        <v>22.6</v>
      </c>
      <c r="D1505" s="2" t="s">
        <v>1944</v>
      </c>
      <c r="E1505" s="2">
        <v>40</v>
      </c>
      <c r="F1505" s="2">
        <v>20</v>
      </c>
      <c r="G1505" s="2">
        <v>56</v>
      </c>
      <c r="H1505" s="2" t="s">
        <v>444</v>
      </c>
      <c r="I1505" s="2" t="s">
        <v>128</v>
      </c>
      <c r="J1505" s="4" t="s">
        <v>59</v>
      </c>
      <c r="M1505" s="2">
        <f t="shared" si="116"/>
        <v>150</v>
      </c>
      <c r="N1505" s="2">
        <f t="shared" si="117"/>
        <v>37.6</v>
      </c>
      <c r="O1505" s="2">
        <f>IF(M1505="","",IF(M1505&gt;=1000,95,IF(M1505&lt;=12.5,50,LOOKUP(M1505,{12.5,15,20,30,45,60,75,105,115,150,200,225,250,600,1000},{50,55,60,62,65,68,70,72,75,80,82,85,87,90,95})+(M1505-LOOKUP(M1505,{12.5,15,20,30,45,60,75,105,115,150,200,225,250,600},{12.5,15,20,30,45,60,75,105,115,150,200,225,250,600}))/(LOOKUP(M1505,{12.5,15,20,30,45,60,75,105,115,150,200,225,250,600,1000},{15,20,30,45,60,75,105,115,150,200,225,250,600,1000,1000})-LOOKUP(M1505,{12.5,15,20,30,45,60,75,105,115,150,200,225,250,600},{12.5,15,20,30,45,60,75,105,115,150,200,225,250,600}))*(LOOKUP(M1505,{12.5,15,20,30,45,60,75,105,115,150,200,225,250,600,1000},{55,60,62,65,68,70,72,75,80,82,85,87,90,95,95})-LOOKUP(M1505,{12.5,15,20,30,45,60,75,105,115,150,200,225,250,600,1000},{50,55,60,62,65,68,70,72,75,80,82,85,87,90,95})))))</f>
        <v>80</v>
      </c>
      <c r="P1505" s="2">
        <f t="shared" si="118"/>
        <v>-40</v>
      </c>
      <c r="Q1505" s="2">
        <f t="shared" si="119"/>
        <v>-15</v>
      </c>
    </row>
    <row r="1506" customHeight="1" spans="1:17">
      <c r="B1506" s="2">
        <v>1505</v>
      </c>
      <c r="C1506" s="3">
        <f t="shared" si="120"/>
        <v>19.24</v>
      </c>
      <c r="D1506" s="2" t="s">
        <v>1945</v>
      </c>
      <c r="E1506" s="2">
        <v>32</v>
      </c>
      <c r="F1506" s="2">
        <v>45</v>
      </c>
      <c r="G1506" s="2">
        <v>15</v>
      </c>
      <c r="H1506" s="2" t="s">
        <v>1000</v>
      </c>
      <c r="I1506" s="2" t="s">
        <v>33</v>
      </c>
      <c r="J1506" s="4" t="s">
        <v>34</v>
      </c>
      <c r="M1506" s="2">
        <f t="shared" si="116"/>
        <v>60</v>
      </c>
      <c r="N1506" s="2">
        <f t="shared" si="117"/>
        <v>32.9</v>
      </c>
      <c r="O1506" s="2">
        <f>IF(M1506="","",IF(M1506&gt;=1000,95,IF(M1506&lt;=12.5,50,LOOKUP(M1506,{12.5,15,20,30,45,60,75,105,115,150,200,225,250,600,1000},{50,55,60,62,65,68,70,72,75,80,82,85,87,90,95})+(M1506-LOOKUP(M1506,{12.5,15,20,30,45,60,75,105,115,150,200,225,250,600},{12.5,15,20,30,45,60,75,105,115,150,200,225,250,600}))/(LOOKUP(M1506,{12.5,15,20,30,45,60,75,105,115,150,200,225,250,600,1000},{15,20,30,45,60,75,105,115,150,200,225,250,600,1000,1000})-LOOKUP(M1506,{12.5,15,20,30,45,60,75,105,115,150,200,225,250,600},{12.5,15,20,30,45,60,75,105,115,150,200,225,250,600}))*(LOOKUP(M1506,{12.5,15,20,30,45,60,75,105,115,150,200,225,250,600,1000},{55,60,62,65,68,70,72,75,80,82,85,87,90,95,95})-LOOKUP(M1506,{12.5,15,20,30,45,60,75,105,115,150,200,225,250,600,1000},{50,55,60,62,65,68,70,72,75,80,82,85,87,90,95})))))</f>
        <v>68</v>
      </c>
      <c r="P1506" s="2">
        <f t="shared" si="118"/>
        <v>-36</v>
      </c>
      <c r="Q1506" s="2">
        <f t="shared" si="119"/>
        <v>-13.66</v>
      </c>
    </row>
    <row r="1507" customHeight="1" spans="1:17">
      <c r="B1507" s="2">
        <v>1506</v>
      </c>
      <c r="C1507" s="3">
        <f t="shared" si="120"/>
        <v>19.01</v>
      </c>
      <c r="D1507" s="2" t="s">
        <v>1946</v>
      </c>
      <c r="E1507" s="2">
        <v>27</v>
      </c>
      <c r="F1507" s="9">
        <v>72</v>
      </c>
      <c r="G1507" s="12">
        <v>67</v>
      </c>
      <c r="H1507" s="2" t="s">
        <v>175</v>
      </c>
      <c r="I1507" s="2" t="s">
        <v>23</v>
      </c>
      <c r="J1507" s="4" t="s">
        <v>19</v>
      </c>
      <c r="M1507" s="2">
        <f t="shared" si="116"/>
        <v>225</v>
      </c>
      <c r="N1507" s="2">
        <f t="shared" si="117"/>
        <v>40</v>
      </c>
      <c r="O1507" s="2">
        <f>IF(M1507="","",IF(M1507&gt;=1000,95,IF(M1507&lt;=12.5,50,LOOKUP(M1507,{12.5,15,20,30,45,60,75,105,115,150,200,225,250,600,1000},{50,55,60,62,65,68,70,72,75,80,82,85,87,90,95})+(M1507-LOOKUP(M1507,{12.5,15,20,30,45,60,75,105,115,150,200,225,250,600},{12.5,15,20,30,45,60,75,105,115,150,200,225,250,600}))/(LOOKUP(M1507,{12.5,15,20,30,45,60,75,105,115,150,200,225,250,600,1000},{15,20,30,45,60,75,105,115,150,200,225,250,600,1000,1000})-LOOKUP(M1507,{12.5,15,20,30,45,60,75,105,115,150,200,225,250,600},{12.5,15,20,30,45,60,75,105,115,150,200,225,250,600}))*(LOOKUP(M1507,{12.5,15,20,30,45,60,75,105,115,150,200,225,250,600,1000},{55,60,62,65,68,70,72,75,80,82,85,87,90,95,95})-LOOKUP(M1507,{12.5,15,20,30,45,60,75,105,115,150,200,225,250,600,1000},{50,55,60,62,65,68,70,72,75,80,82,85,87,90,95})))))</f>
        <v>85</v>
      </c>
      <c r="P1507" s="2">
        <f t="shared" si="118"/>
        <v>-58</v>
      </c>
      <c r="Q1507" s="2">
        <f t="shared" si="119"/>
        <v>-20.99</v>
      </c>
    </row>
    <row r="1508" customHeight="1" spans="1:17">
      <c r="B1508" s="2">
        <v>1507</v>
      </c>
      <c r="C1508" s="3">
        <f t="shared" si="120"/>
        <v>17.67</v>
      </c>
      <c r="D1508" s="2" t="s">
        <v>1947</v>
      </c>
      <c r="E1508" s="2">
        <v>40</v>
      </c>
      <c r="F1508" s="2">
        <v>20</v>
      </c>
      <c r="G1508" s="2">
        <v>40</v>
      </c>
      <c r="H1508" s="2" t="s">
        <v>515</v>
      </c>
      <c r="I1508" s="2" t="s">
        <v>305</v>
      </c>
      <c r="J1508" s="4" t="s">
        <v>73</v>
      </c>
      <c r="M1508" s="2">
        <f t="shared" si="116"/>
        <v>600</v>
      </c>
      <c r="N1508" s="2">
        <f t="shared" si="117"/>
        <v>36</v>
      </c>
      <c r="O1508" s="2">
        <f>IF(M1508="","",IF(M1508&gt;=1000,95,IF(M1508&lt;=12.5,50,LOOKUP(M1508,{12.5,15,20,30,45,60,75,105,115,150,200,225,250,600,1000},{50,55,60,62,65,68,70,72,75,80,82,85,87,90,95})+(M1508-LOOKUP(M1508,{12.5,15,20,30,45,60,75,105,115,150,200,225,250,600},{12.5,15,20,30,45,60,75,105,115,150,200,225,250,600}))/(LOOKUP(M1508,{12.5,15,20,30,45,60,75,105,115,150,200,225,250,600,1000},{15,20,30,45,60,75,105,115,150,200,225,250,600,1000,1000})-LOOKUP(M1508,{12.5,15,20,30,45,60,75,105,115,150,200,225,250,600},{12.5,15,20,30,45,60,75,105,115,150,200,225,250,600}))*(LOOKUP(M1508,{12.5,15,20,30,45,60,75,105,115,150,200,225,250,600,1000},{55,60,62,65,68,70,72,75,80,82,85,87,90,95,95})-LOOKUP(M1508,{12.5,15,20,30,45,60,75,105,115,150,200,225,250,600,1000},{50,55,60,62,65,68,70,72,75,80,82,85,87,90,95})))))</f>
        <v>90</v>
      </c>
      <c r="P1508" s="2">
        <f t="shared" si="118"/>
        <v>-50</v>
      </c>
      <c r="Q1508" s="2">
        <f t="shared" si="119"/>
        <v>-18.33</v>
      </c>
    </row>
    <row r="1509" customHeight="1" spans="1:17">
      <c r="B1509" s="2">
        <v>1508</v>
      </c>
      <c r="C1509" s="3">
        <f t="shared" si="120"/>
        <v>16.14</v>
      </c>
      <c r="D1509" s="2" t="s">
        <v>1948</v>
      </c>
      <c r="E1509" s="2">
        <v>31</v>
      </c>
      <c r="F1509" s="2">
        <v>25</v>
      </c>
      <c r="G1509" s="2">
        <v>41</v>
      </c>
      <c r="H1509" s="2" t="s">
        <v>342</v>
      </c>
      <c r="I1509" s="2" t="s">
        <v>33</v>
      </c>
      <c r="J1509" s="4" t="s">
        <v>24</v>
      </c>
      <c r="M1509" s="2">
        <f t="shared" si="116"/>
        <v>75</v>
      </c>
      <c r="N1509" s="2">
        <f t="shared" si="117"/>
        <v>30.8</v>
      </c>
      <c r="O1509" s="2">
        <f>IF(M1509="","",IF(M1509&gt;=1000,95,IF(M1509&lt;=12.5,50,LOOKUP(M1509,{12.5,15,20,30,45,60,75,105,115,150,200,225,250,600,1000},{50,55,60,62,65,68,70,72,75,80,82,85,87,90,95})+(M1509-LOOKUP(M1509,{12.5,15,20,30,45,60,75,105,115,150,200,225,250,600},{12.5,15,20,30,45,60,75,105,115,150,200,225,250,600}))/(LOOKUP(M1509,{12.5,15,20,30,45,60,75,105,115,150,200,225,250,600,1000},{15,20,30,45,60,75,105,115,150,200,225,250,600,1000,1000})-LOOKUP(M1509,{12.5,15,20,30,45,60,75,105,115,150,200,225,250,600},{12.5,15,20,30,45,60,75,105,115,150,200,225,250,600}))*(LOOKUP(M1509,{12.5,15,20,30,45,60,75,105,115,150,200,225,250,600,1000},{55,60,62,65,68,70,72,75,80,82,85,87,90,95,95})-LOOKUP(M1509,{12.5,15,20,30,45,60,75,105,115,150,200,225,250,600,1000},{50,55,60,62,65,68,70,72,75,80,82,85,87,90,95})))))</f>
        <v>70</v>
      </c>
      <c r="P1509" s="2">
        <f t="shared" si="118"/>
        <v>-39</v>
      </c>
      <c r="Q1509" s="2">
        <f t="shared" si="119"/>
        <v>-14.66</v>
      </c>
    </row>
    <row r="1510" customHeight="1" spans="1:17">
      <c r="B1510" s="2">
        <v>1509</v>
      </c>
      <c r="C1510" s="3">
        <f t="shared" si="120"/>
        <v>15.71</v>
      </c>
      <c r="D1510" s="2" t="s">
        <v>1949</v>
      </c>
      <c r="E1510" s="2">
        <v>26</v>
      </c>
      <c r="F1510" s="9">
        <v>70</v>
      </c>
      <c r="G1510" s="12">
        <v>65</v>
      </c>
      <c r="H1510" s="2" t="s">
        <v>244</v>
      </c>
      <c r="I1510" s="2" t="s">
        <v>239</v>
      </c>
      <c r="J1510" s="4" t="s">
        <v>73</v>
      </c>
      <c r="M1510" s="2">
        <f t="shared" si="116"/>
        <v>600</v>
      </c>
      <c r="N1510" s="2">
        <f t="shared" si="117"/>
        <v>38.7</v>
      </c>
      <c r="O1510" s="2">
        <f>IF(M1510="","",IF(M1510&gt;=1000,95,IF(M1510&lt;=12.5,50,LOOKUP(M1510,{12.5,15,20,30,45,60,75,105,115,150,200,225,250,600,1000},{50,55,60,62,65,68,70,72,75,80,82,85,87,90,95})+(M1510-LOOKUP(M1510,{12.5,15,20,30,45,60,75,105,115,150,200,225,250,600},{12.5,15,20,30,45,60,75,105,115,150,200,225,250,600}))/(LOOKUP(M1510,{12.5,15,20,30,45,60,75,105,115,150,200,225,250,600,1000},{15,20,30,45,60,75,105,115,150,200,225,250,600,1000,1000})-LOOKUP(M1510,{12.5,15,20,30,45,60,75,105,115,150,200,225,250,600},{12.5,15,20,30,45,60,75,105,115,150,200,225,250,600}))*(LOOKUP(M1510,{12.5,15,20,30,45,60,75,105,115,150,200,225,250,600,1000},{55,60,62,65,68,70,72,75,80,82,85,87,90,95,95})-LOOKUP(M1510,{12.5,15,20,30,45,60,75,105,115,150,200,225,250,600,1000},{50,55,60,62,65,68,70,72,75,80,82,85,87,90,95})))))</f>
        <v>90</v>
      </c>
      <c r="P1510" s="2">
        <f t="shared" si="118"/>
        <v>-64</v>
      </c>
      <c r="Q1510" s="2">
        <f t="shared" si="119"/>
        <v>-22.99</v>
      </c>
    </row>
    <row r="1511" customHeight="1" spans="1:17">
      <c r="B1511" s="2">
        <v>1510</v>
      </c>
      <c r="C1511" s="3">
        <f t="shared" si="120"/>
        <v>15.61</v>
      </c>
      <c r="D1511" s="2" t="s">
        <v>1950</v>
      </c>
      <c r="E1511" s="2">
        <v>32</v>
      </c>
      <c r="F1511" s="2">
        <v>40</v>
      </c>
      <c r="G1511" s="12">
        <v>62</v>
      </c>
      <c r="H1511" s="2" t="s">
        <v>444</v>
      </c>
      <c r="I1511" s="2" t="s">
        <v>50</v>
      </c>
      <c r="J1511" s="4" t="s">
        <v>73</v>
      </c>
      <c r="M1511" s="2">
        <f t="shared" si="116"/>
        <v>600</v>
      </c>
      <c r="N1511" s="2">
        <f t="shared" si="117"/>
        <v>36.6</v>
      </c>
      <c r="O1511" s="2">
        <f>IF(M1511="","",IF(M1511&gt;=1000,95,IF(M1511&lt;=12.5,50,LOOKUP(M1511,{12.5,15,20,30,45,60,75,105,115,150,200,225,250,600,1000},{50,55,60,62,65,68,70,72,75,80,82,85,87,90,95})+(M1511-LOOKUP(M1511,{12.5,15,20,30,45,60,75,105,115,150,200,225,250,600},{12.5,15,20,30,45,60,75,105,115,150,200,225,250,600}))/(LOOKUP(M1511,{12.5,15,20,30,45,60,75,105,115,150,200,225,250,600,1000},{15,20,30,45,60,75,105,115,150,200,225,250,600,1000,1000})-LOOKUP(M1511,{12.5,15,20,30,45,60,75,105,115,150,200,225,250,600},{12.5,15,20,30,45,60,75,105,115,150,200,225,250,600}))*(LOOKUP(M1511,{12.5,15,20,30,45,60,75,105,115,150,200,225,250,600,1000},{55,60,62,65,68,70,72,75,80,82,85,87,90,95,95})-LOOKUP(M1511,{12.5,15,20,30,45,60,75,105,115,150,200,225,250,600,1000},{50,55,60,62,65,68,70,72,75,80,82,85,87,90,95})))))</f>
        <v>90</v>
      </c>
      <c r="P1511" s="2">
        <f t="shared" si="118"/>
        <v>-58</v>
      </c>
      <c r="Q1511" s="2">
        <f t="shared" si="119"/>
        <v>-20.99</v>
      </c>
    </row>
    <row r="1512" customHeight="1" spans="1:17">
      <c r="A1512" s="2">
        <v>2026</v>
      </c>
      <c r="B1512" s="2">
        <v>1511</v>
      </c>
      <c r="C1512" s="3">
        <f t="shared" si="120"/>
        <v>13.87</v>
      </c>
      <c r="D1512" s="2" t="s">
        <v>1951</v>
      </c>
      <c r="E1512" s="2">
        <v>21</v>
      </c>
      <c r="F1512" s="2">
        <v>34</v>
      </c>
      <c r="G1512" s="2">
        <v>37</v>
      </c>
      <c r="H1512" s="2" t="s">
        <v>37</v>
      </c>
      <c r="I1512" s="2" t="s">
        <v>28</v>
      </c>
      <c r="J1512" s="4" t="s">
        <v>77</v>
      </c>
      <c r="M1512" s="2">
        <f t="shared" si="116"/>
        <v>12.5</v>
      </c>
      <c r="N1512" s="2">
        <f t="shared" si="117"/>
        <v>25.2</v>
      </c>
      <c r="O1512" s="2">
        <f>IF(M1512="","",IF(M1512&gt;=1000,95,IF(M1512&lt;=12.5,50,LOOKUP(M1512,{12.5,15,20,30,45,60,75,105,115,150,200,225,250,600,1000},{50,55,60,62,65,68,70,72,75,80,82,85,87,90,95})+(M1512-LOOKUP(M1512,{12.5,15,20,30,45,60,75,105,115,150,200,225,250,600},{12.5,15,20,30,45,60,75,105,115,150,200,225,250,600}))/(LOOKUP(M1512,{12.5,15,20,30,45,60,75,105,115,150,200,225,250,600,1000},{15,20,30,45,60,75,105,115,150,200,225,250,600,1000,1000})-LOOKUP(M1512,{12.5,15,20,30,45,60,75,105,115,150,200,225,250,600},{12.5,15,20,30,45,60,75,105,115,150,200,225,250,600}))*(LOOKUP(M1512,{12.5,15,20,30,45,60,75,105,115,150,200,225,250,600,1000},{55,60,62,65,68,70,72,75,80,82,85,87,90,95,95})-LOOKUP(M1512,{12.5,15,20,30,45,60,75,105,115,150,200,225,250,600,1000},{50,55,60,62,65,68,70,72,75,80,82,85,87,90,95})))))</f>
        <v>50</v>
      </c>
      <c r="P1512" s="2">
        <f t="shared" si="118"/>
        <v>-29</v>
      </c>
      <c r="Q1512" s="2">
        <f t="shared" si="119"/>
        <v>-11.33</v>
      </c>
    </row>
    <row r="1513" customHeight="1" spans="1:17">
      <c r="B1513" s="2">
        <v>1512</v>
      </c>
      <c r="C1513" s="3">
        <f t="shared" si="120"/>
        <v>11.7</v>
      </c>
      <c r="D1513" s="2" t="s">
        <v>1952</v>
      </c>
      <c r="E1513" s="2">
        <v>25</v>
      </c>
      <c r="F1513" s="2">
        <v>30</v>
      </c>
      <c r="G1513" s="2">
        <v>32</v>
      </c>
      <c r="H1513" s="2" t="s">
        <v>1309</v>
      </c>
      <c r="I1513" s="2" t="s">
        <v>33</v>
      </c>
      <c r="J1513" s="4" t="s">
        <v>38</v>
      </c>
      <c r="M1513" s="2">
        <f t="shared" si="116"/>
        <v>45</v>
      </c>
      <c r="N1513" s="2">
        <f t="shared" si="117"/>
        <v>26.7</v>
      </c>
      <c r="O1513" s="2">
        <f>IF(M1513="","",IF(M1513&gt;=1000,95,IF(M1513&lt;=12.5,50,LOOKUP(M1513,{12.5,15,20,30,45,60,75,105,115,150,200,225,250,600,1000},{50,55,60,62,65,68,70,72,75,80,82,85,87,90,95})+(M1513-LOOKUP(M1513,{12.5,15,20,30,45,60,75,105,115,150,200,225,250,600},{12.5,15,20,30,45,60,75,105,115,150,200,225,250,600}))/(LOOKUP(M1513,{12.5,15,20,30,45,60,75,105,115,150,200,225,250,600,1000},{15,20,30,45,60,75,105,115,150,200,225,250,600,1000,1000})-LOOKUP(M1513,{12.5,15,20,30,45,60,75,105,115,150,200,225,250,600},{12.5,15,20,30,45,60,75,105,115,150,200,225,250,600}))*(LOOKUP(M1513,{12.5,15,20,30,45,60,75,105,115,150,200,225,250,600,1000},{55,60,62,65,68,70,72,75,80,82,85,87,90,95,95})-LOOKUP(M1513,{12.5,15,20,30,45,60,75,105,115,150,200,225,250,600,1000},{50,55,60,62,65,68,70,72,75,80,82,85,87,90,95})))))</f>
        <v>65</v>
      </c>
      <c r="P1513" s="2">
        <f t="shared" si="118"/>
        <v>-40</v>
      </c>
      <c r="Q1513" s="2">
        <f t="shared" si="119"/>
        <v>-15</v>
      </c>
    </row>
    <row r="1514" customHeight="1" spans="1:17">
      <c r="B1514" s="2">
        <v>1513</v>
      </c>
      <c r="C1514" s="3">
        <f t="shared" si="120"/>
        <v>10.07</v>
      </c>
      <c r="D1514" s="2" t="s">
        <v>1953</v>
      </c>
      <c r="E1514" s="2">
        <v>20</v>
      </c>
      <c r="F1514" s="2">
        <v>57</v>
      </c>
      <c r="G1514" s="2">
        <v>30</v>
      </c>
      <c r="H1514" s="2" t="s">
        <v>1000</v>
      </c>
      <c r="I1514" s="2" t="s">
        <v>33</v>
      </c>
      <c r="J1514" s="4" t="s">
        <v>24</v>
      </c>
      <c r="M1514" s="2">
        <f t="shared" si="116"/>
        <v>75</v>
      </c>
      <c r="N1514" s="2">
        <f t="shared" si="117"/>
        <v>28.4</v>
      </c>
      <c r="O1514" s="2">
        <f>IF(M1514="","",IF(M1514&gt;=1000,95,IF(M1514&lt;=12.5,50,LOOKUP(M1514,{12.5,15,20,30,45,60,75,105,115,150,200,225,250,600,1000},{50,55,60,62,65,68,70,72,75,80,82,85,87,90,95})+(M1514-LOOKUP(M1514,{12.5,15,20,30,45,60,75,105,115,150,200,225,250,600},{12.5,15,20,30,45,60,75,105,115,150,200,225,250,600}))/(LOOKUP(M1514,{12.5,15,20,30,45,60,75,105,115,150,200,225,250,600,1000},{15,20,30,45,60,75,105,115,150,200,225,250,600,1000,1000})-LOOKUP(M1514,{12.5,15,20,30,45,60,75,105,115,150,200,225,250,600},{12.5,15,20,30,45,60,75,105,115,150,200,225,250,600}))*(LOOKUP(M1514,{12.5,15,20,30,45,60,75,105,115,150,200,225,250,600,1000},{55,60,62,65,68,70,72,75,80,82,85,87,90,95,95})-LOOKUP(M1514,{12.5,15,20,30,45,60,75,105,115,150,200,225,250,600,1000},{50,55,60,62,65,68,70,72,75,80,82,85,87,90,95})))))</f>
        <v>70</v>
      </c>
      <c r="P1514" s="2">
        <f t="shared" si="118"/>
        <v>-50</v>
      </c>
      <c r="Q1514" s="2">
        <f t="shared" si="119"/>
        <v>-18.33</v>
      </c>
    </row>
    <row r="1515" customHeight="1" spans="1:17">
      <c r="B1515" s="2">
        <v>1514</v>
      </c>
      <c r="C1515" s="3">
        <f t="shared" si="120"/>
        <v>8.34</v>
      </c>
      <c r="D1515" s="2" t="s">
        <v>1954</v>
      </c>
      <c r="E1515" s="2">
        <v>15</v>
      </c>
      <c r="F1515" s="2">
        <v>50</v>
      </c>
      <c r="G1515" s="2">
        <v>45</v>
      </c>
      <c r="H1515" s="2" t="s">
        <v>37</v>
      </c>
      <c r="I1515" s="2" t="s">
        <v>28</v>
      </c>
      <c r="J1515" s="4" t="s">
        <v>140</v>
      </c>
      <c r="M1515" s="2">
        <f t="shared" si="116"/>
        <v>20</v>
      </c>
      <c r="N1515" s="2">
        <f t="shared" si="117"/>
        <v>25</v>
      </c>
      <c r="O1515" s="2">
        <f>IF(M1515="","",IF(M1515&gt;=1000,95,IF(M1515&lt;=12.5,50,LOOKUP(M1515,{12.5,15,20,30,45,60,75,105,115,150,200,225,250,600,1000},{50,55,60,62,65,68,70,72,75,80,82,85,87,90,95})+(M1515-LOOKUP(M1515,{12.5,15,20,30,45,60,75,105,115,150,200,225,250,600},{12.5,15,20,30,45,60,75,105,115,150,200,225,250,600}))/(LOOKUP(M1515,{12.5,15,20,30,45,60,75,105,115,150,200,225,250,600,1000},{15,20,30,45,60,75,105,115,150,200,225,250,600,1000,1000})-LOOKUP(M1515,{12.5,15,20,30,45,60,75,105,115,150,200,225,250,600},{12.5,15,20,30,45,60,75,105,115,150,200,225,250,600}))*(LOOKUP(M1515,{12.5,15,20,30,45,60,75,105,115,150,200,225,250,600,1000},{55,60,62,65,68,70,72,75,80,82,85,87,90,95,95})-LOOKUP(M1515,{12.5,15,20,30,45,60,75,105,115,150,200,225,250,600,1000},{50,55,60,62,65,68,70,72,75,80,82,85,87,90,95})))))</f>
        <v>60</v>
      </c>
      <c r="P1515" s="2">
        <f t="shared" si="118"/>
        <v>-45</v>
      </c>
      <c r="Q1515" s="2">
        <f t="shared" si="119"/>
        <v>-16.66</v>
      </c>
    </row>
    <row r="1516" customHeight="1" spans="1:17">
      <c r="B1516" s="2">
        <v>1515</v>
      </c>
      <c r="C1516" s="3">
        <f t="shared" si="120"/>
        <v>7.8</v>
      </c>
      <c r="D1516" s="2" t="s">
        <v>1955</v>
      </c>
      <c r="E1516" s="2">
        <v>18</v>
      </c>
      <c r="F1516" s="2">
        <v>30</v>
      </c>
      <c r="G1516" s="2">
        <v>32</v>
      </c>
      <c r="H1516" s="2" t="s">
        <v>279</v>
      </c>
      <c r="I1516" s="2" t="s">
        <v>28</v>
      </c>
      <c r="J1516" s="4" t="s">
        <v>29</v>
      </c>
      <c r="M1516" s="2">
        <f t="shared" si="116"/>
        <v>15</v>
      </c>
      <c r="N1516" s="2">
        <f t="shared" si="117"/>
        <v>21.8</v>
      </c>
      <c r="O1516" s="2">
        <f>IF(M1516="","",IF(M1516&gt;=1000,95,IF(M1516&lt;=12.5,50,LOOKUP(M1516,{12.5,15,20,30,45,60,75,105,115,150,200,225,250,600,1000},{50,55,60,62,65,68,70,72,75,80,82,85,87,90,95})+(M1516-LOOKUP(M1516,{12.5,15,20,30,45,60,75,105,115,150,200,225,250,600},{12.5,15,20,30,45,60,75,105,115,150,200,225,250,600}))/(LOOKUP(M1516,{12.5,15,20,30,45,60,75,105,115,150,200,225,250,600,1000},{15,20,30,45,60,75,105,115,150,200,225,250,600,1000,1000})-LOOKUP(M1516,{12.5,15,20,30,45,60,75,105,115,150,200,225,250,600},{12.5,15,20,30,45,60,75,105,115,150,200,225,250,600}))*(LOOKUP(M1516,{12.5,15,20,30,45,60,75,105,115,150,200,225,250,600,1000},{55,60,62,65,68,70,72,75,80,82,85,87,90,95,95})-LOOKUP(M1516,{12.5,15,20,30,45,60,75,105,115,150,200,225,250,600,1000},{50,55,60,62,65,68,70,72,75,80,82,85,87,90,95})))))</f>
        <v>55</v>
      </c>
      <c r="P1516" s="2">
        <f t="shared" si="118"/>
        <v>-37</v>
      </c>
      <c r="Q1516" s="2">
        <f t="shared" si="119"/>
        <v>-14</v>
      </c>
    </row>
    <row r="1517" customHeight="1" spans="1:17">
      <c r="B1517" s="2">
        <v>1516</v>
      </c>
      <c r="C1517" s="3">
        <f t="shared" si="120"/>
        <v>5.65</v>
      </c>
      <c r="D1517" s="2" t="s">
        <v>1956</v>
      </c>
      <c r="E1517" s="2">
        <v>26</v>
      </c>
      <c r="F1517" s="2">
        <v>20</v>
      </c>
      <c r="G1517" s="10">
        <v>81</v>
      </c>
      <c r="H1517" s="2" t="s">
        <v>66</v>
      </c>
      <c r="I1517" s="2" t="s">
        <v>305</v>
      </c>
      <c r="J1517" s="4" t="s">
        <v>43</v>
      </c>
      <c r="M1517" s="2">
        <f t="shared" si="116"/>
        <v>1000</v>
      </c>
      <c r="N1517" s="2">
        <f t="shared" si="117"/>
        <v>30.3</v>
      </c>
      <c r="O1517" s="2">
        <f>IF(M1517="","",IF(M1517&gt;=1000,95,IF(M1517&lt;=12.5,50,LOOKUP(M1517,{12.5,15,20,30,45,60,75,105,115,150,200,225,250,600,1000},{50,55,60,62,65,68,70,72,75,80,82,85,87,90,95})+(M1517-LOOKUP(M1517,{12.5,15,20,30,45,60,75,105,115,150,200,225,250,600},{12.5,15,20,30,45,60,75,105,115,150,200,225,250,600}))/(LOOKUP(M1517,{12.5,15,20,30,45,60,75,105,115,150,200,225,250,600,1000},{15,20,30,45,60,75,105,115,150,200,225,250,600,1000,1000})-LOOKUP(M1517,{12.5,15,20,30,45,60,75,105,115,150,200,225,250,600},{12.5,15,20,30,45,60,75,105,115,150,200,225,250,600}))*(LOOKUP(M1517,{12.5,15,20,30,45,60,75,105,115,150,200,225,250,600,1000},{55,60,62,65,68,70,72,75,80,82,85,87,90,95,95})-LOOKUP(M1517,{12.5,15,20,30,45,60,75,105,115,150,200,225,250,600,1000},{50,55,60,62,65,68,70,72,75,80,82,85,87,90,95})))))</f>
        <v>95</v>
      </c>
      <c r="P1517" s="2">
        <f t="shared" si="118"/>
        <v>-69</v>
      </c>
      <c r="Q1517" s="2">
        <f t="shared" si="119"/>
        <v>-24.65</v>
      </c>
    </row>
    <row r="1518" customHeight="1" spans="1:17">
      <c r="B1518" s="2">
        <v>1517</v>
      </c>
      <c r="C1518" s="3">
        <f t="shared" si="120"/>
        <v>0</v>
      </c>
      <c r="D1518" s="2" t="s">
        <v>1957</v>
      </c>
      <c r="E1518" s="2">
        <v>15</v>
      </c>
      <c r="F1518" s="2">
        <v>12</v>
      </c>
      <c r="G1518" s="2">
        <v>34</v>
      </c>
      <c r="H1518" s="2" t="s">
        <v>743</v>
      </c>
      <c r="I1518" s="2" t="s">
        <v>159</v>
      </c>
      <c r="J1518" s="4" t="s">
        <v>24</v>
      </c>
      <c r="M1518" s="2">
        <f t="shared" si="116"/>
        <v>75</v>
      </c>
      <c r="N1518" s="2">
        <f t="shared" si="117"/>
        <v>16.3</v>
      </c>
      <c r="O1518" s="2">
        <f>IF(M1518="","",IF(M1518&gt;=1000,95,IF(M1518&lt;=12.5,50,LOOKUP(M1518,{12.5,15,20,30,45,60,75,105,115,150,200,225,250,600,1000},{50,55,60,62,65,68,70,72,75,80,82,85,87,90,95})+(M1518-LOOKUP(M1518,{12.5,15,20,30,45,60,75,105,115,150,200,225,250,600},{12.5,15,20,30,45,60,75,105,115,150,200,225,250,600}))/(LOOKUP(M1518,{12.5,15,20,30,45,60,75,105,115,150,200,225,250,600,1000},{15,20,30,45,60,75,105,115,150,200,225,250,600,1000,1000})-LOOKUP(M1518,{12.5,15,20,30,45,60,75,105,115,150,200,225,250,600},{12.5,15,20,30,45,60,75,105,115,150,200,225,250,600}))*(LOOKUP(M1518,{12.5,15,20,30,45,60,75,105,115,150,200,225,250,600,1000},{55,60,62,65,68,70,72,75,80,82,85,87,90,95,95})-LOOKUP(M1518,{12.5,15,20,30,45,60,75,105,115,150,200,225,250,600,1000},{50,55,60,62,65,68,70,72,75,80,82,85,87,90,95})))))</f>
        <v>70</v>
      </c>
      <c r="P1518" s="2">
        <f t="shared" si="118"/>
        <v>-55</v>
      </c>
      <c r="Q1518" s="2">
        <f t="shared" si="119"/>
        <v>-19.99</v>
      </c>
    </row>
    <row r="1519" customHeight="1" spans="1:17">
      <c r="A1519" s="2">
        <v>2026</v>
      </c>
      <c r="M1519" s="2" t="e">
        <f t="shared" ref="M1504:M1543" si="121">IF(J1519="1000+",1000,(LEFT(J1519,FIND("-",J1519)-1)+RIGHT(J1519,LEN(J1519)-FIND("-",J1519)))/2)</f>
        <v>#VALUE!</v>
      </c>
      <c r="N1519" s="2">
        <f t="shared" ref="N1504:N1543" si="122">ROUND(E1519*0.7+F1519*0.2+G1519*0.1,2)</f>
        <v>0</v>
      </c>
      <c r="O1519" s="2" t="e">
        <f>IF(M1519="","",IF(M1519&gt;=1000,95,IF(M1519&lt;=12.5,50,LOOKUP(M1519,{12.5,15,20,30,45,60,75,105,115,150,200,225,250,600,1000},{50,55,60,62,65,68,70,72,75,80,82,85,87,90,95})+(M1519-LOOKUP(M1519,{12.5,15,20,30,45,60,75,105,115,150,200,225,250,600},{12.5,15,20,30,45,60,75,105,115,150,200,225,250,600}))/(LOOKUP(M1519,{12.5,15,20,30,45,60,75,105,115,150,200,225,250,600,1000},{15,20,30,45,60,75,105,115,150,200,225,250,600,1000,1000})-LOOKUP(M1519,{12.5,15,20,30,45,60,75,105,115,150,200,225,250,600},{12.5,15,20,30,45,60,75,105,115,150,200,225,250,600}))*(LOOKUP(M1519,{12.5,15,20,30,45,60,75,105,115,150,200,225,250,600,1000},{55,60,62,65,68,70,72,75,80,82,85,87,90,95,95})-LOOKUP(M1519,{12.5,15,20,30,45,60,75,105,115,150,200,225,250,600,1000},{50,55,60,62,65,68,70,72,75,80,82,85,87,90,95})))))</f>
        <v>#VALUE!</v>
      </c>
      <c r="P1519" s="2" t="e">
        <f t="shared" ref="P1504:P1543" si="123">E1519-O1519</f>
        <v>#VALUE!</v>
      </c>
      <c r="Q1519" s="2" t="e">
        <f t="shared" ref="Q1504:Q1543" si="124">ROUND(SIGN(P1519)*IF(ABS(P1519)&lt;=10,ABS(P1519)*0.5,IF(ABS(P1519)&lt;=15,5+(ABS(P1519)-10)*(1.67/5),6.67+(ABS(P1519)-15)*0.333)),2)</f>
        <v>#VALUE!</v>
      </c>
    </row>
    <row r="1520" customHeight="1" spans="1:17">
      <c r="A1520" s="2">
        <v>2026</v>
      </c>
      <c r="M1520" s="2" t="e">
        <f t="shared" si="121"/>
        <v>#VALUE!</v>
      </c>
      <c r="N1520" s="2">
        <f t="shared" si="122"/>
        <v>0</v>
      </c>
      <c r="O1520" s="2" t="e">
        <f>IF(M1520="","",IF(M1520&gt;=1000,95,IF(M1520&lt;=12.5,50,LOOKUP(M1520,{12.5,15,20,30,45,60,75,105,115,150,200,225,250,600,1000},{50,55,60,62,65,68,70,72,75,80,82,85,87,90,95})+(M1520-LOOKUP(M1520,{12.5,15,20,30,45,60,75,105,115,150,200,225,250,600},{12.5,15,20,30,45,60,75,105,115,150,200,225,250,600}))/(LOOKUP(M1520,{12.5,15,20,30,45,60,75,105,115,150,200,225,250,600,1000},{15,20,30,45,60,75,105,115,150,200,225,250,600,1000,1000})-LOOKUP(M1520,{12.5,15,20,30,45,60,75,105,115,150,200,225,250,600},{12.5,15,20,30,45,60,75,105,115,150,200,225,250,600}))*(LOOKUP(M1520,{12.5,15,20,30,45,60,75,105,115,150,200,225,250,600,1000},{55,60,62,65,68,70,72,75,80,82,85,87,90,95,95})-LOOKUP(M1520,{12.5,15,20,30,45,60,75,105,115,150,200,225,250,600,1000},{50,55,60,62,65,68,70,72,75,80,82,85,87,90,95})))))</f>
        <v>#VALUE!</v>
      </c>
      <c r="P1520" s="2" t="e">
        <f t="shared" si="123"/>
        <v>#VALUE!</v>
      </c>
      <c r="Q1520" s="2" t="e">
        <f t="shared" si="124"/>
        <v>#VALUE!</v>
      </c>
    </row>
    <row r="1521" customHeight="1" spans="1:17">
      <c r="A1521" s="2">
        <v>2026</v>
      </c>
      <c r="M1521" s="2" t="e">
        <f t="shared" si="121"/>
        <v>#VALUE!</v>
      </c>
      <c r="N1521" s="2">
        <f t="shared" si="122"/>
        <v>0</v>
      </c>
      <c r="O1521" s="2" t="e">
        <f>IF(M1521="","",IF(M1521&gt;=1000,95,IF(M1521&lt;=12.5,50,LOOKUP(M1521,{12.5,15,20,30,45,60,75,105,115,150,200,225,250,600,1000},{50,55,60,62,65,68,70,72,75,80,82,85,87,90,95})+(M1521-LOOKUP(M1521,{12.5,15,20,30,45,60,75,105,115,150,200,225,250,600},{12.5,15,20,30,45,60,75,105,115,150,200,225,250,600}))/(LOOKUP(M1521,{12.5,15,20,30,45,60,75,105,115,150,200,225,250,600,1000},{15,20,30,45,60,75,105,115,150,200,225,250,600,1000,1000})-LOOKUP(M1521,{12.5,15,20,30,45,60,75,105,115,150,200,225,250,600},{12.5,15,20,30,45,60,75,105,115,150,200,225,250,600}))*(LOOKUP(M1521,{12.5,15,20,30,45,60,75,105,115,150,200,225,250,600,1000},{55,60,62,65,68,70,72,75,80,82,85,87,90,95,95})-LOOKUP(M1521,{12.5,15,20,30,45,60,75,105,115,150,200,225,250,600,1000},{50,55,60,62,65,68,70,72,75,80,82,85,87,90,95})))))</f>
        <v>#VALUE!</v>
      </c>
      <c r="P1521" s="2" t="e">
        <f t="shared" si="123"/>
        <v>#VALUE!</v>
      </c>
      <c r="Q1521" s="2" t="e">
        <f t="shared" si="124"/>
        <v>#VALUE!</v>
      </c>
    </row>
    <row r="1522" customHeight="1" spans="1:17">
      <c r="A1522" s="2">
        <v>2026</v>
      </c>
      <c r="M1522" s="2" t="e">
        <f t="shared" si="121"/>
        <v>#VALUE!</v>
      </c>
      <c r="N1522" s="2">
        <f t="shared" si="122"/>
        <v>0</v>
      </c>
      <c r="O1522" s="2" t="e">
        <f>IF(M1522="","",IF(M1522&gt;=1000,95,IF(M1522&lt;=12.5,50,LOOKUP(M1522,{12.5,15,20,30,45,60,75,105,115,150,200,225,250,600,1000},{50,55,60,62,65,68,70,72,75,80,82,85,87,90,95})+(M1522-LOOKUP(M1522,{12.5,15,20,30,45,60,75,105,115,150,200,225,250,600},{12.5,15,20,30,45,60,75,105,115,150,200,225,250,600}))/(LOOKUP(M1522,{12.5,15,20,30,45,60,75,105,115,150,200,225,250,600,1000},{15,20,30,45,60,75,105,115,150,200,225,250,600,1000,1000})-LOOKUP(M1522,{12.5,15,20,30,45,60,75,105,115,150,200,225,250,600},{12.5,15,20,30,45,60,75,105,115,150,200,225,250,600}))*(LOOKUP(M1522,{12.5,15,20,30,45,60,75,105,115,150,200,225,250,600,1000},{55,60,62,65,68,70,72,75,80,82,85,87,90,95,95})-LOOKUP(M1522,{12.5,15,20,30,45,60,75,105,115,150,200,225,250,600,1000},{50,55,60,62,65,68,70,72,75,80,82,85,87,90,95})))))</f>
        <v>#VALUE!</v>
      </c>
      <c r="P1522" s="2" t="e">
        <f t="shared" si="123"/>
        <v>#VALUE!</v>
      </c>
      <c r="Q1522" s="2" t="e">
        <f t="shared" si="124"/>
        <v>#VALUE!</v>
      </c>
    </row>
    <row r="1523" customHeight="1" spans="1:17">
      <c r="A1523" s="2">
        <v>2026</v>
      </c>
      <c r="M1523" s="2" t="e">
        <f t="shared" si="121"/>
        <v>#VALUE!</v>
      </c>
      <c r="N1523" s="2">
        <f t="shared" si="122"/>
        <v>0</v>
      </c>
      <c r="O1523" s="2" t="e">
        <f>IF(M1523="","",IF(M1523&gt;=1000,95,IF(M1523&lt;=12.5,50,LOOKUP(M1523,{12.5,15,20,30,45,60,75,105,115,150,200,225,250,600,1000},{50,55,60,62,65,68,70,72,75,80,82,85,87,90,95})+(M1523-LOOKUP(M1523,{12.5,15,20,30,45,60,75,105,115,150,200,225,250,600},{12.5,15,20,30,45,60,75,105,115,150,200,225,250,600}))/(LOOKUP(M1523,{12.5,15,20,30,45,60,75,105,115,150,200,225,250,600,1000},{15,20,30,45,60,75,105,115,150,200,225,250,600,1000,1000})-LOOKUP(M1523,{12.5,15,20,30,45,60,75,105,115,150,200,225,250,600},{12.5,15,20,30,45,60,75,105,115,150,200,225,250,600}))*(LOOKUP(M1523,{12.5,15,20,30,45,60,75,105,115,150,200,225,250,600,1000},{55,60,62,65,68,70,72,75,80,82,85,87,90,95,95})-LOOKUP(M1523,{12.5,15,20,30,45,60,75,105,115,150,200,225,250,600,1000},{50,55,60,62,65,68,70,72,75,80,82,85,87,90,95})))))</f>
        <v>#VALUE!</v>
      </c>
      <c r="P1523" s="2" t="e">
        <f t="shared" si="123"/>
        <v>#VALUE!</v>
      </c>
      <c r="Q1523" s="2" t="e">
        <f t="shared" si="124"/>
        <v>#VALUE!</v>
      </c>
    </row>
    <row r="1524" customHeight="1" spans="1:17">
      <c r="A1524" s="2">
        <v>2026</v>
      </c>
      <c r="M1524" s="2" t="e">
        <f t="shared" si="121"/>
        <v>#VALUE!</v>
      </c>
      <c r="N1524" s="2">
        <f t="shared" si="122"/>
        <v>0</v>
      </c>
      <c r="O1524" s="2" t="e">
        <f>IF(M1524="","",IF(M1524&gt;=1000,95,IF(M1524&lt;=12.5,50,LOOKUP(M1524,{12.5,15,20,30,45,60,75,105,115,150,200,225,250,600,1000},{50,55,60,62,65,68,70,72,75,80,82,85,87,90,95})+(M1524-LOOKUP(M1524,{12.5,15,20,30,45,60,75,105,115,150,200,225,250,600},{12.5,15,20,30,45,60,75,105,115,150,200,225,250,600}))/(LOOKUP(M1524,{12.5,15,20,30,45,60,75,105,115,150,200,225,250,600,1000},{15,20,30,45,60,75,105,115,150,200,225,250,600,1000,1000})-LOOKUP(M1524,{12.5,15,20,30,45,60,75,105,115,150,200,225,250,600},{12.5,15,20,30,45,60,75,105,115,150,200,225,250,600}))*(LOOKUP(M1524,{12.5,15,20,30,45,60,75,105,115,150,200,225,250,600,1000},{55,60,62,65,68,70,72,75,80,82,85,87,90,95,95})-LOOKUP(M1524,{12.5,15,20,30,45,60,75,105,115,150,200,225,250,600,1000},{50,55,60,62,65,68,70,72,75,80,82,85,87,90,95})))))</f>
        <v>#VALUE!</v>
      </c>
      <c r="P1524" s="2" t="e">
        <f t="shared" si="123"/>
        <v>#VALUE!</v>
      </c>
      <c r="Q1524" s="2" t="e">
        <f t="shared" si="124"/>
        <v>#VALUE!</v>
      </c>
    </row>
    <row r="1525" customHeight="1" spans="1:17">
      <c r="A1525" s="2">
        <v>2026</v>
      </c>
      <c r="M1525" s="2" t="e">
        <f t="shared" si="121"/>
        <v>#VALUE!</v>
      </c>
      <c r="N1525" s="2">
        <f t="shared" si="122"/>
        <v>0</v>
      </c>
      <c r="O1525" s="2" t="e">
        <f>IF(M1525="","",IF(M1525&gt;=1000,95,IF(M1525&lt;=12.5,50,LOOKUP(M1525,{12.5,15,20,30,45,60,75,105,115,150,200,225,250,600,1000},{50,55,60,62,65,68,70,72,75,80,82,85,87,90,95})+(M1525-LOOKUP(M1525,{12.5,15,20,30,45,60,75,105,115,150,200,225,250,600},{12.5,15,20,30,45,60,75,105,115,150,200,225,250,600}))/(LOOKUP(M1525,{12.5,15,20,30,45,60,75,105,115,150,200,225,250,600,1000},{15,20,30,45,60,75,105,115,150,200,225,250,600,1000,1000})-LOOKUP(M1525,{12.5,15,20,30,45,60,75,105,115,150,200,225,250,600},{12.5,15,20,30,45,60,75,105,115,150,200,225,250,600}))*(LOOKUP(M1525,{12.5,15,20,30,45,60,75,105,115,150,200,225,250,600,1000},{55,60,62,65,68,70,72,75,80,82,85,87,90,95,95})-LOOKUP(M1525,{12.5,15,20,30,45,60,75,105,115,150,200,225,250,600,1000},{50,55,60,62,65,68,70,72,75,80,82,85,87,90,95})))))</f>
        <v>#VALUE!</v>
      </c>
      <c r="P1525" s="2" t="e">
        <f t="shared" si="123"/>
        <v>#VALUE!</v>
      </c>
      <c r="Q1525" s="2" t="e">
        <f t="shared" si="124"/>
        <v>#VALUE!</v>
      </c>
    </row>
    <row r="1526" customHeight="1" spans="1:17">
      <c r="A1526" s="2">
        <v>2026</v>
      </c>
      <c r="M1526" s="2" t="e">
        <f t="shared" si="121"/>
        <v>#VALUE!</v>
      </c>
      <c r="N1526" s="2">
        <f t="shared" si="122"/>
        <v>0</v>
      </c>
      <c r="O1526" s="2" t="e">
        <f>IF(M1526="","",IF(M1526&gt;=1000,95,IF(M1526&lt;=12.5,50,LOOKUP(M1526,{12.5,15,20,30,45,60,75,105,115,150,200,225,250,600,1000},{50,55,60,62,65,68,70,72,75,80,82,85,87,90,95})+(M1526-LOOKUP(M1526,{12.5,15,20,30,45,60,75,105,115,150,200,225,250,600},{12.5,15,20,30,45,60,75,105,115,150,200,225,250,600}))/(LOOKUP(M1526,{12.5,15,20,30,45,60,75,105,115,150,200,225,250,600,1000},{15,20,30,45,60,75,105,115,150,200,225,250,600,1000,1000})-LOOKUP(M1526,{12.5,15,20,30,45,60,75,105,115,150,200,225,250,600},{12.5,15,20,30,45,60,75,105,115,150,200,225,250,600}))*(LOOKUP(M1526,{12.5,15,20,30,45,60,75,105,115,150,200,225,250,600,1000},{55,60,62,65,68,70,72,75,80,82,85,87,90,95,95})-LOOKUP(M1526,{12.5,15,20,30,45,60,75,105,115,150,200,225,250,600,1000},{50,55,60,62,65,68,70,72,75,80,82,85,87,90,95})))))</f>
        <v>#VALUE!</v>
      </c>
      <c r="P1526" s="2" t="e">
        <f t="shared" si="123"/>
        <v>#VALUE!</v>
      </c>
      <c r="Q1526" s="2" t="e">
        <f t="shared" si="124"/>
        <v>#VALUE!</v>
      </c>
    </row>
    <row r="1527" customHeight="1" spans="1:17">
      <c r="A1527" s="2">
        <v>2026</v>
      </c>
      <c r="M1527" s="2" t="e">
        <f t="shared" si="121"/>
        <v>#VALUE!</v>
      </c>
      <c r="N1527" s="2">
        <f t="shared" si="122"/>
        <v>0</v>
      </c>
      <c r="O1527" s="2" t="e">
        <f>IF(M1527="","",IF(M1527&gt;=1000,95,IF(M1527&lt;=12.5,50,LOOKUP(M1527,{12.5,15,20,30,45,60,75,105,115,150,200,225,250,600,1000},{50,55,60,62,65,68,70,72,75,80,82,85,87,90,95})+(M1527-LOOKUP(M1527,{12.5,15,20,30,45,60,75,105,115,150,200,225,250,600},{12.5,15,20,30,45,60,75,105,115,150,200,225,250,600}))/(LOOKUP(M1527,{12.5,15,20,30,45,60,75,105,115,150,200,225,250,600,1000},{15,20,30,45,60,75,105,115,150,200,225,250,600,1000,1000})-LOOKUP(M1527,{12.5,15,20,30,45,60,75,105,115,150,200,225,250,600},{12.5,15,20,30,45,60,75,105,115,150,200,225,250,600}))*(LOOKUP(M1527,{12.5,15,20,30,45,60,75,105,115,150,200,225,250,600,1000},{55,60,62,65,68,70,72,75,80,82,85,87,90,95,95})-LOOKUP(M1527,{12.5,15,20,30,45,60,75,105,115,150,200,225,250,600,1000},{50,55,60,62,65,68,70,72,75,80,82,85,87,90,95})))))</f>
        <v>#VALUE!</v>
      </c>
      <c r="P1527" s="2" t="e">
        <f t="shared" si="123"/>
        <v>#VALUE!</v>
      </c>
      <c r="Q1527" s="2" t="e">
        <f t="shared" si="124"/>
        <v>#VALUE!</v>
      </c>
    </row>
    <row r="1528" customHeight="1" spans="1:17">
      <c r="A1528" s="2">
        <v>2026</v>
      </c>
      <c r="M1528" s="2" t="e">
        <f t="shared" si="121"/>
        <v>#VALUE!</v>
      </c>
      <c r="N1528" s="2">
        <f t="shared" si="122"/>
        <v>0</v>
      </c>
      <c r="O1528" s="2" t="e">
        <f>IF(M1528="","",IF(M1528&gt;=1000,95,IF(M1528&lt;=12.5,50,LOOKUP(M1528,{12.5,15,20,30,45,60,75,105,115,150,200,225,250,600,1000},{50,55,60,62,65,68,70,72,75,80,82,85,87,90,95})+(M1528-LOOKUP(M1528,{12.5,15,20,30,45,60,75,105,115,150,200,225,250,600},{12.5,15,20,30,45,60,75,105,115,150,200,225,250,600}))/(LOOKUP(M1528,{12.5,15,20,30,45,60,75,105,115,150,200,225,250,600,1000},{15,20,30,45,60,75,105,115,150,200,225,250,600,1000,1000})-LOOKUP(M1528,{12.5,15,20,30,45,60,75,105,115,150,200,225,250,600},{12.5,15,20,30,45,60,75,105,115,150,200,225,250,600}))*(LOOKUP(M1528,{12.5,15,20,30,45,60,75,105,115,150,200,225,250,600,1000},{55,60,62,65,68,70,72,75,80,82,85,87,90,95,95})-LOOKUP(M1528,{12.5,15,20,30,45,60,75,105,115,150,200,225,250,600,1000},{50,55,60,62,65,68,70,72,75,80,82,85,87,90,95})))))</f>
        <v>#VALUE!</v>
      </c>
      <c r="P1528" s="2" t="e">
        <f t="shared" si="123"/>
        <v>#VALUE!</v>
      </c>
      <c r="Q1528" s="2" t="e">
        <f t="shared" si="124"/>
        <v>#VALUE!</v>
      </c>
    </row>
    <row r="1529" customHeight="1" spans="1:17">
      <c r="A1529" s="2">
        <v>2026</v>
      </c>
      <c r="M1529" s="2" t="e">
        <f t="shared" si="121"/>
        <v>#VALUE!</v>
      </c>
      <c r="N1529" s="2">
        <f t="shared" si="122"/>
        <v>0</v>
      </c>
      <c r="O1529" s="2" t="e">
        <f>IF(M1529="","",IF(M1529&gt;=1000,95,IF(M1529&lt;=12.5,50,LOOKUP(M1529,{12.5,15,20,30,45,60,75,105,115,150,200,225,250,600,1000},{50,55,60,62,65,68,70,72,75,80,82,85,87,90,95})+(M1529-LOOKUP(M1529,{12.5,15,20,30,45,60,75,105,115,150,200,225,250,600},{12.5,15,20,30,45,60,75,105,115,150,200,225,250,600}))/(LOOKUP(M1529,{12.5,15,20,30,45,60,75,105,115,150,200,225,250,600,1000},{15,20,30,45,60,75,105,115,150,200,225,250,600,1000,1000})-LOOKUP(M1529,{12.5,15,20,30,45,60,75,105,115,150,200,225,250,600},{12.5,15,20,30,45,60,75,105,115,150,200,225,250,600}))*(LOOKUP(M1529,{12.5,15,20,30,45,60,75,105,115,150,200,225,250,600,1000},{55,60,62,65,68,70,72,75,80,82,85,87,90,95,95})-LOOKUP(M1529,{12.5,15,20,30,45,60,75,105,115,150,200,225,250,600,1000},{50,55,60,62,65,68,70,72,75,80,82,85,87,90,95})))))</f>
        <v>#VALUE!</v>
      </c>
      <c r="P1529" s="2" t="e">
        <f t="shared" si="123"/>
        <v>#VALUE!</v>
      </c>
      <c r="Q1529" s="2" t="e">
        <f t="shared" si="124"/>
        <v>#VALUE!</v>
      </c>
    </row>
    <row r="1530" customHeight="1" spans="1:17">
      <c r="A1530" s="2">
        <v>2026</v>
      </c>
      <c r="M1530" s="2" t="e">
        <f t="shared" si="121"/>
        <v>#VALUE!</v>
      </c>
      <c r="N1530" s="2">
        <f t="shared" si="122"/>
        <v>0</v>
      </c>
      <c r="O1530" s="2" t="e">
        <f>IF(M1530="","",IF(M1530&gt;=1000,95,IF(M1530&lt;=12.5,50,LOOKUP(M1530,{12.5,15,20,30,45,60,75,105,115,150,200,225,250,600,1000},{50,55,60,62,65,68,70,72,75,80,82,85,87,90,95})+(M1530-LOOKUP(M1530,{12.5,15,20,30,45,60,75,105,115,150,200,225,250,600},{12.5,15,20,30,45,60,75,105,115,150,200,225,250,600}))/(LOOKUP(M1530,{12.5,15,20,30,45,60,75,105,115,150,200,225,250,600,1000},{15,20,30,45,60,75,105,115,150,200,225,250,600,1000,1000})-LOOKUP(M1530,{12.5,15,20,30,45,60,75,105,115,150,200,225,250,600},{12.5,15,20,30,45,60,75,105,115,150,200,225,250,600}))*(LOOKUP(M1530,{12.5,15,20,30,45,60,75,105,115,150,200,225,250,600,1000},{55,60,62,65,68,70,72,75,80,82,85,87,90,95,95})-LOOKUP(M1530,{12.5,15,20,30,45,60,75,105,115,150,200,225,250,600,1000},{50,55,60,62,65,68,70,72,75,80,82,85,87,90,95})))))</f>
        <v>#VALUE!</v>
      </c>
      <c r="P1530" s="2" t="e">
        <f t="shared" si="123"/>
        <v>#VALUE!</v>
      </c>
      <c r="Q1530" s="2" t="e">
        <f t="shared" si="124"/>
        <v>#VALUE!</v>
      </c>
    </row>
    <row r="1531" customHeight="1" spans="1:17">
      <c r="A1531" s="2">
        <v>2026</v>
      </c>
      <c r="M1531" s="2" t="e">
        <f t="shared" si="121"/>
        <v>#VALUE!</v>
      </c>
      <c r="N1531" s="2">
        <f t="shared" si="122"/>
        <v>0</v>
      </c>
      <c r="O1531" s="2" t="e">
        <f>IF(M1531="","",IF(M1531&gt;=1000,95,IF(M1531&lt;=12.5,50,LOOKUP(M1531,{12.5,15,20,30,45,60,75,105,115,150,200,225,250,600,1000},{50,55,60,62,65,68,70,72,75,80,82,85,87,90,95})+(M1531-LOOKUP(M1531,{12.5,15,20,30,45,60,75,105,115,150,200,225,250,600},{12.5,15,20,30,45,60,75,105,115,150,200,225,250,600}))/(LOOKUP(M1531,{12.5,15,20,30,45,60,75,105,115,150,200,225,250,600,1000},{15,20,30,45,60,75,105,115,150,200,225,250,600,1000,1000})-LOOKUP(M1531,{12.5,15,20,30,45,60,75,105,115,150,200,225,250,600},{12.5,15,20,30,45,60,75,105,115,150,200,225,250,600}))*(LOOKUP(M1531,{12.5,15,20,30,45,60,75,105,115,150,200,225,250,600,1000},{55,60,62,65,68,70,72,75,80,82,85,87,90,95,95})-LOOKUP(M1531,{12.5,15,20,30,45,60,75,105,115,150,200,225,250,600,1000},{50,55,60,62,65,68,70,72,75,80,82,85,87,90,95})))))</f>
        <v>#VALUE!</v>
      </c>
      <c r="P1531" s="2" t="e">
        <f t="shared" si="123"/>
        <v>#VALUE!</v>
      </c>
      <c r="Q1531" s="2" t="e">
        <f t="shared" si="124"/>
        <v>#VALUE!</v>
      </c>
    </row>
    <row r="1532" customHeight="1" spans="1:17">
      <c r="A1532" s="2">
        <v>2026</v>
      </c>
      <c r="M1532" s="2" t="e">
        <f t="shared" si="121"/>
        <v>#VALUE!</v>
      </c>
      <c r="N1532" s="2">
        <f t="shared" si="122"/>
        <v>0</v>
      </c>
      <c r="O1532" s="2" t="e">
        <f>IF(M1532="","",IF(M1532&gt;=1000,95,IF(M1532&lt;=12.5,50,LOOKUP(M1532,{12.5,15,20,30,45,60,75,105,115,150,200,225,250,600,1000},{50,55,60,62,65,68,70,72,75,80,82,85,87,90,95})+(M1532-LOOKUP(M1532,{12.5,15,20,30,45,60,75,105,115,150,200,225,250,600},{12.5,15,20,30,45,60,75,105,115,150,200,225,250,600}))/(LOOKUP(M1532,{12.5,15,20,30,45,60,75,105,115,150,200,225,250,600,1000},{15,20,30,45,60,75,105,115,150,200,225,250,600,1000,1000})-LOOKUP(M1532,{12.5,15,20,30,45,60,75,105,115,150,200,225,250,600},{12.5,15,20,30,45,60,75,105,115,150,200,225,250,600}))*(LOOKUP(M1532,{12.5,15,20,30,45,60,75,105,115,150,200,225,250,600,1000},{55,60,62,65,68,70,72,75,80,82,85,87,90,95,95})-LOOKUP(M1532,{12.5,15,20,30,45,60,75,105,115,150,200,225,250,600,1000},{50,55,60,62,65,68,70,72,75,80,82,85,87,90,95})))))</f>
        <v>#VALUE!</v>
      </c>
      <c r="P1532" s="2" t="e">
        <f t="shared" si="123"/>
        <v>#VALUE!</v>
      </c>
      <c r="Q1532" s="2" t="e">
        <f t="shared" si="124"/>
        <v>#VALUE!</v>
      </c>
    </row>
    <row r="1533" customHeight="1" spans="1:17">
      <c r="A1533" s="2">
        <v>2026</v>
      </c>
      <c r="M1533" s="2" t="e">
        <f t="shared" si="121"/>
        <v>#VALUE!</v>
      </c>
      <c r="N1533" s="2">
        <f t="shared" si="122"/>
        <v>0</v>
      </c>
      <c r="O1533" s="2" t="e">
        <f>IF(M1533="","",IF(M1533&gt;=1000,95,IF(M1533&lt;=12.5,50,LOOKUP(M1533,{12.5,15,20,30,45,60,75,105,115,150,200,225,250,600,1000},{50,55,60,62,65,68,70,72,75,80,82,85,87,90,95})+(M1533-LOOKUP(M1533,{12.5,15,20,30,45,60,75,105,115,150,200,225,250,600},{12.5,15,20,30,45,60,75,105,115,150,200,225,250,600}))/(LOOKUP(M1533,{12.5,15,20,30,45,60,75,105,115,150,200,225,250,600,1000},{15,20,30,45,60,75,105,115,150,200,225,250,600,1000,1000})-LOOKUP(M1533,{12.5,15,20,30,45,60,75,105,115,150,200,225,250,600},{12.5,15,20,30,45,60,75,105,115,150,200,225,250,600}))*(LOOKUP(M1533,{12.5,15,20,30,45,60,75,105,115,150,200,225,250,600,1000},{55,60,62,65,68,70,72,75,80,82,85,87,90,95,95})-LOOKUP(M1533,{12.5,15,20,30,45,60,75,105,115,150,200,225,250,600,1000},{50,55,60,62,65,68,70,72,75,80,82,85,87,90,95})))))</f>
        <v>#VALUE!</v>
      </c>
      <c r="P1533" s="2" t="e">
        <f t="shared" si="123"/>
        <v>#VALUE!</v>
      </c>
      <c r="Q1533" s="2" t="e">
        <f t="shared" si="124"/>
        <v>#VALUE!</v>
      </c>
    </row>
    <row r="1534" customHeight="1" spans="1:17">
      <c r="A1534" s="2">
        <v>2026</v>
      </c>
      <c r="M1534" s="2" t="e">
        <f t="shared" si="121"/>
        <v>#VALUE!</v>
      </c>
      <c r="N1534" s="2">
        <f t="shared" si="122"/>
        <v>0</v>
      </c>
      <c r="O1534" s="2" t="e">
        <f>IF(M1534="","",IF(M1534&gt;=1000,95,IF(M1534&lt;=12.5,50,LOOKUP(M1534,{12.5,15,20,30,45,60,75,105,115,150,200,225,250,600,1000},{50,55,60,62,65,68,70,72,75,80,82,85,87,90,95})+(M1534-LOOKUP(M1534,{12.5,15,20,30,45,60,75,105,115,150,200,225,250,600},{12.5,15,20,30,45,60,75,105,115,150,200,225,250,600}))/(LOOKUP(M1534,{12.5,15,20,30,45,60,75,105,115,150,200,225,250,600,1000},{15,20,30,45,60,75,105,115,150,200,225,250,600,1000,1000})-LOOKUP(M1534,{12.5,15,20,30,45,60,75,105,115,150,200,225,250,600},{12.5,15,20,30,45,60,75,105,115,150,200,225,250,600}))*(LOOKUP(M1534,{12.5,15,20,30,45,60,75,105,115,150,200,225,250,600,1000},{55,60,62,65,68,70,72,75,80,82,85,87,90,95,95})-LOOKUP(M1534,{12.5,15,20,30,45,60,75,105,115,150,200,225,250,600,1000},{50,55,60,62,65,68,70,72,75,80,82,85,87,90,95})))))</f>
        <v>#VALUE!</v>
      </c>
      <c r="P1534" s="2" t="e">
        <f t="shared" si="123"/>
        <v>#VALUE!</v>
      </c>
      <c r="Q1534" s="2" t="e">
        <f t="shared" si="124"/>
        <v>#VALUE!</v>
      </c>
    </row>
    <row r="1535" customHeight="1" spans="1:17">
      <c r="A1535" s="2">
        <v>2026</v>
      </c>
      <c r="M1535" s="2" t="e">
        <f t="shared" si="121"/>
        <v>#VALUE!</v>
      </c>
      <c r="N1535" s="2">
        <f t="shared" si="122"/>
        <v>0</v>
      </c>
      <c r="O1535" s="2" t="e">
        <f>IF(M1535="","",IF(M1535&gt;=1000,95,IF(M1535&lt;=12.5,50,LOOKUP(M1535,{12.5,15,20,30,45,60,75,105,115,150,200,225,250,600,1000},{50,55,60,62,65,68,70,72,75,80,82,85,87,90,95})+(M1535-LOOKUP(M1535,{12.5,15,20,30,45,60,75,105,115,150,200,225,250,600},{12.5,15,20,30,45,60,75,105,115,150,200,225,250,600}))/(LOOKUP(M1535,{12.5,15,20,30,45,60,75,105,115,150,200,225,250,600,1000},{15,20,30,45,60,75,105,115,150,200,225,250,600,1000,1000})-LOOKUP(M1535,{12.5,15,20,30,45,60,75,105,115,150,200,225,250,600},{12.5,15,20,30,45,60,75,105,115,150,200,225,250,600}))*(LOOKUP(M1535,{12.5,15,20,30,45,60,75,105,115,150,200,225,250,600,1000},{55,60,62,65,68,70,72,75,80,82,85,87,90,95,95})-LOOKUP(M1535,{12.5,15,20,30,45,60,75,105,115,150,200,225,250,600,1000},{50,55,60,62,65,68,70,72,75,80,82,85,87,90,95})))))</f>
        <v>#VALUE!</v>
      </c>
      <c r="P1535" s="2" t="e">
        <f t="shared" si="123"/>
        <v>#VALUE!</v>
      </c>
      <c r="Q1535" s="2" t="e">
        <f t="shared" si="124"/>
        <v>#VALUE!</v>
      </c>
    </row>
    <row r="1536" customHeight="1" spans="1:17">
      <c r="A1536" s="2">
        <v>2026</v>
      </c>
      <c r="M1536" s="2" t="e">
        <f t="shared" si="121"/>
        <v>#VALUE!</v>
      </c>
      <c r="N1536" s="2">
        <f t="shared" si="122"/>
        <v>0</v>
      </c>
      <c r="O1536" s="2" t="e">
        <f>IF(M1536="","",IF(M1536&gt;=1000,95,IF(M1536&lt;=12.5,50,LOOKUP(M1536,{12.5,15,20,30,45,60,75,105,115,150,200,225,250,600,1000},{50,55,60,62,65,68,70,72,75,80,82,85,87,90,95})+(M1536-LOOKUP(M1536,{12.5,15,20,30,45,60,75,105,115,150,200,225,250,600},{12.5,15,20,30,45,60,75,105,115,150,200,225,250,600}))/(LOOKUP(M1536,{12.5,15,20,30,45,60,75,105,115,150,200,225,250,600,1000},{15,20,30,45,60,75,105,115,150,200,225,250,600,1000,1000})-LOOKUP(M1536,{12.5,15,20,30,45,60,75,105,115,150,200,225,250,600},{12.5,15,20,30,45,60,75,105,115,150,200,225,250,600}))*(LOOKUP(M1536,{12.5,15,20,30,45,60,75,105,115,150,200,225,250,600,1000},{55,60,62,65,68,70,72,75,80,82,85,87,90,95,95})-LOOKUP(M1536,{12.5,15,20,30,45,60,75,105,115,150,200,225,250,600,1000},{50,55,60,62,65,68,70,72,75,80,82,85,87,90,95})))))</f>
        <v>#VALUE!</v>
      </c>
      <c r="P1536" s="2" t="e">
        <f t="shared" si="123"/>
        <v>#VALUE!</v>
      </c>
      <c r="Q1536" s="2" t="e">
        <f t="shared" si="124"/>
        <v>#VALUE!</v>
      </c>
    </row>
    <row r="1537" customHeight="1" spans="1:17">
      <c r="A1537" s="2">
        <v>2026</v>
      </c>
      <c r="M1537" s="2" t="e">
        <f t="shared" si="121"/>
        <v>#VALUE!</v>
      </c>
      <c r="N1537" s="2">
        <f t="shared" si="122"/>
        <v>0</v>
      </c>
      <c r="O1537" s="2" t="e">
        <f>IF(M1537="","",IF(M1537&gt;=1000,95,IF(M1537&lt;=12.5,50,LOOKUP(M1537,{12.5,15,20,30,45,60,75,105,115,150,200,225,250,600,1000},{50,55,60,62,65,68,70,72,75,80,82,85,87,90,95})+(M1537-LOOKUP(M1537,{12.5,15,20,30,45,60,75,105,115,150,200,225,250,600},{12.5,15,20,30,45,60,75,105,115,150,200,225,250,600}))/(LOOKUP(M1537,{12.5,15,20,30,45,60,75,105,115,150,200,225,250,600,1000},{15,20,30,45,60,75,105,115,150,200,225,250,600,1000,1000})-LOOKUP(M1537,{12.5,15,20,30,45,60,75,105,115,150,200,225,250,600},{12.5,15,20,30,45,60,75,105,115,150,200,225,250,600}))*(LOOKUP(M1537,{12.5,15,20,30,45,60,75,105,115,150,200,225,250,600,1000},{55,60,62,65,68,70,72,75,80,82,85,87,90,95,95})-LOOKUP(M1537,{12.5,15,20,30,45,60,75,105,115,150,200,225,250,600,1000},{50,55,60,62,65,68,70,72,75,80,82,85,87,90,95})))))</f>
        <v>#VALUE!</v>
      </c>
      <c r="P1537" s="2" t="e">
        <f t="shared" si="123"/>
        <v>#VALUE!</v>
      </c>
      <c r="Q1537" s="2" t="e">
        <f t="shared" si="124"/>
        <v>#VALUE!</v>
      </c>
    </row>
    <row r="1538" customHeight="1" spans="1:17">
      <c r="A1538" s="2">
        <v>2026</v>
      </c>
      <c r="M1538" s="2" t="e">
        <f t="shared" si="121"/>
        <v>#VALUE!</v>
      </c>
      <c r="N1538" s="2">
        <f t="shared" si="122"/>
        <v>0</v>
      </c>
      <c r="O1538" s="2" t="e">
        <f>IF(M1538="","",IF(M1538&gt;=1000,95,IF(M1538&lt;=12.5,50,LOOKUP(M1538,{12.5,15,20,30,45,60,75,105,115,150,200,225,250,600,1000},{50,55,60,62,65,68,70,72,75,80,82,85,87,90,95})+(M1538-LOOKUP(M1538,{12.5,15,20,30,45,60,75,105,115,150,200,225,250,600},{12.5,15,20,30,45,60,75,105,115,150,200,225,250,600}))/(LOOKUP(M1538,{12.5,15,20,30,45,60,75,105,115,150,200,225,250,600,1000},{15,20,30,45,60,75,105,115,150,200,225,250,600,1000,1000})-LOOKUP(M1538,{12.5,15,20,30,45,60,75,105,115,150,200,225,250,600},{12.5,15,20,30,45,60,75,105,115,150,200,225,250,600}))*(LOOKUP(M1538,{12.5,15,20,30,45,60,75,105,115,150,200,225,250,600,1000},{55,60,62,65,68,70,72,75,80,82,85,87,90,95,95})-LOOKUP(M1538,{12.5,15,20,30,45,60,75,105,115,150,200,225,250,600,1000},{50,55,60,62,65,68,70,72,75,80,82,85,87,90,95})))))</f>
        <v>#VALUE!</v>
      </c>
      <c r="P1538" s="2" t="e">
        <f t="shared" si="123"/>
        <v>#VALUE!</v>
      </c>
      <c r="Q1538" s="2" t="e">
        <f t="shared" si="124"/>
        <v>#VALUE!</v>
      </c>
    </row>
    <row r="1539" customHeight="1" spans="1:17">
      <c r="A1539" s="2">
        <v>2026</v>
      </c>
      <c r="M1539" s="2" t="e">
        <f t="shared" si="121"/>
        <v>#VALUE!</v>
      </c>
      <c r="N1539" s="2">
        <f t="shared" si="122"/>
        <v>0</v>
      </c>
      <c r="O1539" s="2" t="e">
        <f>IF(M1539="","",IF(M1539&gt;=1000,95,IF(M1539&lt;=12.5,50,LOOKUP(M1539,{12.5,15,20,30,45,60,75,105,115,150,200,225,250,600,1000},{50,55,60,62,65,68,70,72,75,80,82,85,87,90,95})+(M1539-LOOKUP(M1539,{12.5,15,20,30,45,60,75,105,115,150,200,225,250,600},{12.5,15,20,30,45,60,75,105,115,150,200,225,250,600}))/(LOOKUP(M1539,{12.5,15,20,30,45,60,75,105,115,150,200,225,250,600,1000},{15,20,30,45,60,75,105,115,150,200,225,250,600,1000,1000})-LOOKUP(M1539,{12.5,15,20,30,45,60,75,105,115,150,200,225,250,600},{12.5,15,20,30,45,60,75,105,115,150,200,225,250,600}))*(LOOKUP(M1539,{12.5,15,20,30,45,60,75,105,115,150,200,225,250,600,1000},{55,60,62,65,68,70,72,75,80,82,85,87,90,95,95})-LOOKUP(M1539,{12.5,15,20,30,45,60,75,105,115,150,200,225,250,600,1000},{50,55,60,62,65,68,70,72,75,80,82,85,87,90,95})))))</f>
        <v>#VALUE!</v>
      </c>
      <c r="P1539" s="2" t="e">
        <f t="shared" si="123"/>
        <v>#VALUE!</v>
      </c>
      <c r="Q1539" s="2" t="e">
        <f t="shared" si="124"/>
        <v>#VALUE!</v>
      </c>
    </row>
    <row r="1540" customHeight="1" spans="1:17">
      <c r="A1540" s="2">
        <v>2026</v>
      </c>
      <c r="M1540" s="2" t="e">
        <f t="shared" si="121"/>
        <v>#VALUE!</v>
      </c>
      <c r="N1540" s="2">
        <f t="shared" si="122"/>
        <v>0</v>
      </c>
      <c r="O1540" s="2" t="e">
        <f>IF(M1540="","",IF(M1540&gt;=1000,95,IF(M1540&lt;=12.5,50,LOOKUP(M1540,{12.5,15,20,30,45,60,75,105,115,150,200,225,250,600,1000},{50,55,60,62,65,68,70,72,75,80,82,85,87,90,95})+(M1540-LOOKUP(M1540,{12.5,15,20,30,45,60,75,105,115,150,200,225,250,600},{12.5,15,20,30,45,60,75,105,115,150,200,225,250,600}))/(LOOKUP(M1540,{12.5,15,20,30,45,60,75,105,115,150,200,225,250,600,1000},{15,20,30,45,60,75,105,115,150,200,225,250,600,1000,1000})-LOOKUP(M1540,{12.5,15,20,30,45,60,75,105,115,150,200,225,250,600},{12.5,15,20,30,45,60,75,105,115,150,200,225,250,600}))*(LOOKUP(M1540,{12.5,15,20,30,45,60,75,105,115,150,200,225,250,600,1000},{55,60,62,65,68,70,72,75,80,82,85,87,90,95,95})-LOOKUP(M1540,{12.5,15,20,30,45,60,75,105,115,150,200,225,250,600,1000},{50,55,60,62,65,68,70,72,75,80,82,85,87,90,95})))))</f>
        <v>#VALUE!</v>
      </c>
      <c r="P1540" s="2" t="e">
        <f t="shared" si="123"/>
        <v>#VALUE!</v>
      </c>
      <c r="Q1540" s="2" t="e">
        <f t="shared" si="124"/>
        <v>#VALUE!</v>
      </c>
    </row>
    <row r="1541" customHeight="1" spans="1:17">
      <c r="A1541" s="2">
        <v>2026</v>
      </c>
      <c r="M1541" s="2" t="e">
        <f t="shared" si="121"/>
        <v>#VALUE!</v>
      </c>
      <c r="N1541" s="2">
        <f t="shared" si="122"/>
        <v>0</v>
      </c>
      <c r="O1541" s="2" t="e">
        <f>IF(M1541="","",IF(M1541&gt;=1000,95,IF(M1541&lt;=12.5,50,LOOKUP(M1541,{12.5,15,20,30,45,60,75,105,115,150,200,225,250,600,1000},{50,55,60,62,65,68,70,72,75,80,82,85,87,90,95})+(M1541-LOOKUP(M1541,{12.5,15,20,30,45,60,75,105,115,150,200,225,250,600},{12.5,15,20,30,45,60,75,105,115,150,200,225,250,600}))/(LOOKUP(M1541,{12.5,15,20,30,45,60,75,105,115,150,200,225,250,600,1000},{15,20,30,45,60,75,105,115,150,200,225,250,600,1000,1000})-LOOKUP(M1541,{12.5,15,20,30,45,60,75,105,115,150,200,225,250,600},{12.5,15,20,30,45,60,75,105,115,150,200,225,250,600}))*(LOOKUP(M1541,{12.5,15,20,30,45,60,75,105,115,150,200,225,250,600,1000},{55,60,62,65,68,70,72,75,80,82,85,87,90,95,95})-LOOKUP(M1541,{12.5,15,20,30,45,60,75,105,115,150,200,225,250,600,1000},{50,55,60,62,65,68,70,72,75,80,82,85,87,90,95})))))</f>
        <v>#VALUE!</v>
      </c>
      <c r="P1541" s="2" t="e">
        <f t="shared" si="123"/>
        <v>#VALUE!</v>
      </c>
      <c r="Q1541" s="2" t="e">
        <f t="shared" si="124"/>
        <v>#VALUE!</v>
      </c>
    </row>
    <row r="1542" customHeight="1" spans="1:17">
      <c r="A1542" s="2">
        <v>2026</v>
      </c>
      <c r="M1542" s="2" t="e">
        <f t="shared" si="121"/>
        <v>#VALUE!</v>
      </c>
      <c r="N1542" s="2">
        <f t="shared" si="122"/>
        <v>0</v>
      </c>
      <c r="O1542" s="2" t="e">
        <f>IF(M1542="","",IF(M1542&gt;=1000,95,IF(M1542&lt;=12.5,50,LOOKUP(M1542,{12.5,15,20,30,45,60,75,105,115,150,200,225,250,600,1000},{50,55,60,62,65,68,70,72,75,80,82,85,87,90,95})+(M1542-LOOKUP(M1542,{12.5,15,20,30,45,60,75,105,115,150,200,225,250,600},{12.5,15,20,30,45,60,75,105,115,150,200,225,250,600}))/(LOOKUP(M1542,{12.5,15,20,30,45,60,75,105,115,150,200,225,250,600,1000},{15,20,30,45,60,75,105,115,150,200,225,250,600,1000,1000})-LOOKUP(M1542,{12.5,15,20,30,45,60,75,105,115,150,200,225,250,600},{12.5,15,20,30,45,60,75,105,115,150,200,225,250,600}))*(LOOKUP(M1542,{12.5,15,20,30,45,60,75,105,115,150,200,225,250,600,1000},{55,60,62,65,68,70,72,75,80,82,85,87,90,95,95})-LOOKUP(M1542,{12.5,15,20,30,45,60,75,105,115,150,200,225,250,600,1000},{50,55,60,62,65,68,70,72,75,80,82,85,87,90,95})))))</f>
        <v>#VALUE!</v>
      </c>
      <c r="P1542" s="2" t="e">
        <f t="shared" si="123"/>
        <v>#VALUE!</v>
      </c>
      <c r="Q1542" s="2" t="e">
        <f t="shared" si="124"/>
        <v>#VALUE!</v>
      </c>
    </row>
    <row r="1543" customHeight="1" spans="1:17">
      <c r="A1543" s="2">
        <v>2026</v>
      </c>
      <c r="M1543" s="2" t="e">
        <f t="shared" si="121"/>
        <v>#VALUE!</v>
      </c>
      <c r="N1543" s="2">
        <f t="shared" si="122"/>
        <v>0</v>
      </c>
      <c r="O1543" s="2" t="e">
        <f>IF(M1543="","",IF(M1543&gt;=1000,95,IF(M1543&lt;=12.5,50,LOOKUP(M1543,{12.5,15,20,30,45,60,75,105,115,150,200,225,250,600,1000},{50,55,60,62,65,68,70,72,75,80,82,85,87,90,95})+(M1543-LOOKUP(M1543,{12.5,15,20,30,45,60,75,105,115,150,200,225,250,600},{12.5,15,20,30,45,60,75,105,115,150,200,225,250,600}))/(LOOKUP(M1543,{12.5,15,20,30,45,60,75,105,115,150,200,225,250,600,1000},{15,20,30,45,60,75,105,115,150,200,225,250,600,1000,1000})-LOOKUP(M1543,{12.5,15,20,30,45,60,75,105,115,150,200,225,250,600},{12.5,15,20,30,45,60,75,105,115,150,200,225,250,600}))*(LOOKUP(M1543,{12.5,15,20,30,45,60,75,105,115,150,200,225,250,600,1000},{55,60,62,65,68,70,72,75,80,82,85,87,90,95,95})-LOOKUP(M1543,{12.5,15,20,30,45,60,75,105,115,150,200,225,250,600,1000},{50,55,60,62,65,68,70,72,75,80,82,85,87,90,95})))))</f>
        <v>#VALUE!</v>
      </c>
      <c r="P1543" s="2" t="e">
        <f t="shared" si="123"/>
        <v>#VALUE!</v>
      </c>
      <c r="Q1543" s="2" t="e">
        <f t="shared" si="124"/>
        <v>#VALUE!</v>
      </c>
    </row>
    <row r="1544" customHeight="1" spans="1:17">
      <c r="A1544" s="2">
        <v>2026</v>
      </c>
    </row>
  </sheetData>
  <sortState ref="A1:Q1544">
    <sortCondition ref="C1:C1544" descending="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圣光炸弹</cp:lastModifiedBy>
  <dcterms:created xsi:type="dcterms:W3CDTF">2015-06-05T18:19:00Z</dcterms:created>
  <dcterms:modified xsi:type="dcterms:W3CDTF">2026-10-10T09:41:49Z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0D1D5B9B51BF4B7B8A75057B717B2DB5_12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