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3CCBF2A3-B0E3-42E4-BA6B-0C05251331F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4" i="1"/>
  <c r="O14" i="1" s="1"/>
  <c r="P14" i="1" s="1"/>
  <c r="M4" i="1"/>
  <c r="O4" i="1" s="1"/>
  <c r="P4" i="1" s="1"/>
  <c r="M7" i="1"/>
  <c r="O7" i="1" s="1"/>
  <c r="P7" i="1" s="1"/>
  <c r="M22" i="1"/>
  <c r="O22" i="1" s="1"/>
  <c r="P22" i="1" s="1"/>
  <c r="M15" i="1"/>
  <c r="O15" i="1" s="1"/>
  <c r="P15" i="1" s="1"/>
  <c r="M23" i="1"/>
  <c r="O23" i="1" s="1"/>
  <c r="P23" i="1" s="1"/>
  <c r="M32" i="1"/>
  <c r="O32" i="1" s="1"/>
  <c r="P32" i="1" s="1"/>
  <c r="M30" i="1"/>
  <c r="O30" i="1" s="1"/>
  <c r="P30" i="1" s="1"/>
  <c r="M29" i="1"/>
  <c r="O29" i="1" s="1"/>
  <c r="P29" i="1" s="1"/>
  <c r="M26" i="1"/>
  <c r="O26" i="1" s="1"/>
  <c r="P26" i="1" s="1"/>
  <c r="M49" i="1"/>
  <c r="O49" i="1" s="1"/>
  <c r="P49" i="1" s="1"/>
  <c r="M34" i="1"/>
  <c r="O34" i="1" s="1"/>
  <c r="P34" i="1" s="1"/>
  <c r="M48" i="1"/>
  <c r="O48" i="1" s="1"/>
  <c r="P48" i="1" s="1"/>
  <c r="M10" i="1"/>
  <c r="O10" i="1" s="1"/>
  <c r="P10" i="1" s="1"/>
  <c r="M18" i="1"/>
  <c r="O18" i="1" s="1"/>
  <c r="P18" i="1" s="1"/>
  <c r="M13" i="1"/>
  <c r="O13" i="1" s="1"/>
  <c r="P13" i="1" s="1"/>
  <c r="M42" i="1"/>
  <c r="O42" i="1" s="1"/>
  <c r="P42" i="1" s="1"/>
  <c r="M47" i="1"/>
  <c r="O47" i="1" s="1"/>
  <c r="P47" i="1" s="1"/>
  <c r="M20" i="1"/>
  <c r="O20" i="1" s="1"/>
  <c r="P20" i="1" s="1"/>
  <c r="M12" i="1"/>
  <c r="O12" i="1" s="1"/>
  <c r="P12" i="1" s="1"/>
  <c r="M56" i="1"/>
  <c r="O56" i="1" s="1"/>
  <c r="P56" i="1" s="1"/>
  <c r="M33" i="1"/>
  <c r="O33" i="1" s="1"/>
  <c r="P33" i="1" s="1"/>
  <c r="M77" i="1"/>
  <c r="O77" i="1" s="1"/>
  <c r="P77" i="1" s="1"/>
  <c r="M16" i="1"/>
  <c r="O16" i="1" s="1"/>
  <c r="P16" i="1" s="1"/>
  <c r="M39" i="1"/>
  <c r="O39" i="1" s="1"/>
  <c r="P39" i="1" s="1"/>
  <c r="M19" i="1"/>
  <c r="O19" i="1" s="1"/>
  <c r="P19" i="1" s="1"/>
  <c r="M40" i="1"/>
  <c r="O40" i="1" s="1"/>
  <c r="P40" i="1" s="1"/>
  <c r="M111" i="1"/>
  <c r="O111" i="1" s="1"/>
  <c r="P111" i="1" s="1"/>
  <c r="M122" i="1"/>
  <c r="O122" i="1" s="1"/>
  <c r="P122" i="1" s="1"/>
  <c r="M46" i="1"/>
  <c r="O46" i="1" s="1"/>
  <c r="P46" i="1" s="1"/>
  <c r="M21" i="1"/>
  <c r="O21" i="1" s="1"/>
  <c r="P21" i="1" s="1"/>
  <c r="M153" i="1"/>
  <c r="O153" i="1" s="1"/>
  <c r="P153" i="1" s="1"/>
  <c r="M27" i="1"/>
  <c r="O27" i="1" s="1"/>
  <c r="P27" i="1" s="1"/>
  <c r="M44" i="1"/>
  <c r="O44" i="1" s="1"/>
  <c r="P44" i="1" s="1"/>
  <c r="M139" i="1"/>
  <c r="O139" i="1" s="1"/>
  <c r="P139" i="1" s="1"/>
  <c r="M60" i="1"/>
  <c r="O60" i="1" s="1"/>
  <c r="P60" i="1" s="1"/>
  <c r="M146" i="1"/>
  <c r="O146" i="1" s="1"/>
  <c r="P146" i="1" s="1"/>
  <c r="M38" i="1"/>
  <c r="O38" i="1" s="1"/>
  <c r="P38" i="1" s="1"/>
  <c r="M50" i="1"/>
  <c r="O50" i="1" s="1"/>
  <c r="P50" i="1" s="1"/>
  <c r="M84" i="1"/>
  <c r="O84" i="1" s="1"/>
  <c r="P84" i="1" s="1"/>
  <c r="M36" i="1"/>
  <c r="O36" i="1" s="1"/>
  <c r="P36" i="1" s="1"/>
  <c r="M41" i="1"/>
  <c r="O41" i="1" s="1"/>
  <c r="P41" i="1" s="1"/>
  <c r="M62" i="1"/>
  <c r="O62" i="1" s="1"/>
  <c r="P62" i="1" s="1"/>
  <c r="M64" i="1"/>
  <c r="O64" i="1" s="1"/>
  <c r="P64" i="1" s="1"/>
  <c r="M51" i="1"/>
  <c r="O51" i="1" s="1"/>
  <c r="P51" i="1" s="1"/>
  <c r="M163" i="1"/>
  <c r="O163" i="1" s="1"/>
  <c r="P163" i="1" s="1"/>
  <c r="M61" i="1"/>
  <c r="O61" i="1" s="1"/>
  <c r="P61" i="1" s="1"/>
  <c r="M226" i="1"/>
  <c r="O226" i="1" s="1"/>
  <c r="P226" i="1" s="1"/>
  <c r="M68" i="1"/>
  <c r="O68" i="1" s="1"/>
  <c r="P68" i="1" s="1"/>
  <c r="M90" i="1"/>
  <c r="O90" i="1" s="1"/>
  <c r="P90" i="1" s="1"/>
  <c r="M43" i="1"/>
  <c r="O43" i="1" s="1"/>
  <c r="P43" i="1" s="1"/>
  <c r="M121" i="1"/>
  <c r="O121" i="1" s="1"/>
  <c r="P121" i="1" s="1"/>
  <c r="M97" i="1"/>
  <c r="O97" i="1" s="1"/>
  <c r="P97" i="1" s="1"/>
  <c r="M66" i="1"/>
  <c r="O66" i="1" s="1"/>
  <c r="P66" i="1" s="1"/>
  <c r="M205" i="1"/>
  <c r="O205" i="1" s="1"/>
  <c r="P205" i="1" s="1"/>
  <c r="M116" i="1"/>
  <c r="O116" i="1" s="1"/>
  <c r="P116" i="1" s="1"/>
  <c r="M96" i="1"/>
  <c r="O96" i="1" s="1"/>
  <c r="P96" i="1" s="1"/>
  <c r="M57" i="1"/>
  <c r="O57" i="1" s="1"/>
  <c r="P57" i="1" s="1"/>
  <c r="M70" i="1"/>
  <c r="O70" i="1" s="1"/>
  <c r="P70" i="1" s="1"/>
  <c r="M54" i="1"/>
  <c r="O54" i="1" s="1"/>
  <c r="P54" i="1" s="1"/>
  <c r="M131" i="1"/>
  <c r="O131" i="1" s="1"/>
  <c r="P131" i="1" s="1"/>
  <c r="M59" i="1"/>
  <c r="O59" i="1" s="1"/>
  <c r="P59" i="1" s="1"/>
  <c r="M130" i="1"/>
  <c r="O130" i="1" s="1"/>
  <c r="P130" i="1" s="1"/>
  <c r="M53" i="1"/>
  <c r="O53" i="1" s="1"/>
  <c r="P53" i="1" s="1"/>
  <c r="M127" i="1"/>
  <c r="O127" i="1" s="1"/>
  <c r="P127" i="1" s="1"/>
  <c r="M72" i="1"/>
  <c r="O72" i="1" s="1"/>
  <c r="P72" i="1" s="1"/>
  <c r="M220" i="1"/>
  <c r="O220" i="1" s="1"/>
  <c r="P220" i="1" s="1"/>
  <c r="M101" i="1"/>
  <c r="O101" i="1" s="1"/>
  <c r="P101" i="1" s="1"/>
  <c r="M192" i="1"/>
  <c r="O192" i="1" s="1"/>
  <c r="P192" i="1" s="1"/>
  <c r="M55" i="1"/>
  <c r="O55" i="1" s="1"/>
  <c r="P55" i="1" s="1"/>
  <c r="M117" i="1"/>
  <c r="O117" i="1" s="1"/>
  <c r="P117" i="1" s="1"/>
  <c r="M81" i="1"/>
  <c r="O81" i="1" s="1"/>
  <c r="P81" i="1" s="1"/>
  <c r="M69" i="1"/>
  <c r="O69" i="1" s="1"/>
  <c r="P69" i="1" s="1"/>
  <c r="M71" i="1"/>
  <c r="O71" i="1" s="1"/>
  <c r="P71" i="1" s="1"/>
  <c r="M140" i="1"/>
  <c r="O140" i="1" s="1"/>
  <c r="P140" i="1" s="1"/>
  <c r="M76" i="1"/>
  <c r="O76" i="1" s="1"/>
  <c r="P76" i="1" s="1"/>
  <c r="M157" i="1"/>
  <c r="O157" i="1" s="1"/>
  <c r="P157" i="1" s="1"/>
  <c r="M85" i="1"/>
  <c r="O85" i="1" s="1"/>
  <c r="P85" i="1" s="1"/>
  <c r="M110" i="1"/>
  <c r="O110" i="1" s="1"/>
  <c r="P110" i="1" s="1"/>
  <c r="M82" i="1"/>
  <c r="O82" i="1" s="1"/>
  <c r="P82" i="1" s="1"/>
  <c r="M218" i="1"/>
  <c r="O218" i="1" s="1"/>
  <c r="P218" i="1" s="1"/>
  <c r="M99" i="1"/>
  <c r="O99" i="1" s="1"/>
  <c r="P99" i="1" s="1"/>
  <c r="M120" i="1"/>
  <c r="O120" i="1" s="1"/>
  <c r="P120" i="1" s="1"/>
  <c r="M149" i="1"/>
  <c r="O149" i="1" s="1"/>
  <c r="P149" i="1" s="1"/>
  <c r="M234" i="1"/>
  <c r="O234" i="1" s="1"/>
  <c r="P234" i="1" s="1"/>
  <c r="M239" i="1"/>
  <c r="O239" i="1" s="1"/>
  <c r="P239" i="1" s="1"/>
  <c r="M102" i="1"/>
  <c r="O102" i="1" s="1"/>
  <c r="P102" i="1" s="1"/>
  <c r="M289" i="1"/>
  <c r="O289" i="1" s="1"/>
  <c r="P289" i="1" s="1"/>
  <c r="M105" i="1"/>
  <c r="O105" i="1" s="1"/>
  <c r="P105" i="1" s="1"/>
  <c r="M87" i="1"/>
  <c r="O87" i="1" s="1"/>
  <c r="P87" i="1" s="1"/>
  <c r="M173" i="1"/>
  <c r="O173" i="1" s="1"/>
  <c r="P173" i="1" s="1"/>
  <c r="M197" i="1"/>
  <c r="O197" i="1" s="1"/>
  <c r="P197" i="1" s="1"/>
  <c r="M79" i="1"/>
  <c r="O79" i="1" s="1"/>
  <c r="P79" i="1" s="1"/>
  <c r="M175" i="1"/>
  <c r="O175" i="1" s="1"/>
  <c r="P175" i="1" s="1"/>
  <c r="M80" i="1"/>
  <c r="O80" i="1" s="1"/>
  <c r="P80" i="1" s="1"/>
  <c r="M300" i="1"/>
  <c r="O300" i="1" s="1"/>
  <c r="P300" i="1" s="1"/>
  <c r="M67" i="1"/>
  <c r="O67" i="1" s="1"/>
  <c r="P67" i="1" s="1"/>
  <c r="M89" i="1"/>
  <c r="O89" i="1" s="1"/>
  <c r="P89" i="1" s="1"/>
  <c r="M88" i="1"/>
  <c r="O88" i="1" s="1"/>
  <c r="P88" i="1" s="1"/>
  <c r="M178" i="1"/>
  <c r="O178" i="1" s="1"/>
  <c r="P178" i="1" s="1"/>
  <c r="M158" i="1"/>
  <c r="O158" i="1" s="1"/>
  <c r="P158" i="1" s="1"/>
  <c r="M128" i="1"/>
  <c r="M147" i="1"/>
  <c r="M259" i="1"/>
  <c r="O259" i="1" s="1"/>
  <c r="P259" i="1" s="1"/>
  <c r="M112" i="1"/>
  <c r="O112" i="1" s="1"/>
  <c r="P112" i="1" s="1"/>
  <c r="M138" i="1"/>
  <c r="O138" i="1" s="1"/>
  <c r="P138" i="1" s="1"/>
  <c r="M136" i="1"/>
  <c r="O136" i="1" s="1"/>
  <c r="P136" i="1" s="1"/>
  <c r="M150" i="1"/>
  <c r="O150" i="1" s="1"/>
  <c r="P150" i="1" s="1"/>
  <c r="M165" i="1"/>
  <c r="O165" i="1" s="1"/>
  <c r="P165" i="1" s="1"/>
  <c r="M156" i="1"/>
  <c r="O156" i="1" s="1"/>
  <c r="P156" i="1" s="1"/>
  <c r="M191" i="1"/>
  <c r="O191" i="1" s="1"/>
  <c r="P191" i="1" s="1"/>
  <c r="M94" i="1"/>
  <c r="O94" i="1" s="1"/>
  <c r="P94" i="1" s="1"/>
  <c r="M109" i="1"/>
  <c r="O109" i="1" s="1"/>
  <c r="P109" i="1" s="1"/>
  <c r="M104" i="1"/>
  <c r="O104" i="1" s="1"/>
  <c r="P104" i="1" s="1"/>
  <c r="M232" i="1"/>
  <c r="O232" i="1" s="1"/>
  <c r="P232" i="1" s="1"/>
  <c r="M233" i="1"/>
  <c r="O233" i="1" s="1"/>
  <c r="P233" i="1" s="1"/>
  <c r="M169" i="1"/>
  <c r="O169" i="1" s="1"/>
  <c r="P169" i="1" s="1"/>
  <c r="M168" i="1"/>
  <c r="O168" i="1" s="1"/>
  <c r="P168" i="1" s="1"/>
  <c r="M113" i="1"/>
  <c r="O113" i="1" s="1"/>
  <c r="P113" i="1" s="1"/>
  <c r="M119" i="1"/>
  <c r="O119" i="1" s="1"/>
  <c r="P119" i="1" s="1"/>
  <c r="M159" i="1"/>
  <c r="O159" i="1" s="1"/>
  <c r="P159" i="1" s="1"/>
  <c r="M231" i="1"/>
  <c r="O231" i="1" s="1"/>
  <c r="P231" i="1" s="1"/>
  <c r="M103" i="1"/>
  <c r="O103" i="1" s="1"/>
  <c r="P103" i="1" s="1"/>
  <c r="M416" i="1"/>
  <c r="O416" i="1" s="1"/>
  <c r="P416" i="1" s="1"/>
  <c r="M107" i="1"/>
  <c r="O107" i="1" s="1"/>
  <c r="P107" i="1" s="1"/>
  <c r="M170" i="1"/>
  <c r="O170" i="1" s="1"/>
  <c r="P170" i="1" s="1"/>
  <c r="M238" i="1"/>
  <c r="O238" i="1" s="1"/>
  <c r="P238" i="1" s="1"/>
  <c r="M134" i="1"/>
  <c r="O134" i="1" s="1"/>
  <c r="P134" i="1" s="1"/>
  <c r="M278" i="1"/>
  <c r="O278" i="1" s="1"/>
  <c r="P278" i="1" s="1"/>
  <c r="M114" i="1"/>
  <c r="O114" i="1" s="1"/>
  <c r="P114" i="1" s="1"/>
  <c r="M144" i="1"/>
  <c r="O144" i="1" s="1"/>
  <c r="P144" i="1" s="1"/>
  <c r="M106" i="1"/>
  <c r="O106" i="1" s="1"/>
  <c r="P106" i="1" s="1"/>
  <c r="M204" i="1"/>
  <c r="O204" i="1" s="1"/>
  <c r="P204" i="1" s="1"/>
  <c r="M133" i="1"/>
  <c r="O133" i="1" s="1"/>
  <c r="P133" i="1" s="1"/>
  <c r="M118" i="1"/>
  <c r="O118" i="1" s="1"/>
  <c r="P118" i="1" s="1"/>
  <c r="M269" i="1"/>
  <c r="O269" i="1" s="1"/>
  <c r="P269" i="1" s="1"/>
  <c r="M92" i="1"/>
  <c r="O92" i="1" s="1"/>
  <c r="P92" i="1" s="1"/>
  <c r="M86" i="1"/>
  <c r="O86" i="1" s="1"/>
  <c r="P86" i="1" s="1"/>
  <c r="M221" i="1"/>
  <c r="O221" i="1" s="1"/>
  <c r="P221" i="1" s="1"/>
  <c r="M115" i="1"/>
  <c r="O115" i="1" s="1"/>
  <c r="P115" i="1" s="1"/>
  <c r="M126" i="1"/>
  <c r="O126" i="1" s="1"/>
  <c r="P126" i="1" s="1"/>
  <c r="M174" i="1"/>
  <c r="O174" i="1" s="1"/>
  <c r="P174" i="1" s="1"/>
  <c r="M135" i="1"/>
  <c r="O135" i="1" s="1"/>
  <c r="P135" i="1" s="1"/>
  <c r="M164" i="1"/>
  <c r="O164" i="1" s="1"/>
  <c r="P164" i="1" s="1"/>
  <c r="M410" i="1"/>
  <c r="O410" i="1" s="1"/>
  <c r="P410" i="1" s="1"/>
  <c r="M202" i="1"/>
  <c r="O202" i="1" s="1"/>
  <c r="P202" i="1" s="1"/>
  <c r="M361" i="1"/>
  <c r="O361" i="1" s="1"/>
  <c r="P361" i="1" s="1"/>
  <c r="M143" i="1"/>
  <c r="O143" i="1" s="1"/>
  <c r="P143" i="1" s="1"/>
  <c r="M186" i="1"/>
  <c r="O186" i="1" s="1"/>
  <c r="P186" i="1" s="1"/>
  <c r="M215" i="1"/>
  <c r="O215" i="1" s="1"/>
  <c r="P215" i="1" s="1"/>
  <c r="M297" i="1"/>
  <c r="O297" i="1" s="1"/>
  <c r="P297" i="1" s="1"/>
  <c r="M125" i="1"/>
  <c r="O125" i="1" s="1"/>
  <c r="P125" i="1" s="1"/>
  <c r="M306" i="1"/>
  <c r="O306" i="1" s="1"/>
  <c r="P306" i="1" s="1"/>
  <c r="M151" i="1"/>
  <c r="O151" i="1" s="1"/>
  <c r="P151" i="1" s="1"/>
  <c r="M244" i="1"/>
  <c r="O244" i="1" s="1"/>
  <c r="P244" i="1" s="1"/>
  <c r="M152" i="1"/>
  <c r="O152" i="1" s="1"/>
  <c r="P152" i="1" s="1"/>
  <c r="M249" i="1"/>
  <c r="O249" i="1" s="1"/>
  <c r="P249" i="1" s="1"/>
  <c r="M124" i="1"/>
  <c r="O124" i="1" s="1"/>
  <c r="P124" i="1" s="1"/>
  <c r="M207" i="1"/>
  <c r="O207" i="1" s="1"/>
  <c r="P207" i="1" s="1"/>
  <c r="M182" i="1"/>
  <c r="O182" i="1" s="1"/>
  <c r="P182" i="1" s="1"/>
  <c r="M154" i="1"/>
  <c r="O154" i="1" s="1"/>
  <c r="P154" i="1" s="1"/>
  <c r="M98" i="1"/>
  <c r="O98" i="1" s="1"/>
  <c r="P98" i="1" s="1"/>
  <c r="M430" i="1"/>
  <c r="O430" i="1" s="1"/>
  <c r="P430" i="1" s="1"/>
  <c r="M338" i="1"/>
  <c r="O338" i="1" s="1"/>
  <c r="P338" i="1" s="1"/>
  <c r="M474" i="1"/>
  <c r="O474" i="1" s="1"/>
  <c r="P474" i="1" s="1"/>
  <c r="M132" i="1"/>
  <c r="O132" i="1" s="1"/>
  <c r="P132" i="1" s="1"/>
  <c r="M362" i="1"/>
  <c r="O362" i="1" s="1"/>
  <c r="P362" i="1" s="1"/>
  <c r="M399" i="1"/>
  <c r="O399" i="1" s="1"/>
  <c r="P399" i="1" s="1"/>
  <c r="M203" i="1"/>
  <c r="O203" i="1" s="1"/>
  <c r="P203" i="1" s="1"/>
  <c r="M201" i="1"/>
  <c r="O201" i="1" s="1"/>
  <c r="P201" i="1" s="1"/>
  <c r="M142" i="1"/>
  <c r="O142" i="1" s="1"/>
  <c r="P142" i="1" s="1"/>
  <c r="M316" i="1"/>
  <c r="O316" i="1" s="1"/>
  <c r="P316" i="1" s="1"/>
  <c r="M255" i="1"/>
  <c r="O255" i="1" s="1"/>
  <c r="P255" i="1" s="1"/>
  <c r="M280" i="1"/>
  <c r="O280" i="1" s="1"/>
  <c r="P280" i="1" s="1"/>
  <c r="M216" i="1"/>
  <c r="O216" i="1" s="1"/>
  <c r="P216" i="1" s="1"/>
  <c r="M187" i="1"/>
  <c r="O187" i="1" s="1"/>
  <c r="P187" i="1" s="1"/>
  <c r="M243" i="1"/>
  <c r="M242" i="1"/>
  <c r="O242" i="1" s="1"/>
  <c r="P242" i="1" s="1"/>
  <c r="M145" i="1"/>
  <c r="O145" i="1" s="1"/>
  <c r="P145" i="1" s="1"/>
  <c r="M428" i="1"/>
  <c r="O428" i="1" s="1"/>
  <c r="P428" i="1" s="1"/>
  <c r="M189" i="1"/>
  <c r="O189" i="1" s="1"/>
  <c r="P189" i="1" s="1"/>
  <c r="M330" i="1"/>
  <c r="O330" i="1" s="1"/>
  <c r="P330" i="1" s="1"/>
  <c r="M313" i="1"/>
  <c r="O313" i="1" s="1"/>
  <c r="P313" i="1" s="1"/>
  <c r="M129" i="1"/>
  <c r="O129" i="1" s="1"/>
  <c r="P129" i="1" s="1"/>
  <c r="M292" i="1"/>
  <c r="O292" i="1" s="1"/>
  <c r="P292" i="1" s="1"/>
  <c r="M236" i="1"/>
  <c r="O236" i="1" s="1"/>
  <c r="P236" i="1" s="1"/>
  <c r="M252" i="1"/>
  <c r="O252" i="1" s="1"/>
  <c r="P252" i="1" s="1"/>
  <c r="M193" i="1"/>
  <c r="O193" i="1" s="1"/>
  <c r="P193" i="1" s="1"/>
  <c r="M254" i="1"/>
  <c r="O254" i="1" s="1"/>
  <c r="P254" i="1" s="1"/>
  <c r="M253" i="1"/>
  <c r="O253" i="1" s="1"/>
  <c r="P253" i="1" s="1"/>
  <c r="M171" i="1"/>
  <c r="O171" i="1" s="1"/>
  <c r="P171" i="1" s="1"/>
  <c r="M298" i="1"/>
  <c r="O298" i="1" s="1"/>
  <c r="P298" i="1" s="1"/>
  <c r="M281" i="1"/>
  <c r="O281" i="1" s="1"/>
  <c r="P281" i="1" s="1"/>
  <c r="M266" i="1"/>
  <c r="O266" i="1" s="1"/>
  <c r="P266" i="1" s="1"/>
  <c r="M258" i="1"/>
  <c r="O258" i="1" s="1"/>
  <c r="P258" i="1" s="1"/>
  <c r="M320" i="1"/>
  <c r="O320" i="1" s="1"/>
  <c r="P320" i="1" s="1"/>
  <c r="M277" i="1"/>
  <c r="O277" i="1" s="1"/>
  <c r="P277" i="1" s="1"/>
  <c r="M392" i="1"/>
  <c r="O392" i="1" s="1"/>
  <c r="P392" i="1" s="1"/>
  <c r="M162" i="1"/>
  <c r="O162" i="1" s="1"/>
  <c r="P162" i="1" s="1"/>
  <c r="M309" i="1"/>
  <c r="O309" i="1" s="1"/>
  <c r="P309" i="1" s="1"/>
  <c r="M251" i="1"/>
  <c r="O251" i="1" s="1"/>
  <c r="P251" i="1" s="1"/>
  <c r="M123" i="1"/>
  <c r="O123" i="1" s="1"/>
  <c r="P123" i="1" s="1"/>
  <c r="M317" i="1"/>
  <c r="O317" i="1" s="1"/>
  <c r="P317" i="1" s="1"/>
  <c r="M457" i="1"/>
  <c r="O457" i="1" s="1"/>
  <c r="P457" i="1" s="1"/>
  <c r="M190" i="1"/>
  <c r="O190" i="1" s="1"/>
  <c r="P190" i="1" s="1"/>
  <c r="M225" i="1"/>
  <c r="O225" i="1" s="1"/>
  <c r="P225" i="1" s="1"/>
  <c r="M223" i="1"/>
  <c r="O223" i="1" s="1"/>
  <c r="P223" i="1" s="1"/>
  <c r="M181" i="1"/>
  <c r="O181" i="1" s="1"/>
  <c r="P181" i="1" s="1"/>
  <c r="M176" i="1"/>
  <c r="O176" i="1" s="1"/>
  <c r="P176" i="1" s="1"/>
  <c r="M185" i="1"/>
  <c r="O185" i="1" s="1"/>
  <c r="P185" i="1" s="1"/>
  <c r="M161" i="1"/>
  <c r="O161" i="1" s="1"/>
  <c r="P161" i="1" s="1"/>
  <c r="M283" i="1"/>
  <c r="O283" i="1" s="1"/>
  <c r="P283" i="1" s="1"/>
  <c r="M155" i="1"/>
  <c r="O155" i="1" s="1"/>
  <c r="P155" i="1" s="1"/>
  <c r="M166" i="1"/>
  <c r="O166" i="1" s="1"/>
  <c r="P166" i="1" s="1"/>
  <c r="M184" i="1"/>
  <c r="O184" i="1" s="1"/>
  <c r="P184" i="1" s="1"/>
  <c r="M276" i="1"/>
  <c r="O276" i="1" s="1"/>
  <c r="P276" i="1" s="1"/>
  <c r="M172" i="1"/>
  <c r="O172" i="1" s="1"/>
  <c r="P172" i="1" s="1"/>
  <c r="M263" i="1"/>
  <c r="O263" i="1" s="1"/>
  <c r="P263" i="1" s="1"/>
  <c r="M348" i="1"/>
  <c r="O348" i="1" s="1"/>
  <c r="P348" i="1" s="1"/>
  <c r="M240" i="1"/>
  <c r="O240" i="1" s="1"/>
  <c r="P240" i="1" s="1"/>
  <c r="M370" i="1"/>
  <c r="O370" i="1" s="1"/>
  <c r="P370" i="1" s="1"/>
  <c r="M290" i="1"/>
  <c r="O290" i="1" s="1"/>
  <c r="P290" i="1" s="1"/>
  <c r="M386" i="1"/>
  <c r="O386" i="1" s="1"/>
  <c r="P386" i="1" s="1"/>
  <c r="M291" i="1"/>
  <c r="O291" i="1" s="1"/>
  <c r="P291" i="1" s="1"/>
  <c r="M284" i="1"/>
  <c r="O284" i="1" s="1"/>
  <c r="P284" i="1" s="1"/>
  <c r="M224" i="1"/>
  <c r="O224" i="1" s="1"/>
  <c r="P224" i="1" s="1"/>
  <c r="M391" i="1"/>
  <c r="O391" i="1" s="1"/>
  <c r="P391" i="1" s="1"/>
  <c r="M230" i="1"/>
  <c r="O230" i="1" s="1"/>
  <c r="P230" i="1" s="1"/>
  <c r="M372" i="1"/>
  <c r="O372" i="1" s="1"/>
  <c r="P372" i="1" s="1"/>
  <c r="M196" i="1"/>
  <c r="O196" i="1" s="1"/>
  <c r="P196" i="1" s="1"/>
  <c r="M229" i="1"/>
  <c r="O229" i="1" s="1"/>
  <c r="P229" i="1" s="1"/>
  <c r="M455" i="1"/>
  <c r="O455" i="1" s="1"/>
  <c r="P455" i="1" s="1"/>
  <c r="M194" i="1"/>
  <c r="O194" i="1" s="1"/>
  <c r="P194" i="1" s="1"/>
  <c r="M321" i="1"/>
  <c r="O321" i="1" s="1"/>
  <c r="P321" i="1" s="1"/>
  <c r="M211" i="1"/>
  <c r="O211" i="1" s="1"/>
  <c r="P211" i="1" s="1"/>
  <c r="M188" i="1"/>
  <c r="O188" i="1" s="1"/>
  <c r="P188" i="1" s="1"/>
  <c r="M319" i="1"/>
  <c r="O319" i="1" s="1"/>
  <c r="P319" i="1" s="1"/>
  <c r="M398" i="1"/>
  <c r="O398" i="1" s="1"/>
  <c r="P398" i="1" s="1"/>
  <c r="M299" i="1"/>
  <c r="O299" i="1" s="1"/>
  <c r="P299" i="1" s="1"/>
  <c r="M237" i="1"/>
  <c r="O237" i="1" s="1"/>
  <c r="P237" i="1" s="1"/>
  <c r="M360" i="1"/>
  <c r="O360" i="1" s="1"/>
  <c r="P360" i="1" s="1"/>
  <c r="M323" i="1"/>
  <c r="O323" i="1" s="1"/>
  <c r="P323" i="1" s="1"/>
  <c r="M403" i="1"/>
  <c r="O403" i="1" s="1"/>
  <c r="P403" i="1" s="1"/>
  <c r="M268" i="1"/>
  <c r="O268" i="1" s="1"/>
  <c r="P268" i="1" s="1"/>
  <c r="M262" i="1"/>
  <c r="O262" i="1" s="1"/>
  <c r="P262" i="1" s="1"/>
  <c r="M285" i="1"/>
  <c r="O285" i="1" s="1"/>
  <c r="P285" i="1" s="1"/>
  <c r="M366" i="1"/>
  <c r="O366" i="1" s="1"/>
  <c r="P366" i="1" s="1"/>
  <c r="M267" i="1"/>
  <c r="O267" i="1" s="1"/>
  <c r="P267" i="1" s="1"/>
  <c r="M180" i="1"/>
  <c r="O180" i="1" s="1"/>
  <c r="P180" i="1" s="1"/>
  <c r="M198" i="1"/>
  <c r="O198" i="1" s="1"/>
  <c r="P198" i="1" s="1"/>
  <c r="M148" i="1"/>
  <c r="O148" i="1" s="1"/>
  <c r="P148" i="1" s="1"/>
  <c r="M200" i="1"/>
  <c r="O200" i="1" s="1"/>
  <c r="P200" i="1" s="1"/>
  <c r="M337" i="1"/>
  <c r="O337" i="1" s="1"/>
  <c r="P337" i="1" s="1"/>
  <c r="M214" i="1"/>
  <c r="O214" i="1" s="1"/>
  <c r="P214" i="1" s="1"/>
  <c r="M274" i="1"/>
  <c r="O274" i="1" s="1"/>
  <c r="P274" i="1" s="1"/>
  <c r="M354" i="1"/>
  <c r="O354" i="1" s="1"/>
  <c r="P354" i="1" s="1"/>
  <c r="M473" i="1"/>
  <c r="O473" i="1" s="1"/>
  <c r="P473" i="1" s="1"/>
  <c r="M247" i="1"/>
  <c r="O247" i="1" s="1"/>
  <c r="P247" i="1" s="1"/>
  <c r="M212" i="1"/>
  <c r="O212" i="1" s="1"/>
  <c r="P212" i="1" s="1"/>
  <c r="M411" i="1"/>
  <c r="O411" i="1" s="1"/>
  <c r="P411" i="1" s="1"/>
  <c r="M402" i="1"/>
  <c r="O402" i="1" s="1"/>
  <c r="P402" i="1" s="1"/>
  <c r="M235" i="1"/>
  <c r="O235" i="1" s="1"/>
  <c r="P235" i="1" s="1"/>
  <c r="M286" i="1"/>
  <c r="O286" i="1" s="1"/>
  <c r="P286" i="1" s="1"/>
  <c r="M308" i="1"/>
  <c r="O308" i="1" s="1"/>
  <c r="P308" i="1" s="1"/>
  <c r="M248" i="1"/>
  <c r="O248" i="1" s="1"/>
  <c r="P248" i="1" s="1"/>
  <c r="M222" i="1"/>
  <c r="O222" i="1" s="1"/>
  <c r="P222" i="1" s="1"/>
  <c r="M167" i="1"/>
  <c r="O167" i="1" s="1"/>
  <c r="P167" i="1" s="1"/>
  <c r="M208" i="1"/>
  <c r="O208" i="1" s="1"/>
  <c r="P208" i="1" s="1"/>
  <c r="M334" i="1"/>
  <c r="O334" i="1" s="1"/>
  <c r="P334" i="1" s="1"/>
  <c r="M295" i="1"/>
  <c r="O295" i="1" s="1"/>
  <c r="P295" i="1" s="1"/>
  <c r="M296" i="1"/>
  <c r="O296" i="1" s="1"/>
  <c r="P296" i="1" s="1"/>
  <c r="M228" i="1"/>
  <c r="O228" i="1" s="1"/>
  <c r="P228" i="1" s="1"/>
  <c r="M340" i="1"/>
  <c r="O340" i="1" s="1"/>
  <c r="P340" i="1" s="1"/>
  <c r="M210" i="1"/>
  <c r="O210" i="1" s="1"/>
  <c r="P210" i="1" s="1"/>
  <c r="M376" i="1"/>
  <c r="O376" i="1" s="1"/>
  <c r="P376" i="1" s="1"/>
  <c r="M279" i="1"/>
  <c r="O279" i="1" s="1"/>
  <c r="P279" i="1" s="1"/>
  <c r="M227" i="1"/>
  <c r="O227" i="1" s="1"/>
  <c r="P227" i="1" s="1"/>
  <c r="M271" i="1"/>
  <c r="O271" i="1" s="1"/>
  <c r="P271" i="1" s="1"/>
  <c r="M394" i="1"/>
  <c r="O394" i="1" s="1"/>
  <c r="P394" i="1" s="1"/>
  <c r="M256" i="1"/>
  <c r="O256" i="1" s="1"/>
  <c r="P256" i="1" s="1"/>
  <c r="M219" i="1"/>
  <c r="O219" i="1" s="1"/>
  <c r="P219" i="1" s="1"/>
  <c r="M429" i="1"/>
  <c r="O429" i="1" s="1"/>
  <c r="P429" i="1" s="1"/>
  <c r="M359" i="1"/>
  <c r="O359" i="1" s="1"/>
  <c r="P359" i="1" s="1"/>
  <c r="M352" i="1"/>
  <c r="O352" i="1" s="1"/>
  <c r="P352" i="1" s="1"/>
  <c r="M425" i="1"/>
  <c r="O425" i="1" s="1"/>
  <c r="P425" i="1" s="1"/>
  <c r="M382" i="1"/>
  <c r="O382" i="1" s="1"/>
  <c r="P382" i="1" s="1"/>
  <c r="M405" i="1"/>
  <c r="O405" i="1" s="1"/>
  <c r="P405" i="1" s="1"/>
  <c r="M324" i="1"/>
  <c r="O324" i="1" s="1"/>
  <c r="P324" i="1" s="1"/>
  <c r="M556" i="1"/>
  <c r="O556" i="1" s="1"/>
  <c r="P556" i="1" s="1"/>
  <c r="M384" i="1"/>
  <c r="O384" i="1" s="1"/>
  <c r="P384" i="1" s="1"/>
  <c r="M404" i="1"/>
  <c r="O404" i="1" s="1"/>
  <c r="P404" i="1" s="1"/>
  <c r="M369" i="1"/>
  <c r="O369" i="1" s="1"/>
  <c r="P369" i="1" s="1"/>
  <c r="M368" i="1"/>
  <c r="O368" i="1" s="1"/>
  <c r="P368" i="1" s="1"/>
  <c r="M485" i="1"/>
  <c r="O485" i="1" s="1"/>
  <c r="P485" i="1" s="1"/>
  <c r="M328" i="1"/>
  <c r="O328" i="1" s="1"/>
  <c r="P328" i="1" s="1"/>
  <c r="M329" i="1"/>
  <c r="O329" i="1" s="1"/>
  <c r="P329" i="1" s="1"/>
  <c r="M257" i="1"/>
  <c r="O257" i="1" s="1"/>
  <c r="P257" i="1" s="1"/>
  <c r="M275" i="1"/>
  <c r="O275" i="1" s="1"/>
  <c r="P275" i="1" s="1"/>
  <c r="M385" i="1"/>
  <c r="O385" i="1" s="1"/>
  <c r="P385" i="1" s="1"/>
  <c r="M409" i="1"/>
  <c r="O409" i="1" s="1"/>
  <c r="P409" i="1" s="1"/>
  <c r="M315" i="1"/>
  <c r="O315" i="1" s="1"/>
  <c r="P315" i="1" s="1"/>
  <c r="M314" i="1"/>
  <c r="O314" i="1" s="1"/>
  <c r="P314" i="1" s="1"/>
  <c r="M341" i="1"/>
  <c r="O341" i="1" s="1"/>
  <c r="P341" i="1" s="1"/>
  <c r="M414" i="1"/>
  <c r="O414" i="1" s="1"/>
  <c r="P414" i="1" s="1"/>
  <c r="M396" i="1"/>
  <c r="O396" i="1" s="1"/>
  <c r="P396" i="1" s="1"/>
  <c r="M471" i="1"/>
  <c r="O471" i="1" s="1"/>
  <c r="P471" i="1" s="1"/>
  <c r="M358" i="1"/>
  <c r="O358" i="1" s="1"/>
  <c r="P358" i="1" s="1"/>
  <c r="M503" i="1"/>
  <c r="O503" i="1" s="1"/>
  <c r="P503" i="1" s="1"/>
  <c r="M305" i="1"/>
  <c r="O305" i="1" s="1"/>
  <c r="P305" i="1" s="1"/>
  <c r="M451" i="1"/>
  <c r="O451" i="1" s="1"/>
  <c r="P451" i="1" s="1"/>
  <c r="M261" i="1"/>
  <c r="O261" i="1" s="1"/>
  <c r="P261" i="1" s="1"/>
  <c r="M427" i="1"/>
  <c r="O427" i="1" s="1"/>
  <c r="P427" i="1" s="1"/>
  <c r="M365" i="1"/>
  <c r="O365" i="1" s="1"/>
  <c r="P365" i="1" s="1"/>
  <c r="M554" i="1"/>
  <c r="O554" i="1" s="1"/>
  <c r="P554" i="1" s="1"/>
  <c r="M487" i="1"/>
  <c r="O487" i="1" s="1"/>
  <c r="P487" i="1" s="1"/>
  <c r="M563" i="1"/>
  <c r="O563" i="1" s="1"/>
  <c r="P563" i="1" s="1"/>
  <c r="M312" i="1"/>
  <c r="O312" i="1" s="1"/>
  <c r="P312" i="1" s="1"/>
  <c r="M288" i="1"/>
  <c r="O288" i="1" s="1"/>
  <c r="P288" i="1" s="1"/>
  <c r="M356" i="1"/>
  <c r="O356" i="1" s="1"/>
  <c r="P356" i="1" s="1"/>
  <c r="M336" i="1"/>
  <c r="O336" i="1" s="1"/>
  <c r="P336" i="1" s="1"/>
  <c r="M462" i="1"/>
  <c r="O462" i="1" s="1"/>
  <c r="P462" i="1" s="1"/>
  <c r="M335" i="1"/>
  <c r="O335" i="1" s="1"/>
  <c r="P335" i="1" s="1"/>
  <c r="M494" i="1"/>
  <c r="O494" i="1" s="1"/>
  <c r="P494" i="1" s="1"/>
  <c r="M445" i="1"/>
  <c r="O445" i="1" s="1"/>
  <c r="P445" i="1" s="1"/>
  <c r="M444" i="1"/>
  <c r="O444" i="1" s="1"/>
  <c r="P444" i="1" s="1"/>
  <c r="M397" i="1"/>
  <c r="O397" i="1" s="1"/>
  <c r="P397" i="1" s="1"/>
  <c r="M199" i="1"/>
  <c r="O199" i="1" s="1"/>
  <c r="P199" i="1" s="1"/>
  <c r="M294" i="1"/>
  <c r="O294" i="1" s="1"/>
  <c r="P294" i="1" s="1"/>
  <c r="M378" i="1"/>
  <c r="O378" i="1" s="1"/>
  <c r="P378" i="1" s="1"/>
  <c r="M580" i="1"/>
  <c r="O580" i="1" s="1"/>
  <c r="P580" i="1" s="1"/>
  <c r="M304" i="1"/>
  <c r="O304" i="1" s="1"/>
  <c r="P304" i="1" s="1"/>
  <c r="M441" i="1"/>
  <c r="O441" i="1" s="1"/>
  <c r="P441" i="1" s="1"/>
  <c r="M325" i="1"/>
  <c r="O325" i="1" s="1"/>
  <c r="P325" i="1" s="1"/>
  <c r="M528" i="1"/>
  <c r="O528" i="1" s="1"/>
  <c r="P528" i="1" s="1"/>
  <c r="M436" i="1"/>
  <c r="O436" i="1" s="1"/>
  <c r="P436" i="1" s="1"/>
  <c r="M533" i="1"/>
  <c r="O533" i="1" s="1"/>
  <c r="P533" i="1" s="1"/>
  <c r="M311" i="1"/>
  <c r="O311" i="1" s="1"/>
  <c r="P311" i="1" s="1"/>
  <c r="M408" i="1"/>
  <c r="O408" i="1" s="1"/>
  <c r="P408" i="1" s="1"/>
  <c r="M434" i="1"/>
  <c r="O434" i="1" s="1"/>
  <c r="P434" i="1" s="1"/>
  <c r="M333" i="1"/>
  <c r="O333" i="1" s="1"/>
  <c r="P333" i="1" s="1"/>
  <c r="M540" i="1"/>
  <c r="O540" i="1" s="1"/>
  <c r="P540" i="1" s="1"/>
  <c r="M272" i="1"/>
  <c r="O272" i="1" s="1"/>
  <c r="P272" i="1" s="1"/>
  <c r="M371" i="1"/>
  <c r="O371" i="1" s="1"/>
  <c r="P371" i="1" s="1"/>
  <c r="M388" i="1"/>
  <c r="O388" i="1" s="1"/>
  <c r="P388" i="1" s="1"/>
  <c r="M310" i="1"/>
  <c r="O310" i="1" s="1"/>
  <c r="P310" i="1" s="1"/>
  <c r="M260" i="1"/>
  <c r="O260" i="1" s="1"/>
  <c r="P260" i="1" s="1"/>
  <c r="M496" i="1"/>
  <c r="O496" i="1" s="1"/>
  <c r="P496" i="1" s="1"/>
  <c r="M470" i="1"/>
  <c r="O470" i="1" s="1"/>
  <c r="P470" i="1" s="1"/>
  <c r="M318" i="1"/>
  <c r="O318" i="1" s="1"/>
  <c r="P318" i="1" s="1"/>
  <c r="M469" i="1"/>
  <c r="O469" i="1" s="1"/>
  <c r="P469" i="1" s="1"/>
  <c r="M395" i="1"/>
  <c r="O395" i="1" s="1"/>
  <c r="P395" i="1" s="1"/>
  <c r="M375" i="1"/>
  <c r="O375" i="1" s="1"/>
  <c r="P375" i="1" s="1"/>
  <c r="M463" i="1"/>
  <c r="O463" i="1" s="1"/>
  <c r="P463" i="1" s="1"/>
  <c r="M345" i="1"/>
  <c r="O345" i="1" s="1"/>
  <c r="P345" i="1" s="1"/>
  <c r="M241" i="1"/>
  <c r="O241" i="1" s="1"/>
  <c r="P241" i="1" s="1"/>
  <c r="M420" i="1"/>
  <c r="O420" i="1" s="1"/>
  <c r="P420" i="1" s="1"/>
  <c r="M422" i="1"/>
  <c r="O422" i="1" s="1"/>
  <c r="P422" i="1" s="1"/>
  <c r="M450" i="1"/>
  <c r="O450" i="1" s="1"/>
  <c r="P450" i="1" s="1"/>
  <c r="M525" i="1"/>
  <c r="O525" i="1" s="1"/>
  <c r="P525" i="1" s="1"/>
  <c r="M322" i="1"/>
  <c r="O322" i="1" s="1"/>
  <c r="P322" i="1" s="1"/>
  <c r="M383" i="1"/>
  <c r="O383" i="1" s="1"/>
  <c r="P383" i="1" s="1"/>
  <c r="M508" i="1"/>
  <c r="O508" i="1" s="1"/>
  <c r="P508" i="1" s="1"/>
  <c r="M507" i="1"/>
  <c r="O507" i="1" s="1"/>
  <c r="P507" i="1" s="1"/>
  <c r="M426" i="1"/>
  <c r="O426" i="1" s="1"/>
  <c r="P426" i="1" s="1"/>
  <c r="M435" i="1"/>
  <c r="O435" i="1" s="1"/>
  <c r="P435" i="1" s="1"/>
  <c r="M513" i="1"/>
  <c r="O513" i="1" s="1"/>
  <c r="P513" i="1" s="1"/>
  <c r="M562" i="1"/>
  <c r="O562" i="1" s="1"/>
  <c r="P562" i="1" s="1"/>
  <c r="M433" i="1"/>
  <c r="O433" i="1" s="1"/>
  <c r="P433" i="1" s="1"/>
  <c r="M431" i="1"/>
  <c r="O431" i="1" s="1"/>
  <c r="P431" i="1" s="1"/>
  <c r="M456" i="1"/>
  <c r="O456" i="1" s="1"/>
  <c r="P456" i="1" s="1"/>
  <c r="M486" i="1"/>
  <c r="O486" i="1" s="1"/>
  <c r="P486" i="1" s="1"/>
  <c r="M355" i="1"/>
  <c r="O355" i="1" s="1"/>
  <c r="P355" i="1" s="1"/>
  <c r="M538" i="1"/>
  <c r="O538" i="1" s="1"/>
  <c r="P538" i="1" s="1"/>
  <c r="M461" i="1"/>
  <c r="O461" i="1" s="1"/>
  <c r="P461" i="1" s="1"/>
  <c r="M217" i="1"/>
  <c r="O217" i="1" s="1"/>
  <c r="P217" i="1" s="1"/>
  <c r="M518" i="1"/>
  <c r="O518" i="1" s="1"/>
  <c r="P518" i="1" s="1"/>
  <c r="M539" i="1"/>
  <c r="O539" i="1" s="1"/>
  <c r="P539" i="1" s="1"/>
  <c r="M467" i="1"/>
  <c r="O467" i="1" s="1"/>
  <c r="P467" i="1" s="1"/>
  <c r="M213" i="1"/>
  <c r="O213" i="1" s="1"/>
  <c r="P213" i="1" s="1"/>
  <c r="M523" i="1"/>
  <c r="O523" i="1" s="1"/>
  <c r="P523" i="1" s="1"/>
  <c r="M413" i="1"/>
  <c r="O413" i="1" s="1"/>
  <c r="P413" i="1" s="1"/>
  <c r="M472" i="1"/>
  <c r="O472" i="1" s="1"/>
  <c r="P472" i="1" s="1"/>
  <c r="M495" i="1"/>
  <c r="O495" i="1" s="1"/>
  <c r="P495" i="1" s="1"/>
  <c r="M501" i="1"/>
  <c r="O501" i="1" s="1"/>
  <c r="P501" i="1" s="1"/>
  <c r="M577" i="1"/>
  <c r="O577" i="1" s="1"/>
  <c r="P577" i="1" s="1"/>
  <c r="M452" i="1"/>
  <c r="O452" i="1" s="1"/>
  <c r="P452" i="1" s="1"/>
  <c r="M351" i="1"/>
  <c r="O351" i="1" s="1"/>
  <c r="P351" i="1" s="1"/>
  <c r="M442" i="1"/>
  <c r="O442" i="1" s="1"/>
  <c r="P442" i="1" s="1"/>
  <c r="M326" i="1"/>
  <c r="O326" i="1" s="1"/>
  <c r="P326" i="1" s="1"/>
  <c r="M332" i="1"/>
  <c r="O332" i="1" s="1"/>
  <c r="P332" i="1" s="1"/>
  <c r="M611" i="1"/>
  <c r="O611" i="1" s="1"/>
  <c r="P611" i="1" s="1"/>
  <c r="M569" i="1"/>
  <c r="O569" i="1" s="1"/>
  <c r="P569" i="1" s="1"/>
  <c r="M620" i="1"/>
  <c r="O620" i="1" s="1"/>
  <c r="P620" i="1" s="1"/>
  <c r="M593" i="1"/>
  <c r="O593" i="1" s="1"/>
  <c r="P593" i="1" s="1"/>
  <c r="M432" i="1"/>
  <c r="O432" i="1" s="1"/>
  <c r="P432" i="1" s="1"/>
  <c r="M377" i="1"/>
  <c r="O377" i="1" s="1"/>
  <c r="P377" i="1" s="1"/>
  <c r="M439" i="1"/>
  <c r="O439" i="1" s="1"/>
  <c r="P439" i="1" s="1"/>
  <c r="M491" i="1"/>
  <c r="O491" i="1" s="1"/>
  <c r="P491" i="1" s="1"/>
  <c r="M440" i="1"/>
  <c r="O440" i="1" s="1"/>
  <c r="P440" i="1" s="1"/>
  <c r="M489" i="1"/>
  <c r="O489" i="1" s="1"/>
  <c r="P489" i="1" s="1"/>
  <c r="M490" i="1"/>
  <c r="O490" i="1" s="1"/>
  <c r="P490" i="1" s="1"/>
  <c r="M582" i="1"/>
  <c r="O582" i="1" s="1"/>
  <c r="P582" i="1" s="1"/>
  <c r="M522" i="1"/>
  <c r="O522" i="1" s="1"/>
  <c r="P522" i="1" s="1"/>
  <c r="M595" i="1"/>
  <c r="O595" i="1" s="1"/>
  <c r="P595" i="1" s="1"/>
  <c r="M574" i="1"/>
  <c r="O574" i="1" s="1"/>
  <c r="P574" i="1" s="1"/>
  <c r="M544" i="1"/>
  <c r="O544" i="1" s="1"/>
  <c r="P544" i="1" s="1"/>
  <c r="M468" i="1"/>
  <c r="O468" i="1" s="1"/>
  <c r="P468" i="1" s="1"/>
  <c r="M401" i="1"/>
  <c r="O401" i="1" s="1"/>
  <c r="P401" i="1" s="1"/>
  <c r="M579" i="1"/>
  <c r="O579" i="1" s="1"/>
  <c r="P579" i="1" s="1"/>
  <c r="M475" i="1"/>
  <c r="O475" i="1" s="1"/>
  <c r="P475" i="1" s="1"/>
  <c r="M418" i="1"/>
  <c r="O418" i="1" s="1"/>
  <c r="P418" i="1" s="1"/>
  <c r="M578" i="1"/>
  <c r="O578" i="1" s="1"/>
  <c r="P578" i="1" s="1"/>
  <c r="M419" i="1"/>
  <c r="O419" i="1" s="1"/>
  <c r="P419" i="1" s="1"/>
  <c r="M608" i="1"/>
  <c r="O608" i="1" s="1"/>
  <c r="P608" i="1" s="1"/>
  <c r="M344" i="1"/>
  <c r="O344" i="1" s="1"/>
  <c r="P344" i="1" s="1"/>
  <c r="M588" i="1"/>
  <c r="O588" i="1" s="1"/>
  <c r="P588" i="1" s="1"/>
  <c r="M553" i="1"/>
  <c r="O553" i="1" s="1"/>
  <c r="P553" i="1" s="1"/>
  <c r="M478" i="1"/>
  <c r="O478" i="1" s="1"/>
  <c r="P478" i="1" s="1"/>
  <c r="M618" i="1"/>
  <c r="O618" i="1" s="1"/>
  <c r="P618" i="1" s="1"/>
  <c r="M529" i="1"/>
  <c r="O529" i="1" s="1"/>
  <c r="P529" i="1" s="1"/>
  <c r="M381" i="1"/>
  <c r="O381" i="1" s="1"/>
  <c r="P381" i="1" s="1"/>
  <c r="M594" i="1"/>
  <c r="O594" i="1" s="1"/>
  <c r="P594" i="1" s="1"/>
  <c r="M387" i="1"/>
  <c r="O387" i="1" s="1"/>
  <c r="P387" i="1" s="1"/>
  <c r="M565" i="1"/>
  <c r="O565" i="1" s="1"/>
  <c r="P565" i="1" s="1"/>
  <c r="M629" i="1"/>
  <c r="O629" i="1" s="1"/>
  <c r="P629" i="1" s="1"/>
  <c r="M460" i="1"/>
  <c r="O460" i="1" s="1"/>
  <c r="P460" i="1" s="1"/>
  <c r="M488" i="1"/>
  <c r="O488" i="1" s="1"/>
  <c r="P488" i="1" s="1"/>
  <c r="M792" i="1"/>
  <c r="O792" i="1" s="1"/>
  <c r="P792" i="1" s="1"/>
  <c r="M631" i="1"/>
  <c r="O631" i="1" s="1"/>
  <c r="P631" i="1" s="1"/>
  <c r="M367" i="1"/>
  <c r="O367" i="1" s="1"/>
  <c r="P367" i="1" s="1"/>
  <c r="M596" i="1"/>
  <c r="O596" i="1" s="1"/>
  <c r="P596" i="1" s="1"/>
  <c r="M303" i="1"/>
  <c r="O303" i="1" s="1"/>
  <c r="P303" i="1" s="1"/>
  <c r="M638" i="1"/>
  <c r="O638" i="1" s="1"/>
  <c r="P638" i="1" s="1"/>
  <c r="M545" i="1"/>
  <c r="O545" i="1" s="1"/>
  <c r="P545" i="1" s="1"/>
  <c r="M639" i="1"/>
  <c r="O639" i="1" s="1"/>
  <c r="P639" i="1" s="1"/>
  <c r="M606" i="1"/>
  <c r="O606" i="1" s="1"/>
  <c r="P606" i="1" s="1"/>
  <c r="M373" i="1"/>
  <c r="O373" i="1" s="1"/>
  <c r="P373" i="1" s="1"/>
  <c r="M374" i="1"/>
  <c r="O374" i="1" s="1"/>
  <c r="P374" i="1" s="1"/>
  <c r="M412" i="1"/>
  <c r="O412" i="1" s="1"/>
  <c r="P412" i="1" s="1"/>
  <c r="M443" i="1"/>
  <c r="O443" i="1" s="1"/>
  <c r="P443" i="1" s="1"/>
  <c r="M339" i="1"/>
  <c r="O339" i="1" s="1"/>
  <c r="P339" i="1" s="1"/>
  <c r="M347" i="1"/>
  <c r="O347" i="1" s="1"/>
  <c r="P347" i="1" s="1"/>
  <c r="M549" i="1"/>
  <c r="O549" i="1" s="1"/>
  <c r="P549" i="1" s="1"/>
  <c r="M609" i="1"/>
  <c r="O609" i="1" s="1"/>
  <c r="P609" i="1" s="1"/>
  <c r="M500" i="1"/>
  <c r="O500" i="1" s="1"/>
  <c r="P500" i="1" s="1"/>
  <c r="M548" i="1"/>
  <c r="O548" i="1" s="1"/>
  <c r="P548" i="1" s="1"/>
  <c r="M645" i="1"/>
  <c r="O645" i="1" s="1"/>
  <c r="P645" i="1" s="1"/>
  <c r="M421" i="1"/>
  <c r="O421" i="1" s="1"/>
  <c r="P421" i="1" s="1"/>
  <c r="M400" i="1"/>
  <c r="O400" i="1" s="1"/>
  <c r="P400" i="1" s="1"/>
  <c r="M327" i="1"/>
  <c r="O327" i="1" s="1"/>
  <c r="P327" i="1" s="1"/>
  <c r="M684" i="1"/>
  <c r="O684" i="1" s="1"/>
  <c r="P684" i="1" s="1"/>
  <c r="M555" i="1"/>
  <c r="O555" i="1" s="1"/>
  <c r="P555" i="1" s="1"/>
  <c r="M649" i="1"/>
  <c r="O649" i="1" s="1"/>
  <c r="P649" i="1" s="1"/>
  <c r="M587" i="1"/>
  <c r="O587" i="1" s="1"/>
  <c r="P587" i="1" s="1"/>
  <c r="M364" i="1"/>
  <c r="O364" i="1" s="1"/>
  <c r="P364" i="1" s="1"/>
  <c r="M592" i="1"/>
  <c r="O592" i="1" s="1"/>
  <c r="P592" i="1" s="1"/>
  <c r="M407" i="1"/>
  <c r="O407" i="1" s="1"/>
  <c r="P407" i="1" s="1"/>
  <c r="M514" i="1"/>
  <c r="O514" i="1" s="1"/>
  <c r="P514" i="1" s="1"/>
  <c r="M737" i="1"/>
  <c r="O737" i="1" s="1"/>
  <c r="P737" i="1" s="1"/>
  <c r="M516" i="1"/>
  <c r="O516" i="1" s="1"/>
  <c r="P516" i="1" s="1"/>
  <c r="M600" i="1"/>
  <c r="O600" i="1" s="1"/>
  <c r="P600" i="1" s="1"/>
  <c r="M567" i="1"/>
  <c r="O567" i="1" s="1"/>
  <c r="P567" i="1" s="1"/>
  <c r="M438" i="1"/>
  <c r="O438" i="1" s="1"/>
  <c r="P438" i="1" s="1"/>
  <c r="M390" i="1"/>
  <c r="O390" i="1" s="1"/>
  <c r="P390" i="1" s="1"/>
  <c r="M659" i="1"/>
  <c r="O659" i="1" s="1"/>
  <c r="P659" i="1" s="1"/>
  <c r="M543" i="1"/>
  <c r="O543" i="1" s="1"/>
  <c r="P543" i="1" s="1"/>
  <c r="M417" i="1"/>
  <c r="O417" i="1" s="1"/>
  <c r="P417" i="1" s="1"/>
  <c r="M449" i="1"/>
  <c r="O449" i="1" s="1"/>
  <c r="P449" i="1" s="1"/>
  <c r="M601" i="1"/>
  <c r="O601" i="1" s="1"/>
  <c r="P601" i="1" s="1"/>
  <c r="M502" i="1"/>
  <c r="O502" i="1" s="1"/>
  <c r="P502" i="1" s="1"/>
  <c r="M499" i="1"/>
  <c r="O499" i="1" s="1"/>
  <c r="P499" i="1" s="1"/>
  <c r="M683" i="1"/>
  <c r="O683" i="1" s="1"/>
  <c r="P683" i="1" s="1"/>
  <c r="M643" i="1"/>
  <c r="O643" i="1" s="1"/>
  <c r="P643" i="1" s="1"/>
  <c r="M675" i="1"/>
  <c r="O675" i="1" s="1"/>
  <c r="P675" i="1" s="1"/>
  <c r="M617" i="1"/>
  <c r="O617" i="1" s="1"/>
  <c r="P617" i="1" s="1"/>
  <c r="M479" i="1"/>
  <c r="O479" i="1" s="1"/>
  <c r="P479" i="1" s="1"/>
  <c r="M480" i="1"/>
  <c r="O480" i="1" s="1"/>
  <c r="P480" i="1" s="1"/>
  <c r="M817" i="1"/>
  <c r="O817" i="1" s="1"/>
  <c r="P817" i="1" s="1"/>
  <c r="M560" i="1"/>
  <c r="O560" i="1" s="1"/>
  <c r="P560" i="1" s="1"/>
  <c r="M622" i="1"/>
  <c r="O622" i="1" s="1"/>
  <c r="P622" i="1" s="1"/>
  <c r="M379" i="1"/>
  <c r="O379" i="1" s="1"/>
  <c r="P379" i="1" s="1"/>
  <c r="M706" i="1"/>
  <c r="O706" i="1" s="1"/>
  <c r="P706" i="1" s="1"/>
  <c r="M559" i="1"/>
  <c r="O559" i="1" s="1"/>
  <c r="P559" i="1" s="1"/>
  <c r="M512" i="1"/>
  <c r="O512" i="1" s="1"/>
  <c r="P512" i="1" s="1"/>
  <c r="M393" i="1"/>
  <c r="O393" i="1" s="1"/>
  <c r="P393" i="1" s="1"/>
  <c r="M623" i="1"/>
  <c r="O623" i="1" s="1"/>
  <c r="P623" i="1" s="1"/>
  <c r="M561" i="1"/>
  <c r="O561" i="1" s="1"/>
  <c r="P561" i="1" s="1"/>
  <c r="M517" i="1"/>
  <c r="O517" i="1" s="1"/>
  <c r="P517" i="1" s="1"/>
  <c r="M889" i="1"/>
  <c r="O889" i="1" s="1"/>
  <c r="P889" i="1" s="1"/>
  <c r="M710" i="1"/>
  <c r="O710" i="1" s="1"/>
  <c r="P710" i="1" s="1"/>
  <c r="M437" i="1"/>
  <c r="O437" i="1" s="1"/>
  <c r="P437" i="1" s="1"/>
  <c r="M415" i="1"/>
  <c r="O415" i="1" s="1"/>
  <c r="P415" i="1" s="1"/>
  <c r="M630" i="1"/>
  <c r="O630" i="1" s="1"/>
  <c r="P630" i="1" s="1"/>
  <c r="M679" i="1"/>
  <c r="O679" i="1" s="1"/>
  <c r="P679" i="1" s="1"/>
  <c r="M637" i="1"/>
  <c r="O637" i="1" s="1"/>
  <c r="P637" i="1" s="1"/>
  <c r="M831" i="1"/>
  <c r="O831" i="1" s="1"/>
  <c r="P831" i="1" s="1"/>
  <c r="M573" i="1"/>
  <c r="O573" i="1" s="1"/>
  <c r="P573" i="1" s="1"/>
  <c r="M466" i="1"/>
  <c r="O466" i="1" s="1"/>
  <c r="P466" i="1" s="1"/>
  <c r="M605" i="1"/>
  <c r="O605" i="1" s="1"/>
  <c r="P605" i="1" s="1"/>
  <c r="M603" i="1"/>
  <c r="O603" i="1" s="1"/>
  <c r="P603" i="1" s="1"/>
  <c r="M663" i="1"/>
  <c r="O663" i="1" s="1"/>
  <c r="P663" i="1" s="1"/>
  <c r="M505" i="1"/>
  <c r="O505" i="1" s="1"/>
  <c r="P505" i="1" s="1"/>
  <c r="M493" i="1"/>
  <c r="O493" i="1" s="1"/>
  <c r="P493" i="1" s="1"/>
  <c r="M448" i="1"/>
  <c r="O448" i="1" s="1"/>
  <c r="P448" i="1" s="1"/>
  <c r="M498" i="1"/>
  <c r="O498" i="1" s="1"/>
  <c r="P498" i="1" s="1"/>
  <c r="M696" i="1"/>
  <c r="O696" i="1" s="1"/>
  <c r="P696" i="1" s="1"/>
  <c r="M644" i="1"/>
  <c r="O644" i="1" s="1"/>
  <c r="P644" i="1" s="1"/>
  <c r="M346" i="1"/>
  <c r="O346" i="1" s="1"/>
  <c r="P346" i="1" s="1"/>
  <c r="M616" i="1"/>
  <c r="O616" i="1" s="1"/>
  <c r="P616" i="1" s="1"/>
  <c r="M506" i="1"/>
  <c r="O506" i="1" s="1"/>
  <c r="P506" i="1" s="1"/>
  <c r="M615" i="1"/>
  <c r="O615" i="1" s="1"/>
  <c r="P615" i="1" s="1"/>
  <c r="M406" i="1"/>
  <c r="O406" i="1" s="1"/>
  <c r="P406" i="1" s="1"/>
  <c r="M653" i="1"/>
  <c r="O653" i="1" s="1"/>
  <c r="P653" i="1" s="1"/>
  <c r="M557" i="1"/>
  <c r="O557" i="1" s="1"/>
  <c r="P557" i="1" s="1"/>
  <c r="M484" i="1"/>
  <c r="O484" i="1" s="1"/>
  <c r="P484" i="1" s="1"/>
  <c r="M363" i="1"/>
  <c r="O363" i="1" s="1"/>
  <c r="P363" i="1" s="1"/>
  <c r="M621" i="1"/>
  <c r="O621" i="1" s="1"/>
  <c r="P621" i="1" s="1"/>
  <c r="M459" i="1"/>
  <c r="O459" i="1" s="1"/>
  <c r="P459" i="1" s="1"/>
  <c r="M599" i="1"/>
  <c r="O599" i="1" s="1"/>
  <c r="P599" i="1" s="1"/>
  <c r="M689" i="1"/>
  <c r="O689" i="1" s="1"/>
  <c r="P689" i="1" s="1"/>
  <c r="M566" i="1"/>
  <c r="O566" i="1" s="1"/>
  <c r="P566" i="1" s="1"/>
  <c r="M389" i="1"/>
  <c r="O389" i="1" s="1"/>
  <c r="P389" i="1" s="1"/>
  <c r="M572" i="1"/>
  <c r="O572" i="1" s="1"/>
  <c r="P572" i="1" s="1"/>
  <c r="M763" i="1"/>
  <c r="O763" i="1" s="1"/>
  <c r="P763" i="1" s="1"/>
  <c r="M724" i="1"/>
  <c r="O724" i="1" s="1"/>
  <c r="P724" i="1" s="1"/>
  <c r="M664" i="1"/>
  <c r="O664" i="1" s="1"/>
  <c r="P664" i="1" s="1"/>
  <c r="M694" i="1"/>
  <c r="O694" i="1" s="1"/>
  <c r="P694" i="1" s="1"/>
  <c r="M747" i="1"/>
  <c r="O747" i="1" s="1"/>
  <c r="P747" i="1" s="1"/>
  <c r="M552" i="1"/>
  <c r="O552" i="1" s="1"/>
  <c r="P552" i="1" s="1"/>
  <c r="M800" i="1"/>
  <c r="O800" i="1" s="1"/>
  <c r="P800" i="1" s="1"/>
  <c r="M550" i="1"/>
  <c r="O550" i="1" s="1"/>
  <c r="P550" i="1" s="1"/>
  <c r="M586" i="1"/>
  <c r="O586" i="1" s="1"/>
  <c r="P586" i="1" s="1"/>
  <c r="M527" i="1"/>
  <c r="O527" i="1" s="1"/>
  <c r="P527" i="1" s="1"/>
  <c r="M477" i="1"/>
  <c r="O477" i="1" s="1"/>
  <c r="P477" i="1" s="1"/>
  <c r="M510" i="1"/>
  <c r="O510" i="1" s="1"/>
  <c r="P510" i="1" s="1"/>
  <c r="M483" i="1"/>
  <c r="O483" i="1" s="1"/>
  <c r="P483" i="1" s="1"/>
  <c r="M705" i="1"/>
  <c r="O705" i="1" s="1"/>
  <c r="P705" i="1" s="1"/>
  <c r="M654" i="1"/>
  <c r="O654" i="1" s="1"/>
  <c r="P654" i="1" s="1"/>
  <c r="M707" i="1"/>
  <c r="O707" i="1" s="1"/>
  <c r="P707" i="1" s="1"/>
  <c r="M738" i="1"/>
  <c r="O738" i="1" s="1"/>
  <c r="P738" i="1" s="1"/>
  <c r="M591" i="1"/>
  <c r="O591" i="1" s="1"/>
  <c r="P591" i="1" s="1"/>
  <c r="M515" i="1"/>
  <c r="O515" i="1" s="1"/>
  <c r="P515" i="1" s="1"/>
  <c r="M666" i="1"/>
  <c r="O666" i="1" s="1"/>
  <c r="P666" i="1" s="1"/>
  <c r="M537" i="1"/>
  <c r="O537" i="1" s="1"/>
  <c r="P537" i="1" s="1"/>
  <c r="M597" i="1"/>
  <c r="O597" i="1" s="1"/>
  <c r="P597" i="1" s="1"/>
  <c r="M681" i="1"/>
  <c r="O681" i="1" s="1"/>
  <c r="P681" i="1" s="1"/>
  <c r="M628" i="1"/>
  <c r="O628" i="1" s="1"/>
  <c r="P628" i="1" s="1"/>
  <c r="M598" i="1"/>
  <c r="O598" i="1" s="1"/>
  <c r="P598" i="1" s="1"/>
  <c r="M744" i="1"/>
  <c r="O744" i="1" s="1"/>
  <c r="P744" i="1" s="1"/>
  <c r="M662" i="1"/>
  <c r="O662" i="1" s="1"/>
  <c r="P662" i="1" s="1"/>
  <c r="M714" i="1"/>
  <c r="O714" i="1" s="1"/>
  <c r="P714" i="1" s="1"/>
  <c r="M636" i="1"/>
  <c r="O636" i="1" s="1"/>
  <c r="P636" i="1" s="1"/>
  <c r="M686" i="1"/>
  <c r="O686" i="1" s="1"/>
  <c r="P686" i="1" s="1"/>
  <c r="M688" i="1"/>
  <c r="O688" i="1" s="1"/>
  <c r="P688" i="1" s="1"/>
  <c r="M542" i="1"/>
  <c r="O542" i="1" s="1"/>
  <c r="P542" i="1" s="1"/>
  <c r="M570" i="1"/>
  <c r="O570" i="1" s="1"/>
  <c r="P570" i="1" s="1"/>
  <c r="M661" i="1"/>
  <c r="O661" i="1" s="1"/>
  <c r="P661" i="1" s="1"/>
  <c r="M743" i="1"/>
  <c r="O743" i="1" s="1"/>
  <c r="P743" i="1" s="1"/>
  <c r="M604" i="1"/>
  <c r="O604" i="1" s="1"/>
  <c r="P604" i="1" s="1"/>
  <c r="M521" i="1"/>
  <c r="O521" i="1" s="1"/>
  <c r="P521" i="1" s="1"/>
  <c r="M634" i="1"/>
  <c r="O634" i="1" s="1"/>
  <c r="P634" i="1" s="1"/>
  <c r="M682" i="1"/>
  <c r="O682" i="1" s="1"/>
  <c r="P682" i="1" s="1"/>
  <c r="M576" i="1"/>
  <c r="O576" i="1" s="1"/>
  <c r="P576" i="1" s="1"/>
  <c r="M779" i="1"/>
  <c r="O779" i="1" s="1"/>
  <c r="P779" i="1" s="1"/>
  <c r="M668" i="1"/>
  <c r="O668" i="1" s="1"/>
  <c r="P668" i="1" s="1"/>
  <c r="M717" i="1"/>
  <c r="O717" i="1" s="1"/>
  <c r="P717" i="1" s="1"/>
  <c r="M793" i="1"/>
  <c r="O793" i="1" s="1"/>
  <c r="P793" i="1" s="1"/>
  <c r="M677" i="1"/>
  <c r="O677" i="1" s="1"/>
  <c r="P677" i="1" s="1"/>
  <c r="M641" i="1"/>
  <c r="O641" i="1" s="1"/>
  <c r="P641" i="1" s="1"/>
  <c r="M497" i="1"/>
  <c r="O497" i="1" s="1"/>
  <c r="P497" i="1" s="1"/>
  <c r="M755" i="1"/>
  <c r="O755" i="1" s="1"/>
  <c r="P755" i="1" s="1"/>
  <c r="M842" i="1"/>
  <c r="O842" i="1" s="1"/>
  <c r="P842" i="1" s="1"/>
  <c r="M585" i="1"/>
  <c r="O585" i="1" s="1"/>
  <c r="P585" i="1" s="1"/>
  <c r="M727" i="1"/>
  <c r="O727" i="1" s="1"/>
  <c r="P727" i="1" s="1"/>
  <c r="M805" i="1"/>
  <c r="O805" i="1" s="1"/>
  <c r="P805" i="1" s="1"/>
  <c r="M648" i="1"/>
  <c r="O648" i="1" s="1"/>
  <c r="P648" i="1" s="1"/>
  <c r="M614" i="1"/>
  <c r="O614" i="1" s="1"/>
  <c r="P614" i="1" s="1"/>
  <c r="M702" i="1"/>
  <c r="O702" i="1" s="1"/>
  <c r="P702" i="1" s="1"/>
  <c r="M760" i="1"/>
  <c r="O760" i="1" s="1"/>
  <c r="P760" i="1" s="1"/>
  <c r="M511" i="1"/>
  <c r="O511" i="1" s="1"/>
  <c r="P511" i="1" s="1"/>
  <c r="M685" i="1"/>
  <c r="O685" i="1" s="1"/>
  <c r="P685" i="1" s="1"/>
  <c r="M787" i="1"/>
  <c r="O787" i="1" s="1"/>
  <c r="P787" i="1" s="1"/>
  <c r="M651" i="1"/>
  <c r="O651" i="1" s="1"/>
  <c r="P651" i="1" s="1"/>
  <c r="M458" i="1"/>
  <c r="O458" i="1" s="1"/>
  <c r="P458" i="1" s="1"/>
  <c r="M481" i="1"/>
  <c r="O481" i="1" s="1"/>
  <c r="P481" i="1" s="1"/>
  <c r="M658" i="1"/>
  <c r="O658" i="1" s="1"/>
  <c r="P658" i="1" s="1"/>
  <c r="M768" i="1"/>
  <c r="O768" i="1" s="1"/>
  <c r="P768" i="1" s="1"/>
  <c r="M742" i="1"/>
  <c r="O742" i="1" s="1"/>
  <c r="P742" i="1" s="1"/>
  <c r="M775" i="1"/>
  <c r="O775" i="1" s="1"/>
  <c r="P775" i="1" s="1"/>
  <c r="M571" i="1"/>
  <c r="O571" i="1" s="1"/>
  <c r="P571" i="1" s="1"/>
  <c r="M424" i="1"/>
  <c r="O424" i="1" s="1"/>
  <c r="P424" i="1" s="1"/>
  <c r="M635" i="1"/>
  <c r="O635" i="1" s="1"/>
  <c r="P635" i="1" s="1"/>
  <c r="M771" i="1"/>
  <c r="O771" i="1" s="1"/>
  <c r="P771" i="1" s="1"/>
  <c r="M482" i="1"/>
  <c r="O482" i="1" s="1"/>
  <c r="P482" i="1" s="1"/>
  <c r="M746" i="1"/>
  <c r="O746" i="1" s="1"/>
  <c r="P746" i="1" s="1"/>
  <c r="M667" i="1"/>
  <c r="O667" i="1" s="1"/>
  <c r="P667" i="1" s="1"/>
  <c r="M721" i="1"/>
  <c r="O721" i="1" s="1"/>
  <c r="P721" i="1" s="1"/>
  <c r="M806" i="1"/>
  <c r="O806" i="1" s="1"/>
  <c r="P806" i="1" s="1"/>
  <c r="M778" i="1"/>
  <c r="O778" i="1" s="1"/>
  <c r="P778" i="1" s="1"/>
  <c r="M795" i="1"/>
  <c r="O795" i="1" s="1"/>
  <c r="P795" i="1" s="1"/>
  <c r="M520" i="1"/>
  <c r="O520" i="1" s="1"/>
  <c r="P520" i="1" s="1"/>
  <c r="M642" i="1"/>
  <c r="O642" i="1" s="1"/>
  <c r="P642" i="1" s="1"/>
  <c r="M698" i="1"/>
  <c r="O698" i="1" s="1"/>
  <c r="P698" i="1" s="1"/>
  <c r="M647" i="1"/>
  <c r="O647" i="1" s="1"/>
  <c r="P647" i="1" s="1"/>
  <c r="M613" i="1"/>
  <c r="O613" i="1" s="1"/>
  <c r="P613" i="1" s="1"/>
  <c r="M584" i="1"/>
  <c r="O584" i="1" s="1"/>
  <c r="P584" i="1" s="1"/>
  <c r="M674" i="1"/>
  <c r="O674" i="1" s="1"/>
  <c r="P674" i="1" s="1"/>
  <c r="M754" i="1"/>
  <c r="O754" i="1" s="1"/>
  <c r="P754" i="1" s="1"/>
  <c r="M652" i="1"/>
  <c r="O652" i="1" s="1"/>
  <c r="P652" i="1" s="1"/>
  <c r="M704" i="1"/>
  <c r="O704" i="1" s="1"/>
  <c r="P704" i="1" s="1"/>
  <c r="M532" i="1"/>
  <c r="O532" i="1" s="1"/>
  <c r="P532" i="1" s="1"/>
  <c r="M558" i="1"/>
  <c r="O558" i="1" s="1"/>
  <c r="P558" i="1" s="1"/>
  <c r="M732" i="1"/>
  <c r="O732" i="1" s="1"/>
  <c r="P732" i="1" s="1"/>
  <c r="M762" i="1"/>
  <c r="O762" i="1" s="1"/>
  <c r="P762" i="1" s="1"/>
  <c r="M703" i="1"/>
  <c r="O703" i="1" s="1"/>
  <c r="P703" i="1" s="1"/>
  <c r="M627" i="1"/>
  <c r="O627" i="1" s="1"/>
  <c r="P627" i="1" s="1"/>
  <c r="M657" i="1"/>
  <c r="O657" i="1" s="1"/>
  <c r="P657" i="1" s="1"/>
  <c r="M524" i="1"/>
  <c r="O524" i="1" s="1"/>
  <c r="P524" i="1" s="1"/>
  <c r="M680" i="1"/>
  <c r="O680" i="1" s="1"/>
  <c r="P680" i="1" s="1"/>
  <c r="M624" i="1"/>
  <c r="O624" i="1" s="1"/>
  <c r="P624" i="1" s="1"/>
  <c r="M699" i="1"/>
  <c r="O699" i="1" s="1"/>
  <c r="P699" i="1" s="1"/>
  <c r="M602" i="1"/>
  <c r="O602" i="1" s="1"/>
  <c r="P602" i="1" s="1"/>
  <c r="M825" i="1"/>
  <c r="O825" i="1" s="1"/>
  <c r="P825" i="1" s="1"/>
  <c r="M531" i="1"/>
  <c r="O531" i="1" s="1"/>
  <c r="P531" i="1" s="1"/>
  <c r="M848" i="1"/>
  <c r="O848" i="1" s="1"/>
  <c r="P848" i="1" s="1"/>
  <c r="M922" i="1"/>
  <c r="O922" i="1" s="1"/>
  <c r="P922" i="1" s="1"/>
  <c r="M612" i="1"/>
  <c r="O612" i="1" s="1"/>
  <c r="P612" i="1" s="1"/>
  <c r="M640" i="1"/>
  <c r="O640" i="1" s="1"/>
  <c r="P640" i="1" s="1"/>
  <c r="M777" i="1"/>
  <c r="O777" i="1" s="1"/>
  <c r="P777" i="1" s="1"/>
  <c r="M815" i="1"/>
  <c r="O815" i="1" s="1"/>
  <c r="P815" i="1" s="1"/>
  <c r="M835" i="1"/>
  <c r="O835" i="1" s="1"/>
  <c r="P835" i="1" s="1"/>
  <c r="M700" i="1"/>
  <c r="O700" i="1" s="1"/>
  <c r="P700" i="1" s="1"/>
  <c r="M719" i="1"/>
  <c r="O719" i="1" s="1"/>
  <c r="P719" i="1" s="1"/>
  <c r="M814" i="1"/>
  <c r="O814" i="1" s="1"/>
  <c r="P814" i="1" s="1"/>
  <c r="M751" i="1"/>
  <c r="O751" i="1" s="1"/>
  <c r="P751" i="1" s="1"/>
  <c r="M901" i="1"/>
  <c r="O901" i="1" s="1"/>
  <c r="P901" i="1" s="1"/>
  <c r="M646" i="1"/>
  <c r="O646" i="1" s="1"/>
  <c r="P646" i="1" s="1"/>
  <c r="M673" i="1"/>
  <c r="O673" i="1" s="1"/>
  <c r="P673" i="1" s="1"/>
  <c r="M799" i="1"/>
  <c r="O799" i="1" s="1"/>
  <c r="P799" i="1" s="1"/>
  <c r="M820" i="1"/>
  <c r="O820" i="1" s="1"/>
  <c r="P820" i="1" s="1"/>
  <c r="M551" i="1"/>
  <c r="O551" i="1" s="1"/>
  <c r="P551" i="1" s="1"/>
  <c r="M876" i="1"/>
  <c r="O876" i="1" s="1"/>
  <c r="P876" i="1" s="1"/>
  <c r="M583" i="1"/>
  <c r="O583" i="1" s="1"/>
  <c r="P583" i="1" s="1"/>
  <c r="M753" i="1"/>
  <c r="O753" i="1" s="1"/>
  <c r="P753" i="1" s="1"/>
  <c r="M808" i="1"/>
  <c r="O808" i="1" s="1"/>
  <c r="P808" i="1" s="1"/>
  <c r="M796" i="1"/>
  <c r="O796" i="1" s="1"/>
  <c r="P796" i="1" s="1"/>
  <c r="M650" i="1"/>
  <c r="O650" i="1" s="1"/>
  <c r="P650" i="1" s="1"/>
  <c r="M761" i="1"/>
  <c r="O761" i="1" s="1"/>
  <c r="P761" i="1" s="1"/>
  <c r="M701" i="1"/>
  <c r="O701" i="1" s="1"/>
  <c r="P701" i="1" s="1"/>
  <c r="M626" i="1"/>
  <c r="O626" i="1" s="1"/>
  <c r="P626" i="1" s="1"/>
  <c r="M767" i="1"/>
  <c r="O767" i="1" s="1"/>
  <c r="P767" i="1" s="1"/>
  <c r="M736" i="1"/>
  <c r="O736" i="1" s="1"/>
  <c r="P736" i="1" s="1"/>
  <c r="M765" i="1"/>
  <c r="O765" i="1" s="1"/>
  <c r="P765" i="1" s="1"/>
  <c r="M687" i="1"/>
  <c r="O687" i="1" s="1"/>
  <c r="P687" i="1" s="1"/>
  <c r="M454" i="1"/>
  <c r="O454" i="1" s="1"/>
  <c r="P454" i="1" s="1"/>
  <c r="M873" i="1"/>
  <c r="O873" i="1" s="1"/>
  <c r="P873" i="1" s="1"/>
  <c r="M740" i="1"/>
  <c r="O740" i="1" s="1"/>
  <c r="P740" i="1" s="1"/>
  <c r="M633" i="1"/>
  <c r="O633" i="1" s="1"/>
  <c r="P633" i="1" s="1"/>
  <c r="M741" i="1"/>
  <c r="O741" i="1" s="1"/>
  <c r="P741" i="1" s="1"/>
  <c r="M774" i="1"/>
  <c r="O774" i="1" s="1"/>
  <c r="P774" i="1" s="1"/>
  <c r="M693" i="1"/>
  <c r="O693" i="1" s="1"/>
  <c r="P693" i="1" s="1"/>
  <c r="M607" i="1"/>
  <c r="O607" i="1" s="1"/>
  <c r="P607" i="1" s="1"/>
  <c r="M720" i="1"/>
  <c r="O720" i="1" s="1"/>
  <c r="P720" i="1" s="1"/>
  <c r="M823" i="1"/>
  <c r="O823" i="1" s="1"/>
  <c r="P823" i="1" s="1"/>
  <c r="M840" i="1"/>
  <c r="O840" i="1" s="1"/>
  <c r="P840" i="1" s="1"/>
  <c r="M866" i="1"/>
  <c r="O866" i="1" s="1"/>
  <c r="P866" i="1" s="1"/>
  <c r="M826" i="1"/>
  <c r="O826" i="1" s="1"/>
  <c r="P826" i="1" s="1"/>
  <c r="M726" i="1"/>
  <c r="O726" i="1" s="1"/>
  <c r="P726" i="1" s="1"/>
  <c r="M752" i="1"/>
  <c r="O752" i="1" s="1"/>
  <c r="P752" i="1" s="1"/>
  <c r="M891" i="1"/>
  <c r="O891" i="1" s="1"/>
  <c r="P891" i="1" s="1"/>
  <c r="M797" i="1"/>
  <c r="O797" i="1" s="1"/>
  <c r="P797" i="1" s="1"/>
  <c r="M731" i="1"/>
  <c r="O731" i="1" s="1"/>
  <c r="P731" i="1" s="1"/>
  <c r="M759" i="1"/>
  <c r="O759" i="1" s="1"/>
  <c r="P759" i="1" s="1"/>
  <c r="M678" i="1"/>
  <c r="O678" i="1" s="1"/>
  <c r="P678" i="1" s="1"/>
  <c r="M804" i="1"/>
  <c r="O804" i="1" s="1"/>
  <c r="P804" i="1" s="1"/>
  <c r="M903" i="1"/>
  <c r="O903" i="1" s="1"/>
  <c r="P903" i="1" s="1"/>
  <c r="M766" i="1"/>
  <c r="O766" i="1" s="1"/>
  <c r="P766" i="1" s="1"/>
  <c r="M764" i="1"/>
  <c r="O764" i="1" s="1"/>
  <c r="P764" i="1" s="1"/>
  <c r="M564" i="1"/>
  <c r="O564" i="1" s="1"/>
  <c r="P564" i="1" s="1"/>
  <c r="M735" i="1"/>
  <c r="O735" i="1" s="1"/>
  <c r="P735" i="1" s="1"/>
  <c r="M869" i="1"/>
  <c r="O869" i="1" s="1"/>
  <c r="P869" i="1" s="1"/>
  <c r="M656" i="1"/>
  <c r="O656" i="1" s="1"/>
  <c r="P656" i="1" s="1"/>
  <c r="M709" i="1"/>
  <c r="O709" i="1" s="1"/>
  <c r="P709" i="1" s="1"/>
  <c r="M809" i="1"/>
  <c r="O809" i="1" s="1"/>
  <c r="P809" i="1" s="1"/>
  <c r="M734" i="1"/>
  <c r="O734" i="1" s="1"/>
  <c r="P734" i="1" s="1"/>
  <c r="M854" i="1"/>
  <c r="O854" i="1" s="1"/>
  <c r="P854" i="1" s="1"/>
  <c r="M807" i="1"/>
  <c r="O807" i="1" s="1"/>
  <c r="P807" i="1" s="1"/>
  <c r="M855" i="1"/>
  <c r="O855" i="1" s="1"/>
  <c r="P855" i="1" s="1"/>
  <c r="M660" i="1"/>
  <c r="O660" i="1" s="1"/>
  <c r="P660" i="1" s="1"/>
  <c r="M739" i="1"/>
  <c r="O739" i="1" s="1"/>
  <c r="P739" i="1" s="1"/>
  <c r="M776" i="1"/>
  <c r="O776" i="1" s="1"/>
  <c r="P776" i="1" s="1"/>
  <c r="M690" i="1"/>
  <c r="O690" i="1" s="1"/>
  <c r="P690" i="1" s="1"/>
  <c r="M813" i="1"/>
  <c r="O813" i="1" s="1"/>
  <c r="P813" i="1" s="1"/>
  <c r="M718" i="1"/>
  <c r="O718" i="1" s="1"/>
  <c r="P718" i="1" s="1"/>
  <c r="M692" i="1"/>
  <c r="O692" i="1" s="1"/>
  <c r="P692" i="1" s="1"/>
  <c r="M695" i="1"/>
  <c r="O695" i="1" s="1"/>
  <c r="P695" i="1" s="1"/>
  <c r="M812" i="1"/>
  <c r="O812" i="1" s="1"/>
  <c r="P812" i="1" s="1"/>
  <c r="M852" i="1"/>
  <c r="O852" i="1" s="1"/>
  <c r="P852" i="1" s="1"/>
  <c r="M745" i="1"/>
  <c r="O745" i="1" s="1"/>
  <c r="P745" i="1" s="1"/>
  <c r="M691" i="1"/>
  <c r="O691" i="1" s="1"/>
  <c r="P691" i="1" s="1"/>
  <c r="M811" i="1"/>
  <c r="O811" i="1" s="1"/>
  <c r="P811" i="1" s="1"/>
  <c r="M672" i="1"/>
  <c r="O672" i="1" s="1"/>
  <c r="P672" i="1" s="1"/>
  <c r="M875" i="1"/>
  <c r="O875" i="1" s="1"/>
  <c r="P875" i="1" s="1"/>
  <c r="M782" i="1"/>
  <c r="O782" i="1" s="1"/>
  <c r="P782" i="1" s="1"/>
  <c r="M725" i="1"/>
  <c r="O725" i="1" s="1"/>
  <c r="P725" i="1" s="1"/>
  <c r="M862" i="1"/>
  <c r="O862" i="1" s="1"/>
  <c r="P862" i="1" s="1"/>
  <c r="M819" i="1"/>
  <c r="O819" i="1" s="1"/>
  <c r="P819" i="1" s="1"/>
  <c r="M824" i="1"/>
  <c r="O824" i="1" s="1"/>
  <c r="P824" i="1" s="1"/>
  <c r="M526" i="1"/>
  <c r="O526" i="1" s="1"/>
  <c r="P526" i="1" s="1"/>
  <c r="M845" i="1"/>
  <c r="O845" i="1" s="1"/>
  <c r="P845" i="1" s="1"/>
  <c r="M864" i="1"/>
  <c r="O864" i="1" s="1"/>
  <c r="P864" i="1" s="1"/>
  <c r="M870" i="1"/>
  <c r="O870" i="1" s="1"/>
  <c r="P870" i="1" s="1"/>
  <c r="M964" i="1"/>
  <c r="O964" i="1" s="1"/>
  <c r="P964" i="1" s="1"/>
  <c r="M789" i="1"/>
  <c r="O789" i="1" s="1"/>
  <c r="P789" i="1" s="1"/>
  <c r="M844" i="1"/>
  <c r="O844" i="1" s="1"/>
  <c r="P844" i="1" s="1"/>
  <c r="M791" i="1"/>
  <c r="O791" i="1" s="1"/>
  <c r="P791" i="1" s="1"/>
  <c r="M713" i="1"/>
  <c r="O713" i="1" s="1"/>
  <c r="P713" i="1" s="1"/>
  <c r="M921" i="1"/>
  <c r="O921" i="1" s="1"/>
  <c r="P921" i="1" s="1"/>
  <c r="M773" i="1"/>
  <c r="O773" i="1" s="1"/>
  <c r="P773" i="1" s="1"/>
  <c r="M712" i="1"/>
  <c r="O712" i="1" s="1"/>
  <c r="P712" i="1" s="1"/>
  <c r="M722" i="1"/>
  <c r="O722" i="1" s="1"/>
  <c r="P722" i="1" s="1"/>
  <c r="M822" i="1"/>
  <c r="O822" i="1" s="1"/>
  <c r="P822" i="1" s="1"/>
  <c r="M897" i="1"/>
  <c r="O897" i="1" s="1"/>
  <c r="P897" i="1" s="1"/>
  <c r="M887" i="1"/>
  <c r="O887" i="1" s="1"/>
  <c r="P887" i="1" s="1"/>
  <c r="M546" i="1"/>
  <c r="O546" i="1" s="1"/>
  <c r="P546" i="1" s="1"/>
  <c r="M861" i="1"/>
  <c r="O861" i="1" s="1"/>
  <c r="P861" i="1" s="1"/>
  <c r="M749" i="1"/>
  <c r="O749" i="1" s="1"/>
  <c r="P749" i="1" s="1"/>
  <c r="M798" i="1"/>
  <c r="O798" i="1" s="1"/>
  <c r="P798" i="1" s="1"/>
  <c r="M676" i="1"/>
  <c r="O676" i="1" s="1"/>
  <c r="P676" i="1" s="1"/>
  <c r="M888" i="1"/>
  <c r="O888" i="1" s="1"/>
  <c r="P888" i="1" s="1"/>
  <c r="M781" i="1"/>
  <c r="O781" i="1" s="1"/>
  <c r="P781" i="1" s="1"/>
  <c r="M833" i="1"/>
  <c r="O833" i="1" s="1"/>
  <c r="P833" i="1" s="1"/>
  <c r="M665" i="1"/>
  <c r="O665" i="1" s="1"/>
  <c r="P665" i="1" s="1"/>
  <c r="M818" i="1"/>
  <c r="O818" i="1" s="1"/>
  <c r="P818" i="1" s="1"/>
  <c r="M899" i="1"/>
  <c r="O899" i="1" s="1"/>
  <c r="P899" i="1" s="1"/>
  <c r="M786" i="1"/>
  <c r="O786" i="1" s="1"/>
  <c r="P786" i="1" s="1"/>
  <c r="M916" i="1"/>
  <c r="O916" i="1" s="1"/>
  <c r="P916" i="1" s="1"/>
  <c r="M758" i="1"/>
  <c r="O758" i="1" s="1"/>
  <c r="P758" i="1" s="1"/>
  <c r="M729" i="1"/>
  <c r="O729" i="1" s="1"/>
  <c r="P729" i="1" s="1"/>
  <c r="M801" i="1"/>
  <c r="O801" i="1" s="1"/>
  <c r="P801" i="1" s="1"/>
  <c r="M886" i="1"/>
  <c r="O886" i="1" s="1"/>
  <c r="P886" i="1" s="1"/>
  <c r="M728" i="1"/>
  <c r="O728" i="1" s="1"/>
  <c r="P728" i="1" s="1"/>
  <c r="M803" i="1"/>
  <c r="O803" i="1" s="1"/>
  <c r="P803" i="1" s="1"/>
  <c r="M619" i="1"/>
  <c r="O619" i="1" s="1"/>
  <c r="P619" i="1" s="1"/>
  <c r="M784" i="1"/>
  <c r="O784" i="1" s="1"/>
  <c r="P784" i="1" s="1"/>
  <c r="M772" i="1"/>
  <c r="O772" i="1" s="1"/>
  <c r="P772" i="1" s="1"/>
  <c r="M785" i="1"/>
  <c r="O785" i="1" s="1"/>
  <c r="P785" i="1" s="1"/>
  <c r="M655" i="1"/>
  <c r="O655" i="1" s="1"/>
  <c r="P655" i="1" s="1"/>
  <c r="M863" i="1"/>
  <c r="O863" i="1" s="1"/>
  <c r="P863" i="1" s="1"/>
  <c r="M625" i="1"/>
  <c r="O625" i="1" s="1"/>
  <c r="P625" i="1" s="1"/>
  <c r="M788" i="1"/>
  <c r="O788" i="1" s="1"/>
  <c r="P788" i="1" s="1"/>
  <c r="M895" i="1"/>
  <c r="O895" i="1" s="1"/>
  <c r="P895" i="1" s="1"/>
  <c r="M830" i="1"/>
  <c r="O830" i="1" s="1"/>
  <c r="P830" i="1" s="1"/>
  <c r="M847" i="1"/>
  <c r="O847" i="1" s="1"/>
  <c r="P847" i="1" s="1"/>
  <c r="M632" i="1"/>
  <c r="O632" i="1" s="1"/>
  <c r="P632" i="1" s="1"/>
  <c r="M926" i="1"/>
  <c r="O926" i="1" s="1"/>
  <c r="P926" i="1" s="1"/>
  <c r="M853" i="1"/>
  <c r="O853" i="1" s="1"/>
  <c r="P853" i="1" s="1"/>
  <c r="M890" i="1"/>
  <c r="O890" i="1" s="1"/>
  <c r="P890" i="1" s="1"/>
  <c r="M834" i="1"/>
  <c r="O834" i="1" s="1"/>
  <c r="P834" i="1" s="1"/>
  <c r="M850" i="1"/>
  <c r="O850" i="1" s="1"/>
  <c r="P850" i="1" s="1"/>
  <c r="M898" i="1"/>
  <c r="O898" i="1" s="1"/>
  <c r="P898" i="1" s="1"/>
  <c r="M860" i="1"/>
  <c r="O860" i="1" s="1"/>
  <c r="P860" i="1" s="1"/>
  <c r="M697" i="1"/>
  <c r="O697" i="1" s="1"/>
  <c r="P697" i="1" s="1"/>
  <c r="M874" i="1"/>
  <c r="O874" i="1" s="1"/>
  <c r="P874" i="1" s="1"/>
  <c r="M839" i="1"/>
  <c r="O839" i="1" s="1"/>
  <c r="P839" i="1" s="1"/>
  <c r="M904" i="1"/>
  <c r="O904" i="1" s="1"/>
  <c r="P904" i="1" s="1"/>
  <c r="M730" i="1"/>
  <c r="O730" i="1" s="1"/>
  <c r="P730" i="1" s="1"/>
  <c r="M941" i="1"/>
  <c r="O941" i="1" s="1"/>
  <c r="P941" i="1" s="1"/>
  <c r="M733" i="1"/>
  <c r="O733" i="1" s="1"/>
  <c r="P733" i="1" s="1"/>
  <c r="M821" i="1"/>
  <c r="O821" i="1" s="1"/>
  <c r="P821" i="1" s="1"/>
  <c r="M790" i="1"/>
  <c r="O790" i="1" s="1"/>
  <c r="P790" i="1" s="1"/>
  <c r="M935" i="1"/>
  <c r="O935" i="1" s="1"/>
  <c r="P935" i="1" s="1"/>
  <c r="M879" i="1"/>
  <c r="O879" i="1" s="1"/>
  <c r="P879" i="1" s="1"/>
  <c r="M918" i="1"/>
  <c r="O918" i="1" s="1"/>
  <c r="P918" i="1" s="1"/>
  <c r="M896" i="1"/>
  <c r="O896" i="1" s="1"/>
  <c r="P896" i="1" s="1"/>
  <c r="M750" i="1"/>
  <c r="O750" i="1" s="1"/>
  <c r="P750" i="1" s="1"/>
  <c r="M882" i="1"/>
  <c r="O882" i="1" s="1"/>
  <c r="P882" i="1" s="1"/>
  <c r="M780" i="1"/>
  <c r="O780" i="1" s="1"/>
  <c r="P780" i="1" s="1"/>
  <c r="M838" i="1"/>
  <c r="O838" i="1" s="1"/>
  <c r="P838" i="1" s="1"/>
  <c r="M924" i="1"/>
  <c r="O924" i="1" s="1"/>
  <c r="P924" i="1" s="1"/>
  <c r="M923" i="1"/>
  <c r="O923" i="1" s="1"/>
  <c r="P923" i="1" s="1"/>
  <c r="M910" i="1"/>
  <c r="O910" i="1" s="1"/>
  <c r="P910" i="1" s="1"/>
  <c r="M671" i="1"/>
  <c r="O671" i="1" s="1"/>
  <c r="P671" i="1" s="1"/>
  <c r="M915" i="1"/>
  <c r="O915" i="1" s="1"/>
  <c r="P915" i="1" s="1"/>
  <c r="M943" i="1"/>
  <c r="O943" i="1" s="1"/>
  <c r="P943" i="1" s="1"/>
  <c r="M828" i="1"/>
  <c r="O828" i="1" s="1"/>
  <c r="P828" i="1" s="1"/>
  <c r="M872" i="1"/>
  <c r="O872" i="1" s="1"/>
  <c r="P872" i="1" s="1"/>
  <c r="M907" i="1"/>
  <c r="O907" i="1" s="1"/>
  <c r="P907" i="1" s="1"/>
  <c r="M892" i="1"/>
  <c r="O892" i="1" s="1"/>
  <c r="P892" i="1" s="1"/>
  <c r="M794" i="1"/>
  <c r="O794" i="1" s="1"/>
  <c r="P794" i="1" s="1"/>
  <c r="M893" i="1"/>
  <c r="O893" i="1" s="1"/>
  <c r="P893" i="1" s="1"/>
  <c r="M927" i="1"/>
  <c r="O927" i="1" s="1"/>
  <c r="P927" i="1" s="1"/>
  <c r="M541" i="1"/>
  <c r="O541" i="1" s="1"/>
  <c r="P541" i="1" s="1"/>
  <c r="M909" i="1"/>
  <c r="O909" i="1" s="1"/>
  <c r="P909" i="1" s="1"/>
  <c r="M908" i="1"/>
  <c r="O908" i="1" s="1"/>
  <c r="P908" i="1" s="1"/>
  <c r="M849" i="1"/>
  <c r="O849" i="1" s="1"/>
  <c r="P849" i="1" s="1"/>
  <c r="M877" i="1"/>
  <c r="O877" i="1" s="1"/>
  <c r="P877" i="1" s="1"/>
  <c r="M939" i="1"/>
  <c r="O939" i="1" s="1"/>
  <c r="P939" i="1" s="1"/>
  <c r="M936" i="1"/>
  <c r="O936" i="1" s="1"/>
  <c r="P936" i="1" s="1"/>
  <c r="M859" i="1"/>
  <c r="O859" i="1" s="1"/>
  <c r="P859" i="1" s="1"/>
  <c r="M881" i="1"/>
  <c r="O881" i="1" s="1"/>
  <c r="P881" i="1" s="1"/>
  <c r="M883" i="1"/>
  <c r="O883" i="1" s="1"/>
  <c r="P883" i="1" s="1"/>
  <c r="M783" i="1"/>
  <c r="O783" i="1" s="1"/>
  <c r="P783" i="1" s="1"/>
  <c r="M711" i="1"/>
  <c r="O711" i="1" s="1"/>
  <c r="P711" i="1" s="1"/>
  <c r="M919" i="1"/>
  <c r="O919" i="1" s="1"/>
  <c r="P919" i="1" s="1"/>
  <c r="M957" i="1"/>
  <c r="O957" i="1" s="1"/>
  <c r="P957" i="1" s="1"/>
  <c r="M878" i="1"/>
  <c r="O878" i="1" s="1"/>
  <c r="P878" i="1" s="1"/>
  <c r="M829" i="1"/>
  <c r="O829" i="1" s="1"/>
  <c r="P829" i="1" s="1"/>
  <c r="M846" i="1"/>
  <c r="O846" i="1" s="1"/>
  <c r="P846" i="1" s="1"/>
  <c r="M948" i="1"/>
  <c r="O948" i="1" s="1"/>
  <c r="P948" i="1" s="1"/>
  <c r="M958" i="1"/>
  <c r="O958" i="1" s="1"/>
  <c r="P958" i="1" s="1"/>
  <c r="M925" i="1"/>
  <c r="O925" i="1" s="1"/>
  <c r="P925" i="1" s="1"/>
  <c r="M810" i="1"/>
  <c r="O810" i="1" s="1"/>
  <c r="P810" i="1" s="1"/>
  <c r="M851" i="1"/>
  <c r="O851" i="1" s="1"/>
  <c r="P851" i="1" s="1"/>
  <c r="M858" i="1"/>
  <c r="O858" i="1" s="1"/>
  <c r="P858" i="1" s="1"/>
  <c r="M880" i="1"/>
  <c r="O880" i="1" s="1"/>
  <c r="P880" i="1" s="1"/>
  <c r="M914" i="1"/>
  <c r="O914" i="1" s="1"/>
  <c r="P914" i="1" s="1"/>
  <c r="M982" i="1"/>
  <c r="O982" i="1" s="1"/>
  <c r="P982" i="1" s="1"/>
  <c r="M931" i="1"/>
  <c r="O931" i="1" s="1"/>
  <c r="P931" i="1" s="1"/>
  <c r="M802" i="1"/>
  <c r="O802" i="1" s="1"/>
  <c r="P802" i="1" s="1"/>
  <c r="M885" i="1"/>
  <c r="O885" i="1" s="1"/>
  <c r="P885" i="1" s="1"/>
  <c r="M884" i="1"/>
  <c r="O884" i="1" s="1"/>
  <c r="P884" i="1" s="1"/>
  <c r="M843" i="1"/>
  <c r="O843" i="1" s="1"/>
  <c r="P843" i="1" s="1"/>
  <c r="M952" i="1"/>
  <c r="O952" i="1" s="1"/>
  <c r="P952" i="1" s="1"/>
  <c r="M868" i="1"/>
  <c r="O868" i="1" s="1"/>
  <c r="P868" i="1" s="1"/>
  <c r="M867" i="1"/>
  <c r="O867" i="1" s="1"/>
  <c r="P867" i="1" s="1"/>
  <c r="M905" i="1"/>
  <c r="O905" i="1" s="1"/>
  <c r="P905" i="1" s="1"/>
  <c r="M950" i="1"/>
  <c r="O950" i="1" s="1"/>
  <c r="P950" i="1" s="1"/>
  <c r="M871" i="1"/>
  <c r="O871" i="1" s="1"/>
  <c r="P871" i="1" s="1"/>
  <c r="M894" i="1"/>
  <c r="O894" i="1" s="1"/>
  <c r="P894" i="1" s="1"/>
  <c r="M953" i="1"/>
  <c r="O953" i="1" s="1"/>
  <c r="P953" i="1" s="1"/>
  <c r="M932" i="1"/>
  <c r="O932" i="1" s="1"/>
  <c r="P932" i="1" s="1"/>
  <c r="M912" i="1"/>
  <c r="O912" i="1" s="1"/>
  <c r="P912" i="1" s="1"/>
  <c r="M857" i="1"/>
  <c r="O857" i="1" s="1"/>
  <c r="P857" i="1" s="1"/>
  <c r="M962" i="1"/>
  <c r="O962" i="1" s="1"/>
  <c r="P962" i="1" s="1"/>
  <c r="M940" i="1"/>
  <c r="O940" i="1" s="1"/>
  <c r="P940" i="1" s="1"/>
  <c r="M956" i="1"/>
  <c r="O956" i="1" s="1"/>
  <c r="P956" i="1" s="1"/>
  <c r="M929" i="1"/>
  <c r="O929" i="1" s="1"/>
  <c r="P929" i="1" s="1"/>
  <c r="M670" i="1"/>
  <c r="O670" i="1" s="1"/>
  <c r="P670" i="1" s="1"/>
  <c r="M757" i="1"/>
  <c r="O757" i="1" s="1"/>
  <c r="P757" i="1" s="1"/>
  <c r="M951" i="1"/>
  <c r="O951" i="1" s="1"/>
  <c r="P951" i="1" s="1"/>
  <c r="M1022" i="1"/>
  <c r="O1022" i="1" s="1"/>
  <c r="P1022" i="1" s="1"/>
  <c r="M987" i="1"/>
  <c r="O987" i="1" s="1"/>
  <c r="P987" i="1" s="1"/>
  <c r="M942" i="1"/>
  <c r="O942" i="1" s="1"/>
  <c r="P942" i="1" s="1"/>
  <c r="M947" i="1"/>
  <c r="O947" i="1" s="1"/>
  <c r="P947" i="1" s="1"/>
  <c r="M946" i="1"/>
  <c r="O946" i="1" s="1"/>
  <c r="P946" i="1" s="1"/>
  <c r="M961" i="1"/>
  <c r="O961" i="1" s="1"/>
  <c r="P961" i="1" s="1"/>
  <c r="M911" i="1"/>
  <c r="O911" i="1" s="1"/>
  <c r="P911" i="1" s="1"/>
  <c r="M983" i="1"/>
  <c r="O983" i="1" s="1"/>
  <c r="P983" i="1" s="1"/>
  <c r="M928" i="1"/>
  <c r="O928" i="1" s="1"/>
  <c r="P928" i="1" s="1"/>
  <c r="M971" i="1"/>
  <c r="O971" i="1" s="1"/>
  <c r="P971" i="1" s="1"/>
  <c r="M988" i="1"/>
  <c r="O988" i="1" s="1"/>
  <c r="P988" i="1" s="1"/>
  <c r="M967" i="1"/>
  <c r="O967" i="1" s="1"/>
  <c r="P967" i="1" s="1"/>
  <c r="M959" i="1"/>
  <c r="O959" i="1" s="1"/>
  <c r="P959" i="1" s="1"/>
  <c r="M1015" i="1"/>
  <c r="O1015" i="1" s="1"/>
  <c r="P1015" i="1" s="1"/>
  <c r="M934" i="1"/>
  <c r="O934" i="1" s="1"/>
  <c r="P934" i="1" s="1"/>
  <c r="M920" i="1"/>
  <c r="O920" i="1" s="1"/>
  <c r="P920" i="1" s="1"/>
  <c r="M945" i="1"/>
  <c r="O945" i="1" s="1"/>
  <c r="P945" i="1" s="1"/>
  <c r="M944" i="1"/>
  <c r="O944" i="1" s="1"/>
  <c r="P944" i="1" s="1"/>
  <c r="M973" i="1"/>
  <c r="O973" i="1" s="1"/>
  <c r="P973" i="1" s="1"/>
  <c r="M968" i="1"/>
  <c r="O968" i="1" s="1"/>
  <c r="P968" i="1" s="1"/>
  <c r="M984" i="1"/>
  <c r="O984" i="1" s="1"/>
  <c r="P984" i="1" s="1"/>
  <c r="M1001" i="1"/>
  <c r="O1001" i="1" s="1"/>
  <c r="P1001" i="1" s="1"/>
  <c r="M906" i="1"/>
  <c r="O906" i="1" s="1"/>
  <c r="P906" i="1" s="1"/>
  <c r="M949" i="1"/>
  <c r="O949" i="1" s="1"/>
  <c r="P949" i="1" s="1"/>
  <c r="M996" i="1"/>
  <c r="O996" i="1" s="1"/>
  <c r="P996" i="1" s="1"/>
  <c r="M970" i="1"/>
  <c r="O970" i="1" s="1"/>
  <c r="P970" i="1" s="1"/>
  <c r="M975" i="1"/>
  <c r="O975" i="1" s="1"/>
  <c r="P975" i="1" s="1"/>
  <c r="M995" i="1"/>
  <c r="O995" i="1" s="1"/>
  <c r="P995" i="1" s="1"/>
  <c r="M1006" i="1"/>
  <c r="O1006" i="1" s="1"/>
  <c r="P1006" i="1" s="1"/>
  <c r="M954" i="1"/>
  <c r="O954" i="1" s="1"/>
  <c r="P954" i="1" s="1"/>
  <c r="M841" i="1"/>
  <c r="O841" i="1" s="1"/>
  <c r="P841" i="1" s="1"/>
  <c r="M1013" i="1"/>
  <c r="O1013" i="1" s="1"/>
  <c r="P1013" i="1" s="1"/>
  <c r="M1004" i="1"/>
  <c r="O1004" i="1" s="1"/>
  <c r="P1004" i="1" s="1"/>
  <c r="M999" i="1"/>
  <c r="O999" i="1" s="1"/>
  <c r="P999" i="1" s="1"/>
  <c r="M1034" i="1"/>
  <c r="O1034" i="1" s="1"/>
  <c r="P1034" i="1" s="1"/>
  <c r="M978" i="1"/>
  <c r="O978" i="1" s="1"/>
  <c r="P978" i="1" s="1"/>
  <c r="M955" i="1"/>
  <c r="O955" i="1" s="1"/>
  <c r="P955" i="1" s="1"/>
  <c r="M902" i="1"/>
  <c r="O902" i="1" s="1"/>
  <c r="P902" i="1" s="1"/>
  <c r="M900" i="1"/>
  <c r="O900" i="1" s="1"/>
  <c r="P900" i="1" s="1"/>
  <c r="M1021" i="1"/>
  <c r="O1021" i="1" s="1"/>
  <c r="P1021" i="1" s="1"/>
  <c r="M1033" i="1"/>
  <c r="O1033" i="1" s="1"/>
  <c r="P1033" i="1" s="1"/>
  <c r="M981" i="1"/>
  <c r="O981" i="1" s="1"/>
  <c r="P981" i="1" s="1"/>
  <c r="M827" i="1"/>
  <c r="O827" i="1" s="1"/>
  <c r="P827" i="1" s="1"/>
  <c r="M1036" i="1"/>
  <c r="O1036" i="1" s="1"/>
  <c r="P1036" i="1" s="1"/>
  <c r="M960" i="1"/>
  <c r="O960" i="1" s="1"/>
  <c r="P960" i="1" s="1"/>
  <c r="M1044" i="1"/>
  <c r="O1044" i="1" s="1"/>
  <c r="P1044" i="1" s="1"/>
  <c r="M938" i="1"/>
  <c r="O938" i="1" s="1"/>
  <c r="P938" i="1" s="1"/>
  <c r="M1007" i="1"/>
  <c r="O1007" i="1" s="1"/>
  <c r="P1007" i="1" s="1"/>
  <c r="M1023" i="1"/>
  <c r="O1023" i="1" s="1"/>
  <c r="P1023" i="1" s="1"/>
  <c r="M1019" i="1"/>
  <c r="O1019" i="1" s="1"/>
  <c r="P1019" i="1" s="1"/>
  <c r="M1028" i="1"/>
  <c r="O1028" i="1" s="1"/>
  <c r="P1028" i="1" s="1"/>
  <c r="M979" i="1"/>
  <c r="O979" i="1" s="1"/>
  <c r="P979" i="1" s="1"/>
  <c r="M986" i="1"/>
  <c r="O986" i="1" s="1"/>
  <c r="P986" i="1" s="1"/>
  <c r="M930" i="1"/>
  <c r="O930" i="1" s="1"/>
  <c r="P930" i="1" s="1"/>
  <c r="M1030" i="1"/>
  <c r="O1030" i="1" s="1"/>
  <c r="P1030" i="1" s="1"/>
  <c r="M980" i="1"/>
  <c r="O980" i="1" s="1"/>
  <c r="P980" i="1" s="1"/>
  <c r="M1008" i="1"/>
  <c r="O1008" i="1" s="1"/>
  <c r="P1008" i="1" s="1"/>
  <c r="M992" i="1"/>
  <c r="O992" i="1" s="1"/>
  <c r="P992" i="1" s="1"/>
  <c r="M1064" i="1"/>
  <c r="O1064" i="1" s="1"/>
  <c r="P1064" i="1" s="1"/>
  <c r="M1032" i="1"/>
  <c r="O1032" i="1" s="1"/>
  <c r="P1032" i="1" s="1"/>
  <c r="M972" i="1"/>
  <c r="O972" i="1" s="1"/>
  <c r="P972" i="1" s="1"/>
  <c r="M993" i="1"/>
  <c r="O993" i="1" s="1"/>
  <c r="P993" i="1" s="1"/>
  <c r="M1043" i="1"/>
  <c r="O1043" i="1" s="1"/>
  <c r="P1043" i="1" s="1"/>
  <c r="M1056" i="1"/>
  <c r="O1056" i="1" s="1"/>
  <c r="P1056" i="1" s="1"/>
  <c r="M1079" i="1"/>
  <c r="O1079" i="1" s="1"/>
  <c r="P1079" i="1" s="1"/>
  <c r="M1101" i="1"/>
  <c r="O1101" i="1" s="1"/>
  <c r="P1101" i="1" s="1"/>
  <c r="M965" i="1"/>
  <c r="O965" i="1" s="1"/>
  <c r="P965" i="1" s="1"/>
  <c r="M1075" i="1"/>
  <c r="O1075" i="1" s="1"/>
  <c r="P1075" i="1" s="1"/>
  <c r="M998" i="1"/>
  <c r="O998" i="1" s="1"/>
  <c r="P998" i="1" s="1"/>
  <c r="M1024" i="1"/>
  <c r="O1024" i="1" s="1"/>
  <c r="P1024" i="1" s="1"/>
  <c r="M1053" i="1"/>
  <c r="O1053" i="1" s="1"/>
  <c r="P1053" i="1" s="1"/>
  <c r="M1031" i="1"/>
  <c r="O1031" i="1" s="1"/>
  <c r="P1031" i="1" s="1"/>
  <c r="M1011" i="1"/>
  <c r="O1011" i="1" s="1"/>
  <c r="P1011" i="1" s="1"/>
  <c r="M1063" i="1"/>
  <c r="O1063" i="1" s="1"/>
  <c r="P1063" i="1" s="1"/>
  <c r="M1003" i="1"/>
  <c r="O1003" i="1" s="1"/>
  <c r="P1003" i="1" s="1"/>
  <c r="M1046" i="1"/>
  <c r="O1046" i="1" s="1"/>
  <c r="P1046" i="1" s="1"/>
  <c r="M985" i="1"/>
  <c r="O985" i="1" s="1"/>
  <c r="P985" i="1" s="1"/>
  <c r="M1027" i="1"/>
  <c r="O1027" i="1" s="1"/>
  <c r="P1027" i="1" s="1"/>
  <c r="M1047" i="1"/>
  <c r="O1047" i="1" s="1"/>
  <c r="P1047" i="1" s="1"/>
  <c r="M1055" i="1"/>
  <c r="O1055" i="1" s="1"/>
  <c r="P1055" i="1" s="1"/>
  <c r="M1012" i="1"/>
  <c r="O1012" i="1" s="1"/>
  <c r="P1012" i="1" s="1"/>
  <c r="M1050" i="1"/>
  <c r="O1050" i="1" s="1"/>
  <c r="P1050" i="1" s="1"/>
  <c r="M1037" i="1"/>
  <c r="O1037" i="1" s="1"/>
  <c r="P1037" i="1" s="1"/>
  <c r="M1039" i="1"/>
  <c r="O1039" i="1" s="1"/>
  <c r="P1039" i="1" s="1"/>
  <c r="M990" i="1"/>
  <c r="O990" i="1" s="1"/>
  <c r="P990" i="1" s="1"/>
  <c r="M1042" i="1"/>
  <c r="O1042" i="1" s="1"/>
  <c r="P1042" i="1" s="1"/>
  <c r="M1014" i="1"/>
  <c r="O1014" i="1" s="1"/>
  <c r="P1014" i="1" s="1"/>
  <c r="M1035" i="1"/>
  <c r="O1035" i="1" s="1"/>
  <c r="P1035" i="1" s="1"/>
  <c r="M1017" i="1"/>
  <c r="O1017" i="1" s="1"/>
  <c r="P1017" i="1" s="1"/>
  <c r="M989" i="1"/>
  <c r="O989" i="1" s="1"/>
  <c r="P989" i="1" s="1"/>
  <c r="M1040" i="1"/>
  <c r="O1040" i="1" s="1"/>
  <c r="P1040" i="1" s="1"/>
  <c r="M977" i="1"/>
  <c r="O977" i="1" s="1"/>
  <c r="P977" i="1" s="1"/>
  <c r="M1026" i="1"/>
  <c r="O1026" i="1" s="1"/>
  <c r="P1026" i="1" s="1"/>
  <c r="M1104" i="1"/>
  <c r="O1104" i="1" s="1"/>
  <c r="P1104" i="1" s="1"/>
  <c r="M1049" i="1"/>
  <c r="O1049" i="1" s="1"/>
  <c r="P1049" i="1" s="1"/>
  <c r="M1002" i="1"/>
  <c r="O1002" i="1" s="1"/>
  <c r="P1002" i="1" s="1"/>
  <c r="M1084" i="1"/>
  <c r="O1084" i="1" s="1"/>
  <c r="P1084" i="1" s="1"/>
  <c r="M1062" i="1"/>
  <c r="O1062" i="1" s="1"/>
  <c r="P1062" i="1" s="1"/>
  <c r="M1000" i="1"/>
  <c r="O1000" i="1" s="1"/>
  <c r="P1000" i="1" s="1"/>
  <c r="M1124" i="1"/>
  <c r="O1124" i="1" s="1"/>
  <c r="P1124" i="1" s="1"/>
  <c r="M1070" i="1"/>
  <c r="O1070" i="1" s="1"/>
  <c r="P1070" i="1" s="1"/>
  <c r="M1018" i="1"/>
  <c r="O1018" i="1" s="1"/>
  <c r="P1018" i="1" s="1"/>
  <c r="M976" i="1"/>
  <c r="O976" i="1" s="1"/>
  <c r="P976" i="1" s="1"/>
  <c r="M1054" i="1"/>
  <c r="O1054" i="1" s="1"/>
  <c r="P1054" i="1" s="1"/>
  <c r="M1069" i="1"/>
  <c r="O1069" i="1" s="1"/>
  <c r="P1069" i="1" s="1"/>
  <c r="M1100" i="1"/>
  <c r="O1100" i="1" s="1"/>
  <c r="P1100" i="1" s="1"/>
  <c r="M1060" i="1"/>
  <c r="O1060" i="1" s="1"/>
  <c r="P1060" i="1" s="1"/>
  <c r="M1068" i="1"/>
  <c r="O1068" i="1" s="1"/>
  <c r="P1068" i="1" s="1"/>
  <c r="M1038" i="1"/>
  <c r="O1038" i="1" s="1"/>
  <c r="P1038" i="1" s="1"/>
  <c r="M1057" i="1"/>
  <c r="O1057" i="1" s="1"/>
  <c r="P1057" i="1" s="1"/>
  <c r="M1105" i="1"/>
  <c r="O1105" i="1" s="1"/>
  <c r="P1105" i="1" s="1"/>
  <c r="M994" i="1"/>
  <c r="O994" i="1" s="1"/>
  <c r="P994" i="1" s="1"/>
  <c r="M1051" i="1"/>
  <c r="O1051" i="1" s="1"/>
  <c r="P1051" i="1" s="1"/>
  <c r="M974" i="1"/>
  <c r="O974" i="1" s="1"/>
  <c r="P974" i="1" s="1"/>
  <c r="M1093" i="1"/>
  <c r="O1093" i="1" s="1"/>
  <c r="P1093" i="1" s="1"/>
  <c r="M1094" i="1"/>
  <c r="O1094" i="1" s="1"/>
  <c r="P1094" i="1" s="1"/>
  <c r="M1010" i="1"/>
  <c r="O1010" i="1" s="1"/>
  <c r="P1010" i="1" s="1"/>
  <c r="M1073" i="1"/>
  <c r="O1073" i="1" s="1"/>
  <c r="P1073" i="1" s="1"/>
  <c r="M1125" i="1"/>
  <c r="O1125" i="1" s="1"/>
  <c r="P1125" i="1" s="1"/>
  <c r="M1029" i="1"/>
  <c r="O1029" i="1" s="1"/>
  <c r="P1029" i="1" s="1"/>
  <c r="M1097" i="1"/>
  <c r="O1097" i="1" s="1"/>
  <c r="P1097" i="1" s="1"/>
  <c r="M1142" i="1"/>
  <c r="O1142" i="1" s="1"/>
  <c r="P1142" i="1" s="1"/>
  <c r="M1110" i="1"/>
  <c r="O1110" i="1" s="1"/>
  <c r="P1110" i="1" s="1"/>
  <c r="M1078" i="1"/>
  <c r="O1078" i="1" s="1"/>
  <c r="P1078" i="1" s="1"/>
  <c r="M1041" i="1"/>
  <c r="O1041" i="1" s="1"/>
  <c r="P1041" i="1" s="1"/>
  <c r="M1085" i="1"/>
  <c r="O1085" i="1" s="1"/>
  <c r="P1085" i="1" s="1"/>
  <c r="M1016" i="1"/>
  <c r="O1016" i="1" s="1"/>
  <c r="P1016" i="1" s="1"/>
  <c r="M937" i="1"/>
  <c r="O937" i="1" s="1"/>
  <c r="P937" i="1" s="1"/>
  <c r="M1071" i="1"/>
  <c r="O1071" i="1" s="1"/>
  <c r="P1071" i="1" s="1"/>
  <c r="M991" i="1"/>
  <c r="O991" i="1" s="1"/>
  <c r="P991" i="1" s="1"/>
  <c r="M1067" i="1"/>
  <c r="O1067" i="1" s="1"/>
  <c r="P1067" i="1" s="1"/>
  <c r="M1052" i="1"/>
  <c r="O1052" i="1" s="1"/>
  <c r="P1052" i="1" s="1"/>
  <c r="M1172" i="1"/>
  <c r="O1172" i="1" s="1"/>
  <c r="P1172" i="1" s="1"/>
  <c r="M1025" i="1"/>
  <c r="O1025" i="1" s="1"/>
  <c r="P1025" i="1" s="1"/>
  <c r="M1009" i="1"/>
  <c r="O1009" i="1" s="1"/>
  <c r="P1009" i="1" s="1"/>
  <c r="M1099" i="1"/>
  <c r="O1099" i="1" s="1"/>
  <c r="P1099" i="1" s="1"/>
  <c r="M1119" i="1"/>
  <c r="O1119" i="1" s="1"/>
  <c r="P1119" i="1" s="1"/>
  <c r="M1082" i="1"/>
  <c r="O1082" i="1" s="1"/>
  <c r="P1082" i="1" s="1"/>
  <c r="M1072" i="1"/>
  <c r="O1072" i="1" s="1"/>
  <c r="P1072" i="1" s="1"/>
  <c r="M1087" i="1"/>
  <c r="O1087" i="1" s="1"/>
  <c r="P1087" i="1" s="1"/>
  <c r="M1134" i="1"/>
  <c r="O1134" i="1" s="1"/>
  <c r="P1134" i="1" s="1"/>
  <c r="M1106" i="1"/>
  <c r="O1106" i="1" s="1"/>
  <c r="P1106" i="1" s="1"/>
  <c r="M1170" i="1"/>
  <c r="O1170" i="1" s="1"/>
  <c r="P1170" i="1" s="1"/>
  <c r="M1080" i="1"/>
  <c r="O1080" i="1" s="1"/>
  <c r="P1080" i="1" s="1"/>
  <c r="M1048" i="1"/>
  <c r="O1048" i="1" s="1"/>
  <c r="P1048" i="1" s="1"/>
  <c r="M1117" i="1"/>
  <c r="O1117" i="1" s="1"/>
  <c r="P1117" i="1" s="1"/>
  <c r="M966" i="1"/>
  <c r="O966" i="1" s="1"/>
  <c r="P966" i="1" s="1"/>
  <c r="M1096" i="1"/>
  <c r="O1096" i="1" s="1"/>
  <c r="P1096" i="1" s="1"/>
  <c r="M1058" i="1"/>
  <c r="O1058" i="1" s="1"/>
  <c r="P1058" i="1" s="1"/>
  <c r="M1133" i="1"/>
  <c r="O1133" i="1" s="1"/>
  <c r="P1133" i="1" s="1"/>
  <c r="M1151" i="1"/>
  <c r="O1151" i="1" s="1"/>
  <c r="P1151" i="1" s="1"/>
  <c r="M1115" i="1"/>
  <c r="O1115" i="1" s="1"/>
  <c r="P1115" i="1" s="1"/>
  <c r="M1086" i="1"/>
  <c r="O1086" i="1" s="1"/>
  <c r="P1086" i="1" s="1"/>
  <c r="M1103" i="1"/>
  <c r="O1103" i="1" s="1"/>
  <c r="P1103" i="1" s="1"/>
  <c r="M1163" i="1"/>
  <c r="O1163" i="1" s="1"/>
  <c r="P1163" i="1" s="1"/>
  <c r="M1165" i="1"/>
  <c r="O1165" i="1" s="1"/>
  <c r="P1165" i="1" s="1"/>
  <c r="M1164" i="1"/>
  <c r="O1164" i="1" s="1"/>
  <c r="P1164" i="1" s="1"/>
  <c r="M1074" i="1"/>
  <c r="O1074" i="1" s="1"/>
  <c r="P1074" i="1" s="1"/>
  <c r="M1107" i="1"/>
  <c r="O1107" i="1" s="1"/>
  <c r="P1107" i="1" s="1"/>
  <c r="M1116" i="1"/>
  <c r="O1116" i="1" s="1"/>
  <c r="P1116" i="1" s="1"/>
  <c r="M1153" i="1"/>
  <c r="O1153" i="1" s="1"/>
  <c r="P1153" i="1" s="1"/>
  <c r="M1076" i="1"/>
  <c r="O1076" i="1" s="1"/>
  <c r="P1076" i="1" s="1"/>
  <c r="M1114" i="1"/>
  <c r="O1114" i="1" s="1"/>
  <c r="P1114" i="1" s="1"/>
  <c r="M1132" i="1"/>
  <c r="O1132" i="1" s="1"/>
  <c r="P1132" i="1" s="1"/>
  <c r="M1077" i="1"/>
  <c r="O1077" i="1" s="1"/>
  <c r="P1077" i="1" s="1"/>
  <c r="M1059" i="1"/>
  <c r="O1059" i="1" s="1"/>
  <c r="P1059" i="1" s="1"/>
  <c r="M1083" i="1"/>
  <c r="O1083" i="1" s="1"/>
  <c r="P1083" i="1" s="1"/>
  <c r="M1181" i="1"/>
  <c r="O1181" i="1" s="1"/>
  <c r="P1181" i="1" s="1"/>
  <c r="M1109" i="1"/>
  <c r="O1109" i="1" s="1"/>
  <c r="P1109" i="1" s="1"/>
  <c r="M1089" i="1"/>
  <c r="O1089" i="1" s="1"/>
  <c r="P1089" i="1" s="1"/>
  <c r="M1135" i="1"/>
  <c r="O1135" i="1" s="1"/>
  <c r="P1135" i="1" s="1"/>
  <c r="M1136" i="1"/>
  <c r="O1136" i="1" s="1"/>
  <c r="P1136" i="1" s="1"/>
  <c r="M1184" i="1"/>
  <c r="O1184" i="1" s="1"/>
  <c r="P1184" i="1" s="1"/>
  <c r="M1156" i="1"/>
  <c r="O1156" i="1" s="1"/>
  <c r="P1156" i="1" s="1"/>
  <c r="M1090" i="1"/>
  <c r="O1090" i="1" s="1"/>
  <c r="P1090" i="1" s="1"/>
  <c r="M1158" i="1"/>
  <c r="O1158" i="1" s="1"/>
  <c r="P1158" i="1" s="1"/>
  <c r="M1157" i="1"/>
  <c r="O1157" i="1" s="1"/>
  <c r="P1157" i="1" s="1"/>
  <c r="M1127" i="1"/>
  <c r="O1127" i="1" s="1"/>
  <c r="P1127" i="1" s="1"/>
  <c r="M1137" i="1"/>
  <c r="O1137" i="1" s="1"/>
  <c r="P1137" i="1" s="1"/>
  <c r="M1174" i="1"/>
  <c r="O1174" i="1" s="1"/>
  <c r="P1174" i="1" s="1"/>
  <c r="M1147" i="1"/>
  <c r="O1147" i="1" s="1"/>
  <c r="P1147" i="1" s="1"/>
  <c r="M1139" i="1"/>
  <c r="O1139" i="1" s="1"/>
  <c r="P1139" i="1" s="1"/>
  <c r="M1138" i="1"/>
  <c r="O1138" i="1" s="1"/>
  <c r="P1138" i="1" s="1"/>
  <c r="M1128" i="1"/>
  <c r="O1128" i="1" s="1"/>
  <c r="P1128" i="1" s="1"/>
  <c r="M1123" i="1"/>
  <c r="O1123" i="1" s="1"/>
  <c r="P1123" i="1" s="1"/>
  <c r="M1091" i="1"/>
  <c r="O1091" i="1" s="1"/>
  <c r="P1091" i="1" s="1"/>
  <c r="M1141" i="1"/>
  <c r="O1141" i="1" s="1"/>
  <c r="P1141" i="1" s="1"/>
  <c r="M1131" i="1"/>
  <c r="O1131" i="1" s="1"/>
  <c r="P1131" i="1" s="1"/>
  <c r="M1203" i="1"/>
  <c r="O1203" i="1" s="1"/>
  <c r="P1203" i="1" s="1"/>
  <c r="M1152" i="1"/>
  <c r="O1152" i="1" s="1"/>
  <c r="P1152" i="1" s="1"/>
  <c r="M1129" i="1"/>
  <c r="O1129" i="1" s="1"/>
  <c r="P1129" i="1" s="1"/>
  <c r="M1167" i="1"/>
  <c r="O1167" i="1" s="1"/>
  <c r="P1167" i="1" s="1"/>
  <c r="M1102" i="1"/>
  <c r="O1102" i="1" s="1"/>
  <c r="P1102" i="1" s="1"/>
  <c r="M1122" i="1"/>
  <c r="O1122" i="1" s="1"/>
  <c r="P1122" i="1" s="1"/>
  <c r="M1171" i="1"/>
  <c r="O1171" i="1" s="1"/>
  <c r="P1171" i="1" s="1"/>
  <c r="M1192" i="1"/>
  <c r="O1192" i="1" s="1"/>
  <c r="P1192" i="1" s="1"/>
  <c r="M1200" i="1"/>
  <c r="O1200" i="1" s="1"/>
  <c r="P1200" i="1" s="1"/>
  <c r="M1176" i="1"/>
  <c r="O1176" i="1" s="1"/>
  <c r="P1176" i="1" s="1"/>
  <c r="M1166" i="1"/>
  <c r="O1166" i="1" s="1"/>
  <c r="P1166" i="1" s="1"/>
  <c r="M1150" i="1"/>
  <c r="O1150" i="1" s="1"/>
  <c r="P1150" i="1" s="1"/>
  <c r="M1118" i="1"/>
  <c r="O1118" i="1" s="1"/>
  <c r="P1118" i="1" s="1"/>
  <c r="M1292" i="1"/>
  <c r="O1292" i="1" s="1"/>
  <c r="P1292" i="1" s="1"/>
  <c r="M1189" i="1"/>
  <c r="O1189" i="1" s="1"/>
  <c r="P1189" i="1" s="1"/>
  <c r="M1173" i="1"/>
  <c r="O1173" i="1" s="1"/>
  <c r="P1173" i="1" s="1"/>
  <c r="M1169" i="1"/>
  <c r="O1169" i="1" s="1"/>
  <c r="P1169" i="1" s="1"/>
  <c r="M1177" i="1"/>
  <c r="O1177" i="1" s="1"/>
  <c r="P1177" i="1" s="1"/>
  <c r="M610" i="1"/>
  <c r="O610" i="1" s="1"/>
  <c r="P610" i="1" s="1"/>
  <c r="M1081" i="1"/>
  <c r="O1081" i="1" s="1"/>
  <c r="P1081" i="1" s="1"/>
  <c r="M1130" i="1"/>
  <c r="O1130" i="1" s="1"/>
  <c r="P1130" i="1" s="1"/>
  <c r="M1159" i="1"/>
  <c r="O1159" i="1" s="1"/>
  <c r="P1159" i="1" s="1"/>
  <c r="M1098" i="1"/>
  <c r="O1098" i="1" s="1"/>
  <c r="P1098" i="1" s="1"/>
  <c r="M1188" i="1"/>
  <c r="O1188" i="1" s="1"/>
  <c r="P1188" i="1" s="1"/>
  <c r="M1199" i="1"/>
  <c r="O1199" i="1" s="1"/>
  <c r="P1199" i="1" s="1"/>
  <c r="M1182" i="1"/>
  <c r="O1182" i="1" s="1"/>
  <c r="P1182" i="1" s="1"/>
  <c r="M1175" i="1"/>
  <c r="O1175" i="1" s="1"/>
  <c r="P1175" i="1" s="1"/>
  <c r="M1146" i="1"/>
  <c r="O1146" i="1" s="1"/>
  <c r="P1146" i="1" s="1"/>
  <c r="M933" i="1"/>
  <c r="O933" i="1" s="1"/>
  <c r="P933" i="1" s="1"/>
  <c r="M1108" i="1"/>
  <c r="O1108" i="1" s="1"/>
  <c r="P1108" i="1" s="1"/>
  <c r="M1178" i="1"/>
  <c r="O1178" i="1" s="1"/>
  <c r="P1178" i="1" s="1"/>
  <c r="M1215" i="1"/>
  <c r="O1215" i="1" s="1"/>
  <c r="P1215" i="1" s="1"/>
  <c r="M1216" i="1"/>
  <c r="O1216" i="1" s="1"/>
  <c r="P1216" i="1" s="1"/>
  <c r="M1197" i="1"/>
  <c r="O1197" i="1" s="1"/>
  <c r="P1197" i="1" s="1"/>
  <c r="M1219" i="1"/>
  <c r="O1219" i="1" s="1"/>
  <c r="P1219" i="1" s="1"/>
  <c r="M1160" i="1"/>
  <c r="O1160" i="1" s="1"/>
  <c r="P1160" i="1" s="1"/>
  <c r="M1191" i="1"/>
  <c r="O1191" i="1" s="1"/>
  <c r="P1191" i="1" s="1"/>
  <c r="M1206" i="1"/>
  <c r="O1206" i="1" s="1"/>
  <c r="P1206" i="1" s="1"/>
  <c r="M1236" i="1"/>
  <c r="O1236" i="1" s="1"/>
  <c r="P1236" i="1" s="1"/>
  <c r="M1185" i="1"/>
  <c r="O1185" i="1" s="1"/>
  <c r="P1185" i="1" s="1"/>
  <c r="M1190" i="1"/>
  <c r="O1190" i="1" s="1"/>
  <c r="P1190" i="1" s="1"/>
  <c r="M1213" i="1"/>
  <c r="O1213" i="1" s="1"/>
  <c r="P1213" i="1" s="1"/>
  <c r="M1251" i="1"/>
  <c r="O1251" i="1" s="1"/>
  <c r="P1251" i="1" s="1"/>
  <c r="M1202" i="1"/>
  <c r="O1202" i="1" s="1"/>
  <c r="P1202" i="1" s="1"/>
  <c r="M1194" i="1"/>
  <c r="O1194" i="1" s="1"/>
  <c r="P1194" i="1" s="1"/>
  <c r="M1300" i="1"/>
  <c r="O1300" i="1" s="1"/>
  <c r="P1300" i="1" s="1"/>
  <c r="M1112" i="1"/>
  <c r="O1112" i="1" s="1"/>
  <c r="P1112" i="1" s="1"/>
  <c r="M1204" i="1"/>
  <c r="O1204" i="1" s="1"/>
  <c r="P1204" i="1" s="1"/>
  <c r="M1180" i="1"/>
  <c r="O1180" i="1" s="1"/>
  <c r="P1180" i="1" s="1"/>
  <c r="M1229" i="1"/>
  <c r="O1229" i="1" s="1"/>
  <c r="P1229" i="1" s="1"/>
  <c r="M1186" i="1"/>
  <c r="O1186" i="1" s="1"/>
  <c r="P1186" i="1" s="1"/>
  <c r="M1183" i="1"/>
  <c r="O1183" i="1" s="1"/>
  <c r="P1183" i="1" s="1"/>
  <c r="M1111" i="1"/>
  <c r="O1111" i="1" s="1"/>
  <c r="P1111" i="1" s="1"/>
  <c r="M1238" i="1"/>
  <c r="O1238" i="1" s="1"/>
  <c r="P1238" i="1" s="1"/>
  <c r="M1193" i="1"/>
  <c r="O1193" i="1" s="1"/>
  <c r="P1193" i="1" s="1"/>
  <c r="M1196" i="1"/>
  <c r="O1196" i="1" s="1"/>
  <c r="P1196" i="1" s="1"/>
  <c r="M1061" i="1"/>
  <c r="O1061" i="1" s="1"/>
  <c r="P1061" i="1" s="1"/>
  <c r="M1250" i="1"/>
  <c r="O1250" i="1" s="1"/>
  <c r="P1250" i="1" s="1"/>
  <c r="M1205" i="1"/>
  <c r="O1205" i="1" s="1"/>
  <c r="P1205" i="1" s="1"/>
  <c r="M1232" i="1"/>
  <c r="O1232" i="1" s="1"/>
  <c r="P1232" i="1" s="1"/>
  <c r="M1217" i="1"/>
  <c r="O1217" i="1" s="1"/>
  <c r="P1217" i="1" s="1"/>
  <c r="M1259" i="1"/>
  <c r="O1259" i="1" s="1"/>
  <c r="P1259" i="1" s="1"/>
  <c r="M1245" i="1"/>
  <c r="O1245" i="1" s="1"/>
  <c r="P1245" i="1" s="1"/>
  <c r="M1198" i="1"/>
  <c r="O1198" i="1" s="1"/>
  <c r="P1198" i="1" s="1"/>
  <c r="M1243" i="1"/>
  <c r="O1243" i="1" s="1"/>
  <c r="P1243" i="1" s="1"/>
  <c r="M1226" i="1"/>
  <c r="O1226" i="1" s="1"/>
  <c r="P1226" i="1" s="1"/>
  <c r="M1208" i="1"/>
  <c r="O1208" i="1" s="1"/>
  <c r="P1208" i="1" s="1"/>
  <c r="M1155" i="1"/>
  <c r="O1155" i="1" s="1"/>
  <c r="P1155" i="1" s="1"/>
  <c r="M1113" i="1"/>
  <c r="O1113" i="1" s="1"/>
  <c r="P1113" i="1" s="1"/>
  <c r="M1092" i="1"/>
  <c r="O1092" i="1" s="1"/>
  <c r="P1092" i="1" s="1"/>
  <c r="M1218" i="1"/>
  <c r="O1218" i="1" s="1"/>
  <c r="P1218" i="1" s="1"/>
  <c r="M1195" i="1"/>
  <c r="O1195" i="1" s="1"/>
  <c r="P1195" i="1" s="1"/>
  <c r="M1275" i="1"/>
  <c r="O1275" i="1" s="1"/>
  <c r="P1275" i="1" s="1"/>
  <c r="M1223" i="1"/>
  <c r="O1223" i="1" s="1"/>
  <c r="P1223" i="1" s="1"/>
  <c r="M1201" i="1"/>
  <c r="O1201" i="1" s="1"/>
  <c r="P1201" i="1" s="1"/>
  <c r="M1211" i="1"/>
  <c r="O1211" i="1" s="1"/>
  <c r="P1211" i="1" s="1"/>
  <c r="M1239" i="1"/>
  <c r="O1239" i="1" s="1"/>
  <c r="P1239" i="1" s="1"/>
  <c r="M1148" i="1"/>
  <c r="O1148" i="1" s="1"/>
  <c r="P1148" i="1" s="1"/>
  <c r="M1244" i="1"/>
  <c r="O1244" i="1" s="1"/>
  <c r="P1244" i="1" s="1"/>
  <c r="M1242" i="1"/>
  <c r="O1242" i="1" s="1"/>
  <c r="P1242" i="1" s="1"/>
  <c r="M1231" i="1"/>
  <c r="O1231" i="1" s="1"/>
  <c r="P1231" i="1" s="1"/>
  <c r="M1140" i="1"/>
  <c r="O1140" i="1" s="1"/>
  <c r="P1140" i="1" s="1"/>
  <c r="M1207" i="1"/>
  <c r="O1207" i="1" s="1"/>
  <c r="P1207" i="1" s="1"/>
  <c r="M1241" i="1"/>
  <c r="O1241" i="1" s="1"/>
  <c r="P1241" i="1" s="1"/>
  <c r="M1126" i="1"/>
  <c r="O1126" i="1" s="1"/>
  <c r="P1126" i="1" s="1"/>
  <c r="M1222" i="1"/>
  <c r="O1222" i="1" s="1"/>
  <c r="P1222" i="1" s="1"/>
  <c r="M1187" i="1"/>
  <c r="O1187" i="1" s="1"/>
  <c r="P1187" i="1" s="1"/>
  <c r="M1209" i="1"/>
  <c r="O1209" i="1" s="1"/>
  <c r="P1209" i="1" s="1"/>
  <c r="M1255" i="1"/>
  <c r="O1255" i="1" s="1"/>
  <c r="P1255" i="1" s="1"/>
  <c r="M1149" i="1"/>
  <c r="O1149" i="1" s="1"/>
  <c r="P1149" i="1" s="1"/>
  <c r="M1230" i="1"/>
  <c r="O1230" i="1" s="1"/>
  <c r="P1230" i="1" s="1"/>
  <c r="M1249" i="1"/>
  <c r="O1249" i="1" s="1"/>
  <c r="P1249" i="1" s="1"/>
  <c r="M1225" i="1"/>
  <c r="O1225" i="1" s="1"/>
  <c r="P1225" i="1" s="1"/>
  <c r="M1264" i="1"/>
  <c r="O1264" i="1" s="1"/>
  <c r="P1264" i="1" s="1"/>
  <c r="M1154" i="1"/>
  <c r="O1154" i="1" s="1"/>
  <c r="P1154" i="1" s="1"/>
  <c r="M1240" i="1"/>
  <c r="O1240" i="1" s="1"/>
  <c r="P1240" i="1" s="1"/>
  <c r="M1237" i="1"/>
  <c r="O1237" i="1" s="1"/>
  <c r="P1237" i="1" s="1"/>
  <c r="M1143" i="1"/>
  <c r="O1143" i="1" s="1"/>
  <c r="P1143" i="1" s="1"/>
  <c r="M1212" i="1"/>
  <c r="O1212" i="1" s="1"/>
  <c r="P1212" i="1" s="1"/>
  <c r="M1210" i="1"/>
  <c r="O1210" i="1" s="1"/>
  <c r="P1210" i="1" s="1"/>
  <c r="M1252" i="1"/>
  <c r="O1252" i="1" s="1"/>
  <c r="P1252" i="1" s="1"/>
  <c r="M1280" i="1"/>
  <c r="O1280" i="1" s="1"/>
  <c r="P1280" i="1" s="1"/>
  <c r="M1273" i="1"/>
  <c r="O1273" i="1" s="1"/>
  <c r="P1273" i="1" s="1"/>
  <c r="M1256" i="1"/>
  <c r="O1256" i="1" s="1"/>
  <c r="P1256" i="1" s="1"/>
  <c r="M1257" i="1"/>
  <c r="O1257" i="1" s="1"/>
  <c r="P1257" i="1" s="1"/>
  <c r="M1247" i="1"/>
  <c r="O1247" i="1" s="1"/>
  <c r="P1247" i="1" s="1"/>
  <c r="M1283" i="1"/>
  <c r="O1283" i="1" s="1"/>
  <c r="P1283" i="1" s="1"/>
  <c r="M1227" i="1"/>
  <c r="O1227" i="1" s="1"/>
  <c r="P1227" i="1" s="1"/>
  <c r="M1268" i="1"/>
  <c r="O1268" i="1" s="1"/>
  <c r="P1268" i="1" s="1"/>
  <c r="M1278" i="1"/>
  <c r="O1278" i="1" s="1"/>
  <c r="P1278" i="1" s="1"/>
  <c r="M1162" i="1"/>
  <c r="O1162" i="1" s="1"/>
  <c r="P1162" i="1" s="1"/>
  <c r="M1224" i="1"/>
  <c r="O1224" i="1" s="1"/>
  <c r="P1224" i="1" s="1"/>
  <c r="M1270" i="1"/>
  <c r="O1270" i="1" s="1"/>
  <c r="P1270" i="1" s="1"/>
  <c r="M1261" i="1"/>
  <c r="O1261" i="1" s="1"/>
  <c r="P1261" i="1" s="1"/>
  <c r="M1269" i="1"/>
  <c r="O1269" i="1" s="1"/>
  <c r="P1269" i="1" s="1"/>
  <c r="M1248" i="1"/>
  <c r="O1248" i="1" s="1"/>
  <c r="P1248" i="1" s="1"/>
  <c r="M1254" i="1"/>
  <c r="O1254" i="1" s="1"/>
  <c r="P1254" i="1" s="1"/>
  <c r="M1253" i="1"/>
  <c r="O1253" i="1" s="1"/>
  <c r="P1253" i="1" s="1"/>
  <c r="M1266" i="1"/>
  <c r="O1266" i="1" s="1"/>
  <c r="P1266" i="1" s="1"/>
  <c r="M1279" i="1"/>
  <c r="O1279" i="1" s="1"/>
  <c r="P1279" i="1" s="1"/>
  <c r="M1295" i="1"/>
  <c r="O1295" i="1" s="1"/>
  <c r="P1295" i="1" s="1"/>
  <c r="M1272" i="1"/>
  <c r="O1272" i="1" s="1"/>
  <c r="P1272" i="1" s="1"/>
  <c r="M1066" i="1"/>
  <c r="O1066" i="1" s="1"/>
  <c r="P1066" i="1" s="1"/>
  <c r="M1302" i="1"/>
  <c r="O1302" i="1" s="1"/>
  <c r="P1302" i="1" s="1"/>
  <c r="M1288" i="1"/>
  <c r="O1288" i="1" s="1"/>
  <c r="P1288" i="1" s="1"/>
  <c r="M1287" i="1"/>
  <c r="O1287" i="1" s="1"/>
  <c r="P1287" i="1" s="1"/>
  <c r="M1246" i="1"/>
  <c r="O1246" i="1" s="1"/>
  <c r="P1246" i="1" s="1"/>
  <c r="M1303" i="1"/>
  <c r="O1303" i="1" s="1"/>
  <c r="P1303" i="1" s="1"/>
  <c r="M1282" i="1"/>
  <c r="O1282" i="1" s="1"/>
  <c r="P1282" i="1" s="1"/>
  <c r="M1265" i="1"/>
  <c r="O1265" i="1" s="1"/>
  <c r="P1265" i="1" s="1"/>
  <c r="M1262" i="1"/>
  <c r="O1262" i="1" s="1"/>
  <c r="P1262" i="1" s="1"/>
  <c r="M1271" i="1"/>
  <c r="O1271" i="1" s="1"/>
  <c r="P1271" i="1" s="1"/>
  <c r="M1297" i="1"/>
  <c r="O1297" i="1" s="1"/>
  <c r="P1297" i="1" s="1"/>
  <c r="M1294" i="1"/>
  <c r="O1294" i="1" s="1"/>
  <c r="P1294" i="1" s="1"/>
  <c r="M1267" i="1"/>
  <c r="O1267" i="1" s="1"/>
  <c r="P1267" i="1" s="1"/>
  <c r="M1286" i="1"/>
  <c r="O1286" i="1" s="1"/>
  <c r="P1286" i="1" s="1"/>
  <c r="M1296" i="1"/>
  <c r="O1296" i="1" s="1"/>
  <c r="P1296" i="1" s="1"/>
  <c r="M1220" i="1"/>
  <c r="O1220" i="1" s="1"/>
  <c r="P1220" i="1" s="1"/>
  <c r="M1284" i="1"/>
  <c r="O1284" i="1" s="1"/>
  <c r="P1284" i="1" s="1"/>
  <c r="M1228" i="1"/>
  <c r="O1228" i="1" s="1"/>
  <c r="P1228" i="1" s="1"/>
  <c r="M1260" i="1"/>
  <c r="O1260" i="1" s="1"/>
  <c r="P1260" i="1" s="1"/>
  <c r="M1274" i="1"/>
  <c r="O1274" i="1" s="1"/>
  <c r="P1274" i="1" s="1"/>
  <c r="M1281" i="1"/>
  <c r="O1281" i="1" s="1"/>
  <c r="P1281" i="1" s="1"/>
  <c r="M1311" i="1"/>
  <c r="O1311" i="1" s="1"/>
  <c r="P1311" i="1" s="1"/>
  <c r="M1313" i="1"/>
  <c r="O1313" i="1" s="1"/>
  <c r="P1313" i="1" s="1"/>
  <c r="M1285" i="1"/>
  <c r="O1285" i="1" s="1"/>
  <c r="P1285" i="1" s="1"/>
  <c r="M1277" i="1"/>
  <c r="O1277" i="1" s="1"/>
  <c r="P1277" i="1" s="1"/>
  <c r="M1258" i="1"/>
  <c r="O1258" i="1" s="1"/>
  <c r="P1258" i="1" s="1"/>
  <c r="M1299" i="1"/>
  <c r="O1299" i="1" s="1"/>
  <c r="P1299" i="1" s="1"/>
  <c r="M1276" i="1"/>
  <c r="O1276" i="1" s="1"/>
  <c r="P1276" i="1" s="1"/>
  <c r="M1319" i="1"/>
  <c r="O1319" i="1" s="1"/>
  <c r="P1319" i="1" s="1"/>
  <c r="M997" i="1"/>
  <c r="O997" i="1" s="1"/>
  <c r="P997" i="1" s="1"/>
  <c r="M1305" i="1"/>
  <c r="O1305" i="1" s="1"/>
  <c r="P1305" i="1" s="1"/>
  <c r="M1179" i="1"/>
  <c r="O1179" i="1" s="1"/>
  <c r="P1179" i="1" s="1"/>
  <c r="M1301" i="1"/>
  <c r="O1301" i="1" s="1"/>
  <c r="P1301" i="1" s="1"/>
  <c r="M1291" i="1"/>
  <c r="O1291" i="1" s="1"/>
  <c r="P1291" i="1" s="1"/>
  <c r="M1221" i="1"/>
  <c r="O1221" i="1" s="1"/>
  <c r="P1221" i="1" s="1"/>
  <c r="M1304" i="1"/>
  <c r="O1304" i="1" s="1"/>
  <c r="P1304" i="1" s="1"/>
  <c r="M1306" i="1"/>
  <c r="O1306" i="1" s="1"/>
  <c r="P1306" i="1" s="1"/>
  <c r="M1290" i="1"/>
  <c r="O1290" i="1" s="1"/>
  <c r="P1290" i="1" s="1"/>
  <c r="M1289" i="1"/>
  <c r="M1310" i="1"/>
  <c r="O1310" i="1" s="1"/>
  <c r="P1310" i="1" s="1"/>
  <c r="M1316" i="1"/>
  <c r="O1316" i="1" s="1"/>
  <c r="P1316" i="1" s="1"/>
  <c r="M1298" i="1"/>
  <c r="O1298" i="1" s="1"/>
  <c r="P1298" i="1" s="1"/>
  <c r="M1308" i="1"/>
  <c r="O1308" i="1" s="1"/>
  <c r="P1308" i="1" s="1"/>
  <c r="M1321" i="1"/>
  <c r="O1321" i="1" s="1"/>
  <c r="P1321" i="1" s="1"/>
  <c r="M1317" i="1"/>
  <c r="O1317" i="1" s="1"/>
  <c r="P1317" i="1" s="1"/>
  <c r="M1309" i="1"/>
  <c r="O1309" i="1" s="1"/>
  <c r="P1309" i="1" s="1"/>
  <c r="M1293" i="1"/>
  <c r="O1293" i="1" s="1"/>
  <c r="P1293" i="1" s="1"/>
  <c r="M1320" i="1"/>
  <c r="O1320" i="1" s="1"/>
  <c r="P1320" i="1" s="1"/>
  <c r="M1339" i="1"/>
  <c r="O1339" i="1" s="1"/>
  <c r="P1339" i="1" s="1"/>
  <c r="M1312" i="1"/>
  <c r="O1312" i="1" s="1"/>
  <c r="P1312" i="1" s="1"/>
  <c r="M1323" i="1"/>
  <c r="O1323" i="1" s="1"/>
  <c r="P1323" i="1" s="1"/>
  <c r="M1331" i="1"/>
  <c r="O1331" i="1" s="1"/>
  <c r="P1331" i="1" s="1"/>
  <c r="M1322" i="1"/>
  <c r="O1322" i="1" s="1"/>
  <c r="P1322" i="1" s="1"/>
  <c r="M1307" i="1"/>
  <c r="O1307" i="1" s="1"/>
  <c r="P1307" i="1" s="1"/>
  <c r="M1327" i="1"/>
  <c r="O1327" i="1" s="1"/>
  <c r="P1327" i="1" s="1"/>
  <c r="M1329" i="1"/>
  <c r="O1329" i="1" s="1"/>
  <c r="P1329" i="1" s="1"/>
  <c r="M1318" i="1"/>
  <c r="O1318" i="1" s="1"/>
  <c r="P1318" i="1" s="1"/>
  <c r="M1330" i="1"/>
  <c r="O1330" i="1" s="1"/>
  <c r="P1330" i="1" s="1"/>
  <c r="M1328" i="1"/>
  <c r="O1328" i="1" s="1"/>
  <c r="P1328" i="1" s="1"/>
  <c r="M1315" i="1"/>
  <c r="O1315" i="1" s="1"/>
  <c r="P1315" i="1" s="1"/>
  <c r="M1333" i="1"/>
  <c r="O1333" i="1" s="1"/>
  <c r="P1333" i="1" s="1"/>
  <c r="M1335" i="1"/>
  <c r="O1335" i="1" s="1"/>
  <c r="P1335" i="1" s="1"/>
  <c r="M1342" i="1"/>
  <c r="O1342" i="1" s="1"/>
  <c r="P1342" i="1" s="1"/>
  <c r="M1340" i="1"/>
  <c r="O1340" i="1" s="1"/>
  <c r="P1340" i="1" s="1"/>
  <c r="M1325" i="1"/>
  <c r="O1325" i="1" s="1"/>
  <c r="P1325" i="1" s="1"/>
  <c r="M1324" i="1"/>
  <c r="O1324" i="1" s="1"/>
  <c r="P1324" i="1" s="1"/>
  <c r="M1344" i="1"/>
  <c r="O1344" i="1" s="1"/>
  <c r="P1344" i="1" s="1"/>
  <c r="M1338" i="1"/>
  <c r="O1338" i="1" s="1"/>
  <c r="P1338" i="1" s="1"/>
  <c r="M1334" i="1"/>
  <c r="O1334" i="1" s="1"/>
  <c r="P1334" i="1" s="1"/>
  <c r="M1347" i="1"/>
  <c r="O1347" i="1" s="1"/>
  <c r="P1347" i="1" s="1"/>
  <c r="M1337" i="1"/>
  <c r="O1337" i="1" s="1"/>
  <c r="P1337" i="1" s="1"/>
  <c r="M1326" i="1"/>
  <c r="O1326" i="1" s="1"/>
  <c r="P1326" i="1" s="1"/>
  <c r="M1332" i="1"/>
  <c r="O1332" i="1" s="1"/>
  <c r="P1332" i="1" s="1"/>
  <c r="M1336" i="1"/>
  <c r="O1336" i="1" s="1"/>
  <c r="P1336" i="1" s="1"/>
  <c r="M1348" i="1"/>
  <c r="O1348" i="1" s="1"/>
  <c r="P1348" i="1" s="1"/>
  <c r="M1346" i="1"/>
  <c r="O1346" i="1" s="1"/>
  <c r="P1346" i="1" s="1"/>
  <c r="M1349" i="1"/>
  <c r="O1349" i="1" s="1"/>
  <c r="P1349" i="1" s="1"/>
  <c r="M1354" i="1"/>
  <c r="O1354" i="1" s="1"/>
  <c r="P1354" i="1" s="1"/>
  <c r="M1353" i="1"/>
  <c r="O1353" i="1" s="1"/>
  <c r="P1353" i="1" s="1"/>
  <c r="M1350" i="1"/>
  <c r="O1350" i="1" s="1"/>
  <c r="P1350" i="1" s="1"/>
  <c r="M1341" i="1"/>
  <c r="M1357" i="1"/>
  <c r="O1357" i="1" s="1"/>
  <c r="P1357" i="1" s="1"/>
  <c r="M1352" i="1"/>
  <c r="O1352" i="1" s="1"/>
  <c r="P1352" i="1" s="1"/>
  <c r="M1356" i="1"/>
  <c r="O1356" i="1" s="1"/>
  <c r="P1356" i="1" s="1"/>
  <c r="M1343" i="1"/>
  <c r="O1343" i="1" s="1"/>
  <c r="P1343" i="1" s="1"/>
  <c r="M1351" i="1"/>
  <c r="O1351" i="1" s="1"/>
  <c r="P1351" i="1" s="1"/>
  <c r="M1358" i="1"/>
  <c r="O1358" i="1" s="1"/>
  <c r="P1358" i="1" s="1"/>
  <c r="M1361" i="1"/>
  <c r="O1361" i="1" s="1"/>
  <c r="P1361" i="1" s="1"/>
  <c r="M1360" i="1"/>
  <c r="O1360" i="1" s="1"/>
  <c r="P1360" i="1" s="1"/>
  <c r="M1345" i="1"/>
  <c r="O1345" i="1" s="1"/>
  <c r="P1345" i="1" s="1"/>
  <c r="M1359" i="1"/>
  <c r="O1359" i="1" s="1"/>
  <c r="P1359" i="1" s="1"/>
  <c r="M1365" i="1"/>
  <c r="O1365" i="1" s="1"/>
  <c r="P1365" i="1" s="1"/>
  <c r="M1363" i="1"/>
  <c r="O1363" i="1" s="1"/>
  <c r="P1363" i="1" s="1"/>
  <c r="M1362" i="1"/>
  <c r="O1362" i="1" s="1"/>
  <c r="P1362" i="1" s="1"/>
  <c r="M1369" i="1"/>
  <c r="O1369" i="1" s="1"/>
  <c r="P1369" i="1" s="1"/>
  <c r="M1366" i="1"/>
  <c r="O1366" i="1" s="1"/>
  <c r="P1366" i="1" s="1"/>
  <c r="M1368" i="1"/>
  <c r="O1368" i="1" s="1"/>
  <c r="P1368" i="1" s="1"/>
  <c r="M1364" i="1"/>
  <c r="O1364" i="1" s="1"/>
  <c r="P1364" i="1" s="1"/>
  <c r="M1372" i="1"/>
  <c r="O1372" i="1" s="1"/>
  <c r="P1372" i="1" s="1"/>
  <c r="M1371" i="1"/>
  <c r="O1371" i="1" s="1"/>
  <c r="P1371" i="1" s="1"/>
  <c r="M1373" i="1"/>
  <c r="O1373" i="1" s="1"/>
  <c r="P1373" i="1" s="1"/>
  <c r="M1376" i="1"/>
  <c r="O1376" i="1" s="1"/>
  <c r="P1376" i="1" s="1"/>
  <c r="M1374" i="1"/>
  <c r="O1374" i="1" s="1"/>
  <c r="P1374" i="1" s="1"/>
  <c r="M1375" i="1"/>
  <c r="O1375" i="1" s="1"/>
  <c r="P1375" i="1" s="1"/>
  <c r="M1367" i="1"/>
  <c r="O1367" i="1" s="1"/>
  <c r="P1367" i="1" s="1"/>
  <c r="M1379" i="1"/>
  <c r="O1379" i="1" s="1"/>
  <c r="P1379" i="1" s="1"/>
  <c r="M1381" i="1"/>
  <c r="O1381" i="1" s="1"/>
  <c r="P1381" i="1" s="1"/>
  <c r="M1378" i="1"/>
  <c r="O1378" i="1" s="1"/>
  <c r="P1378" i="1" s="1"/>
  <c r="M1377" i="1"/>
  <c r="O1377" i="1" s="1"/>
  <c r="P1377" i="1" s="1"/>
  <c r="M1380" i="1"/>
  <c r="O1380" i="1" s="1"/>
  <c r="P1380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342" i="1"/>
  <c r="O342" i="1" s="1"/>
  <c r="P342" i="1" s="1"/>
  <c r="M195" i="1"/>
  <c r="O195" i="1" s="1"/>
  <c r="P195" i="1" s="1"/>
  <c r="M179" i="1"/>
  <c r="O179" i="1" s="1"/>
  <c r="P179" i="1" s="1"/>
  <c r="M519" i="1"/>
  <c r="O519" i="1" s="1"/>
  <c r="P519" i="1" s="1"/>
  <c r="M206" i="1"/>
  <c r="O206" i="1" s="1"/>
  <c r="P206" i="1" s="1"/>
  <c r="M282" i="1"/>
  <c r="O282" i="1" s="1"/>
  <c r="P282" i="1" s="1"/>
  <c r="M209" i="1"/>
  <c r="O209" i="1" s="1"/>
  <c r="P209" i="1" s="1"/>
  <c r="M74" i="1"/>
  <c r="O74" i="1" s="1"/>
  <c r="P74" i="1" s="1"/>
  <c r="M534" i="1"/>
  <c r="O534" i="1" s="1"/>
  <c r="P534" i="1" s="1"/>
  <c r="M509" i="1"/>
  <c r="O509" i="1" s="1"/>
  <c r="P509" i="1" s="1"/>
  <c r="M917" i="1"/>
  <c r="O917" i="1" s="1"/>
  <c r="P917" i="1" s="1"/>
  <c r="M1214" i="1"/>
  <c r="O1214" i="1" s="1"/>
  <c r="P1214" i="1" s="1"/>
  <c r="M245" i="1"/>
  <c r="O245" i="1" s="1"/>
  <c r="P245" i="1" s="1"/>
  <c r="M504" i="1"/>
  <c r="O504" i="1" s="1"/>
  <c r="P504" i="1" s="1"/>
  <c r="M73" i="1"/>
  <c r="O73" i="1" s="1"/>
  <c r="P73" i="1" s="1"/>
  <c r="M100" i="1"/>
  <c r="O100" i="1" s="1"/>
  <c r="P100" i="1" s="1"/>
  <c r="M1095" i="1"/>
  <c r="O1095" i="1" s="1"/>
  <c r="P1095" i="1" s="1"/>
  <c r="M590" i="1"/>
  <c r="O590" i="1" s="1"/>
  <c r="P590" i="1" s="1"/>
  <c r="M865" i="1"/>
  <c r="O865" i="1" s="1"/>
  <c r="P865" i="1" s="1"/>
  <c r="M93" i="1"/>
  <c r="O93" i="1" s="1"/>
  <c r="P93" i="1" s="1"/>
  <c r="M273" i="1"/>
  <c r="O273" i="1" s="1"/>
  <c r="P273" i="1" s="1"/>
  <c r="M95" i="1"/>
  <c r="O95" i="1" s="1"/>
  <c r="P95" i="1" s="1"/>
  <c r="M464" i="1"/>
  <c r="O464" i="1" s="1"/>
  <c r="P464" i="1" s="1"/>
  <c r="M535" i="1"/>
  <c r="O535" i="1" s="1"/>
  <c r="P535" i="1" s="1"/>
  <c r="M856" i="1"/>
  <c r="O856" i="1" s="1"/>
  <c r="P856" i="1" s="1"/>
  <c r="M715" i="1"/>
  <c r="O715" i="1" s="1"/>
  <c r="P715" i="1" s="1"/>
  <c r="M1020" i="1"/>
  <c r="O1020" i="1" s="1"/>
  <c r="P1020" i="1" s="1"/>
  <c r="M1065" i="1"/>
  <c r="O1065" i="1" s="1"/>
  <c r="P1065" i="1" s="1"/>
  <c r="M589" i="1"/>
  <c r="O589" i="1" s="1"/>
  <c r="P589" i="1" s="1"/>
  <c r="M91" i="1"/>
  <c r="O91" i="1" s="1"/>
  <c r="P91" i="1" s="1"/>
  <c r="M748" i="1"/>
  <c r="O748" i="1" s="1"/>
  <c r="P748" i="1" s="1"/>
  <c r="M465" i="1"/>
  <c r="O465" i="1" s="1"/>
  <c r="P465" i="1" s="1"/>
  <c r="M349" i="1"/>
  <c r="O349" i="1" s="1"/>
  <c r="P349" i="1" s="1"/>
  <c r="M723" i="1"/>
  <c r="O723" i="1" s="1"/>
  <c r="P723" i="1" s="1"/>
  <c r="M769" i="1"/>
  <c r="O769" i="1" s="1"/>
  <c r="P769" i="1" s="1"/>
  <c r="M270" i="1"/>
  <c r="O270" i="1" s="1"/>
  <c r="P270" i="1" s="1"/>
  <c r="M1045" i="1"/>
  <c r="O1045" i="1" s="1"/>
  <c r="P1045" i="1" s="1"/>
  <c r="M1234" i="1"/>
  <c r="O1234" i="1" s="1"/>
  <c r="P1234" i="1" s="1"/>
  <c r="M1355" i="1"/>
  <c r="O1355" i="1" s="1"/>
  <c r="P1355" i="1" s="1"/>
  <c r="M536" i="1"/>
  <c r="O536" i="1" s="1"/>
  <c r="P536" i="1" s="1"/>
  <c r="M31" i="1"/>
  <c r="O31" i="1" s="1"/>
  <c r="P31" i="1" s="1"/>
  <c r="M716" i="1"/>
  <c r="O716" i="1" s="1"/>
  <c r="P716" i="1" s="1"/>
  <c r="M575" i="1"/>
  <c r="O575" i="1" s="1"/>
  <c r="P575" i="1" s="1"/>
  <c r="M353" i="1"/>
  <c r="O353" i="1" s="1"/>
  <c r="P353" i="1" s="1"/>
  <c r="M669" i="1"/>
  <c r="O669" i="1" s="1"/>
  <c r="P669" i="1" s="1"/>
  <c r="M447" i="1"/>
  <c r="O447" i="1" s="1"/>
  <c r="P447" i="1" s="1"/>
  <c r="M380" i="1"/>
  <c r="O380" i="1" s="1"/>
  <c r="P380" i="1" s="1"/>
  <c r="M301" i="1"/>
  <c r="O301" i="1" s="1"/>
  <c r="P301" i="1" s="1"/>
  <c r="M1233" i="1"/>
  <c r="O1233" i="1" s="1"/>
  <c r="P1233" i="1" s="1"/>
  <c r="M1235" i="1"/>
  <c r="O1235" i="1" s="1"/>
  <c r="P1235" i="1" s="1"/>
  <c r="M530" i="1"/>
  <c r="O530" i="1" s="1"/>
  <c r="P530" i="1" s="1"/>
  <c r="M331" i="1"/>
  <c r="O331" i="1" s="1"/>
  <c r="P331" i="1" s="1"/>
  <c r="M83" i="1"/>
  <c r="O83" i="1" s="1"/>
  <c r="P83" i="1" s="1"/>
  <c r="M246" i="1"/>
  <c r="O246" i="1" s="1"/>
  <c r="P246" i="1" s="1"/>
  <c r="M1005" i="1"/>
  <c r="O1005" i="1" s="1"/>
  <c r="P1005" i="1" s="1"/>
  <c r="M65" i="1"/>
  <c r="O65" i="1" s="1"/>
  <c r="P65" i="1" s="1"/>
  <c r="M453" i="1"/>
  <c r="O453" i="1" s="1"/>
  <c r="P453" i="1" s="1"/>
  <c r="M141" i="1"/>
  <c r="O141" i="1" s="1"/>
  <c r="P141" i="1" s="1"/>
  <c r="M963" i="1"/>
  <c r="O963" i="1" s="1"/>
  <c r="P963" i="1" s="1"/>
  <c r="M37" i="1"/>
  <c r="O37" i="1" s="1"/>
  <c r="P37" i="1" s="1"/>
  <c r="M24" i="1"/>
  <c r="O24" i="1" s="1"/>
  <c r="P24" i="1" s="1"/>
  <c r="M137" i="1"/>
  <c r="O137" i="1" s="1"/>
  <c r="P137" i="1" s="1"/>
  <c r="M568" i="1"/>
  <c r="O568" i="1" s="1"/>
  <c r="P568" i="1" s="1"/>
  <c r="M1168" i="1"/>
  <c r="O1168" i="1" s="1"/>
  <c r="P1168" i="1" s="1"/>
  <c r="M160" i="1"/>
  <c r="O160" i="1" s="1"/>
  <c r="P160" i="1" s="1"/>
  <c r="M307" i="1"/>
  <c r="O307" i="1" s="1"/>
  <c r="P307" i="1" s="1"/>
  <c r="M75" i="1"/>
  <c r="O75" i="1" s="1"/>
  <c r="P75" i="1" s="1"/>
  <c r="M969" i="1"/>
  <c r="O969" i="1" s="1"/>
  <c r="P969" i="1" s="1"/>
  <c r="M357" i="1"/>
  <c r="O357" i="1" s="1"/>
  <c r="P357" i="1" s="1"/>
  <c r="M913" i="1"/>
  <c r="O913" i="1" s="1"/>
  <c r="P913" i="1" s="1"/>
  <c r="M343" i="1"/>
  <c r="O343" i="1" s="1"/>
  <c r="P343" i="1" s="1"/>
  <c r="M78" i="1"/>
  <c r="O78" i="1" s="1"/>
  <c r="P78" i="1" s="1"/>
  <c r="M1144" i="1"/>
  <c r="O1144" i="1" s="1"/>
  <c r="P1144" i="1" s="1"/>
  <c r="M1088" i="1"/>
  <c r="O1088" i="1" s="1"/>
  <c r="P1088" i="1" s="1"/>
  <c r="M35" i="1"/>
  <c r="O35" i="1" s="1"/>
  <c r="P35" i="1" s="1"/>
  <c r="M816" i="1"/>
  <c r="O816" i="1" s="1"/>
  <c r="P816" i="1" s="1"/>
  <c r="M45" i="1"/>
  <c r="O45" i="1" s="1"/>
  <c r="P45" i="1" s="1"/>
  <c r="M837" i="1"/>
  <c r="O837" i="1" s="1"/>
  <c r="P837" i="1" s="1"/>
  <c r="M264" i="1"/>
  <c r="O264" i="1" s="1"/>
  <c r="P264" i="1" s="1"/>
  <c r="M63" i="1"/>
  <c r="O63" i="1" s="1"/>
  <c r="P63" i="1" s="1"/>
  <c r="M17" i="1"/>
  <c r="O17" i="1" s="1"/>
  <c r="P17" i="1" s="1"/>
  <c r="M28" i="1"/>
  <c r="O28" i="1" s="1"/>
  <c r="P28" i="1" s="1"/>
  <c r="M287" i="1"/>
  <c r="O287" i="1" s="1"/>
  <c r="P287" i="1" s="1"/>
  <c r="M708" i="1"/>
  <c r="O708" i="1" s="1"/>
  <c r="P708" i="1" s="1"/>
  <c r="M1370" i="1"/>
  <c r="O1370" i="1" s="1"/>
  <c r="P1370" i="1" s="1"/>
  <c r="M492" i="1"/>
  <c r="O492" i="1" s="1"/>
  <c r="P492" i="1" s="1"/>
  <c r="M350" i="1"/>
  <c r="O350" i="1" s="1"/>
  <c r="P350" i="1" s="1"/>
  <c r="M1161" i="1"/>
  <c r="O1161" i="1" s="1"/>
  <c r="P1161" i="1" s="1"/>
  <c r="M581" i="1"/>
  <c r="O581" i="1" s="1"/>
  <c r="P581" i="1" s="1"/>
  <c r="M108" i="1"/>
  <c r="O108" i="1" s="1"/>
  <c r="P108" i="1" s="1"/>
  <c r="M25" i="1"/>
  <c r="O25" i="1" s="1"/>
  <c r="P25" i="1" s="1"/>
  <c r="M1120" i="1"/>
  <c r="O1120" i="1" s="1"/>
  <c r="P1120" i="1" s="1"/>
  <c r="M58" i="1"/>
  <c r="O58" i="1" s="1"/>
  <c r="P58" i="1" s="1"/>
  <c r="M1121" i="1"/>
  <c r="O1121" i="1" s="1"/>
  <c r="P1121" i="1" s="1"/>
  <c r="M547" i="1"/>
  <c r="O547" i="1" s="1"/>
  <c r="P547" i="1" s="1"/>
  <c r="M756" i="1"/>
  <c r="O756" i="1" s="1"/>
  <c r="P756" i="1" s="1"/>
  <c r="M183" i="1"/>
  <c r="O183" i="1" s="1"/>
  <c r="P183" i="1" s="1"/>
  <c r="M1314" i="1"/>
  <c r="O1314" i="1" s="1"/>
  <c r="P1314" i="1" s="1"/>
  <c r="M832" i="1"/>
  <c r="O832" i="1" s="1"/>
  <c r="P832" i="1" s="1"/>
  <c r="M836" i="1"/>
  <c r="O836" i="1" s="1"/>
  <c r="P836" i="1" s="1"/>
  <c r="M293" i="1"/>
  <c r="O293" i="1" s="1"/>
  <c r="P293" i="1" s="1"/>
  <c r="M770" i="1"/>
  <c r="O770" i="1" s="1"/>
  <c r="P770" i="1" s="1"/>
  <c r="M250" i="1"/>
  <c r="O250" i="1" s="1"/>
  <c r="P250" i="1" s="1"/>
  <c r="M476" i="1"/>
  <c r="O476" i="1" s="1"/>
  <c r="P476" i="1" s="1"/>
  <c r="M446" i="1"/>
  <c r="O446" i="1" s="1"/>
  <c r="P446" i="1" s="1"/>
  <c r="M423" i="1"/>
  <c r="O423" i="1" s="1"/>
  <c r="P423" i="1" s="1"/>
  <c r="M265" i="1"/>
  <c r="O265" i="1" s="1"/>
  <c r="P265" i="1" s="1"/>
  <c r="M1145" i="1"/>
  <c r="O1145" i="1" s="1"/>
  <c r="P1145" i="1" s="1"/>
  <c r="M177" i="1"/>
  <c r="O177" i="1" s="1"/>
  <c r="P177" i="1" s="1"/>
  <c r="M302" i="1"/>
  <c r="O302" i="1" s="1"/>
  <c r="P302" i="1" s="1"/>
  <c r="M52" i="1"/>
  <c r="O52" i="1" s="1"/>
  <c r="P52" i="1" s="1"/>
  <c r="M1263" i="1"/>
  <c r="O1263" i="1" s="1"/>
  <c r="P1263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8" i="1"/>
  <c r="O8" i="1" s="1"/>
  <c r="P8" i="1" s="1"/>
  <c r="M2" i="1"/>
  <c r="O2" i="1" s="1"/>
  <c r="P2" i="1" s="1"/>
  <c r="N32" i="1"/>
  <c r="N30" i="1"/>
  <c r="N29" i="1"/>
  <c r="N26" i="1"/>
  <c r="N49" i="1"/>
  <c r="N34" i="1"/>
  <c r="N48" i="1"/>
  <c r="N10" i="1"/>
  <c r="N18" i="1"/>
  <c r="N13" i="1"/>
  <c r="N42" i="1"/>
  <c r="N47" i="1"/>
  <c r="N20" i="1"/>
  <c r="N12" i="1"/>
  <c r="N56" i="1"/>
  <c r="N33" i="1"/>
  <c r="N77" i="1"/>
  <c r="N16" i="1"/>
  <c r="N39" i="1"/>
  <c r="N19" i="1"/>
  <c r="N40" i="1"/>
  <c r="N111" i="1"/>
  <c r="N122" i="1"/>
  <c r="N46" i="1"/>
  <c r="N21" i="1"/>
  <c r="N153" i="1"/>
  <c r="N27" i="1"/>
  <c r="N44" i="1"/>
  <c r="N139" i="1"/>
  <c r="N60" i="1"/>
  <c r="N146" i="1"/>
  <c r="N38" i="1"/>
  <c r="N50" i="1"/>
  <c r="N84" i="1"/>
  <c r="N36" i="1"/>
  <c r="N41" i="1"/>
  <c r="N62" i="1"/>
  <c r="N64" i="1"/>
  <c r="N51" i="1"/>
  <c r="N163" i="1"/>
  <c r="N61" i="1"/>
  <c r="N226" i="1"/>
  <c r="N68" i="1"/>
  <c r="N90" i="1"/>
  <c r="N43" i="1"/>
  <c r="N121" i="1"/>
  <c r="N97" i="1"/>
  <c r="N66" i="1"/>
  <c r="N205" i="1"/>
  <c r="N116" i="1"/>
  <c r="N96" i="1"/>
  <c r="N57" i="1"/>
  <c r="N70" i="1"/>
  <c r="N54" i="1"/>
  <c r="N131" i="1"/>
  <c r="N59" i="1"/>
  <c r="N130" i="1"/>
  <c r="N53" i="1"/>
  <c r="N127" i="1"/>
  <c r="N72" i="1"/>
  <c r="N220" i="1"/>
  <c r="N101" i="1"/>
  <c r="N192" i="1"/>
  <c r="N55" i="1"/>
  <c r="N117" i="1"/>
  <c r="N81" i="1"/>
  <c r="N69" i="1"/>
  <c r="N71" i="1"/>
  <c r="N140" i="1"/>
  <c r="N76" i="1"/>
  <c r="N157" i="1"/>
  <c r="N85" i="1"/>
  <c r="N110" i="1"/>
  <c r="N82" i="1"/>
  <c r="N218" i="1"/>
  <c r="N99" i="1"/>
  <c r="N120" i="1"/>
  <c r="N149" i="1"/>
  <c r="N234" i="1"/>
  <c r="N239" i="1"/>
  <c r="N102" i="1"/>
  <c r="N289" i="1"/>
  <c r="N105" i="1"/>
  <c r="N87" i="1"/>
  <c r="N173" i="1"/>
  <c r="N197" i="1"/>
  <c r="N79" i="1"/>
  <c r="N175" i="1"/>
  <c r="N80" i="1"/>
  <c r="N300" i="1"/>
  <c r="N67" i="1"/>
  <c r="N89" i="1"/>
  <c r="N88" i="1"/>
  <c r="N178" i="1"/>
  <c r="N158" i="1"/>
  <c r="N128" i="1"/>
  <c r="N147" i="1"/>
  <c r="N259" i="1"/>
  <c r="N112" i="1"/>
  <c r="N138" i="1"/>
  <c r="N136" i="1"/>
  <c r="N150" i="1"/>
  <c r="N165" i="1"/>
  <c r="N156" i="1"/>
  <c r="N191" i="1"/>
  <c r="N94" i="1"/>
  <c r="N109" i="1"/>
  <c r="N104" i="1"/>
  <c r="N232" i="1"/>
  <c r="N233" i="1"/>
  <c r="N169" i="1"/>
  <c r="N168" i="1"/>
  <c r="N113" i="1"/>
  <c r="N119" i="1"/>
  <c r="N159" i="1"/>
  <c r="N231" i="1"/>
  <c r="N103" i="1"/>
  <c r="N416" i="1"/>
  <c r="N107" i="1"/>
  <c r="N170" i="1"/>
  <c r="N238" i="1"/>
  <c r="N134" i="1"/>
  <c r="N278" i="1"/>
  <c r="N114" i="1"/>
  <c r="N144" i="1"/>
  <c r="N106" i="1"/>
  <c r="N204" i="1"/>
  <c r="N133" i="1"/>
  <c r="N118" i="1"/>
  <c r="N269" i="1"/>
  <c r="N92" i="1"/>
  <c r="N86" i="1"/>
  <c r="N221" i="1"/>
  <c r="N115" i="1"/>
  <c r="N126" i="1"/>
  <c r="N174" i="1"/>
  <c r="N135" i="1"/>
  <c r="N164" i="1"/>
  <c r="N410" i="1"/>
  <c r="N202" i="1"/>
  <c r="N361" i="1"/>
  <c r="N143" i="1"/>
  <c r="N186" i="1"/>
  <c r="N215" i="1"/>
  <c r="N297" i="1"/>
  <c r="N125" i="1"/>
  <c r="N306" i="1"/>
  <c r="N151" i="1"/>
  <c r="N244" i="1"/>
  <c r="N152" i="1"/>
  <c r="N249" i="1"/>
  <c r="N124" i="1"/>
  <c r="N207" i="1"/>
  <c r="N182" i="1"/>
  <c r="N154" i="1"/>
  <c r="N98" i="1"/>
  <c r="N430" i="1"/>
  <c r="N338" i="1"/>
  <c r="N474" i="1"/>
  <c r="N132" i="1"/>
  <c r="N362" i="1"/>
  <c r="N399" i="1"/>
  <c r="N203" i="1"/>
  <c r="N201" i="1"/>
  <c r="N142" i="1"/>
  <c r="N316" i="1"/>
  <c r="N255" i="1"/>
  <c r="N280" i="1"/>
  <c r="N216" i="1"/>
  <c r="N187" i="1"/>
  <c r="N243" i="1"/>
  <c r="N242" i="1"/>
  <c r="N145" i="1"/>
  <c r="N428" i="1"/>
  <c r="N189" i="1"/>
  <c r="N330" i="1"/>
  <c r="N313" i="1"/>
  <c r="N129" i="1"/>
  <c r="N292" i="1"/>
  <c r="N236" i="1"/>
  <c r="N252" i="1"/>
  <c r="N193" i="1"/>
  <c r="N254" i="1"/>
  <c r="N253" i="1"/>
  <c r="N171" i="1"/>
  <c r="N298" i="1"/>
  <c r="N281" i="1"/>
  <c r="N266" i="1"/>
  <c r="N258" i="1"/>
  <c r="N320" i="1"/>
  <c r="N277" i="1"/>
  <c r="N392" i="1"/>
  <c r="N162" i="1"/>
  <c r="N309" i="1"/>
  <c r="N251" i="1"/>
  <c r="N123" i="1"/>
  <c r="N317" i="1"/>
  <c r="N457" i="1"/>
  <c r="N190" i="1"/>
  <c r="N225" i="1"/>
  <c r="N223" i="1"/>
  <c r="N181" i="1"/>
  <c r="N176" i="1"/>
  <c r="N185" i="1"/>
  <c r="N161" i="1"/>
  <c r="N283" i="1"/>
  <c r="N155" i="1"/>
  <c r="N166" i="1"/>
  <c r="N184" i="1"/>
  <c r="N276" i="1"/>
  <c r="N172" i="1"/>
  <c r="N263" i="1"/>
  <c r="N348" i="1"/>
  <c r="N240" i="1"/>
  <c r="N370" i="1"/>
  <c r="N290" i="1"/>
  <c r="N386" i="1"/>
  <c r="N291" i="1"/>
  <c r="N284" i="1"/>
  <c r="N224" i="1"/>
  <c r="N391" i="1"/>
  <c r="N230" i="1"/>
  <c r="N372" i="1"/>
  <c r="N196" i="1"/>
  <c r="N229" i="1"/>
  <c r="N455" i="1"/>
  <c r="N194" i="1"/>
  <c r="N321" i="1"/>
  <c r="N211" i="1"/>
  <c r="N188" i="1"/>
  <c r="N319" i="1"/>
  <c r="N398" i="1"/>
  <c r="N299" i="1"/>
  <c r="N237" i="1"/>
  <c r="N360" i="1"/>
  <c r="N323" i="1"/>
  <c r="N403" i="1"/>
  <c r="N268" i="1"/>
  <c r="N262" i="1"/>
  <c r="N285" i="1"/>
  <c r="N366" i="1"/>
  <c r="N267" i="1"/>
  <c r="N180" i="1"/>
  <c r="N198" i="1"/>
  <c r="N148" i="1"/>
  <c r="N200" i="1"/>
  <c r="N337" i="1"/>
  <c r="N214" i="1"/>
  <c r="N274" i="1"/>
  <c r="N354" i="1"/>
  <c r="N473" i="1"/>
  <c r="N247" i="1"/>
  <c r="N212" i="1"/>
  <c r="N411" i="1"/>
  <c r="N402" i="1"/>
  <c r="N235" i="1"/>
  <c r="N286" i="1"/>
  <c r="N308" i="1"/>
  <c r="N248" i="1"/>
  <c r="N222" i="1"/>
  <c r="N167" i="1"/>
  <c r="N208" i="1"/>
  <c r="N334" i="1"/>
  <c r="N295" i="1"/>
  <c r="N296" i="1"/>
  <c r="N228" i="1"/>
  <c r="N340" i="1"/>
  <c r="N210" i="1"/>
  <c r="N376" i="1"/>
  <c r="N279" i="1"/>
  <c r="N227" i="1"/>
  <c r="N271" i="1"/>
  <c r="N394" i="1"/>
  <c r="N256" i="1"/>
  <c r="N219" i="1"/>
  <c r="N429" i="1"/>
  <c r="N359" i="1"/>
  <c r="N352" i="1"/>
  <c r="N425" i="1"/>
  <c r="N382" i="1"/>
  <c r="N405" i="1"/>
  <c r="N324" i="1"/>
  <c r="N556" i="1"/>
  <c r="N384" i="1"/>
  <c r="N404" i="1"/>
  <c r="N369" i="1"/>
  <c r="N368" i="1"/>
  <c r="N485" i="1"/>
  <c r="N328" i="1"/>
  <c r="N329" i="1"/>
  <c r="N257" i="1"/>
  <c r="N275" i="1"/>
  <c r="N385" i="1"/>
  <c r="N409" i="1"/>
  <c r="N315" i="1"/>
  <c r="N314" i="1"/>
  <c r="N341" i="1"/>
  <c r="N414" i="1"/>
  <c r="N396" i="1"/>
  <c r="N471" i="1"/>
  <c r="N358" i="1"/>
  <c r="N503" i="1"/>
  <c r="N305" i="1"/>
  <c r="N451" i="1"/>
  <c r="N261" i="1"/>
  <c r="N427" i="1"/>
  <c r="N365" i="1"/>
  <c r="N554" i="1"/>
  <c r="N487" i="1"/>
  <c r="N563" i="1"/>
  <c r="N312" i="1"/>
  <c r="N288" i="1"/>
  <c r="N356" i="1"/>
  <c r="N336" i="1"/>
  <c r="N462" i="1"/>
  <c r="N335" i="1"/>
  <c r="N494" i="1"/>
  <c r="N445" i="1"/>
  <c r="N444" i="1"/>
  <c r="N397" i="1"/>
  <c r="N199" i="1"/>
  <c r="N294" i="1"/>
  <c r="N378" i="1"/>
  <c r="N580" i="1"/>
  <c r="N304" i="1"/>
  <c r="N441" i="1"/>
  <c r="N325" i="1"/>
  <c r="N528" i="1"/>
  <c r="N436" i="1"/>
  <c r="N533" i="1"/>
  <c r="N311" i="1"/>
  <c r="N408" i="1"/>
  <c r="N434" i="1"/>
  <c r="N333" i="1"/>
  <c r="N540" i="1"/>
  <c r="N272" i="1"/>
  <c r="N371" i="1"/>
  <c r="N388" i="1"/>
  <c r="N310" i="1"/>
  <c r="N260" i="1"/>
  <c r="N496" i="1"/>
  <c r="N470" i="1"/>
  <c r="N318" i="1"/>
  <c r="N469" i="1"/>
  <c r="N395" i="1"/>
  <c r="N375" i="1"/>
  <c r="N463" i="1"/>
  <c r="N345" i="1"/>
  <c r="N241" i="1"/>
  <c r="N420" i="1"/>
  <c r="N422" i="1"/>
  <c r="N450" i="1"/>
  <c r="N525" i="1"/>
  <c r="N322" i="1"/>
  <c r="N383" i="1"/>
  <c r="N508" i="1"/>
  <c r="N507" i="1"/>
  <c r="N426" i="1"/>
  <c r="N435" i="1"/>
  <c r="N513" i="1"/>
  <c r="N562" i="1"/>
  <c r="N433" i="1"/>
  <c r="N431" i="1"/>
  <c r="N456" i="1"/>
  <c r="N486" i="1"/>
  <c r="N355" i="1"/>
  <c r="N538" i="1"/>
  <c r="N461" i="1"/>
  <c r="N217" i="1"/>
  <c r="N518" i="1"/>
  <c r="N539" i="1"/>
  <c r="N467" i="1"/>
  <c r="N213" i="1"/>
  <c r="N523" i="1"/>
  <c r="N413" i="1"/>
  <c r="N472" i="1"/>
  <c r="N495" i="1"/>
  <c r="N501" i="1"/>
  <c r="N577" i="1"/>
  <c r="N452" i="1"/>
  <c r="N351" i="1"/>
  <c r="N442" i="1"/>
  <c r="N326" i="1"/>
  <c r="N332" i="1"/>
  <c r="N611" i="1"/>
  <c r="N569" i="1"/>
  <c r="N620" i="1"/>
  <c r="N593" i="1"/>
  <c r="N432" i="1"/>
  <c r="N377" i="1"/>
  <c r="N439" i="1"/>
  <c r="N491" i="1"/>
  <c r="N440" i="1"/>
  <c r="N489" i="1"/>
  <c r="N490" i="1"/>
  <c r="N582" i="1"/>
  <c r="N522" i="1"/>
  <c r="N595" i="1"/>
  <c r="N574" i="1"/>
  <c r="N544" i="1"/>
  <c r="N468" i="1"/>
  <c r="N401" i="1"/>
  <c r="N579" i="1"/>
  <c r="N475" i="1"/>
  <c r="N418" i="1"/>
  <c r="N578" i="1"/>
  <c r="N419" i="1"/>
  <c r="N608" i="1"/>
  <c r="N344" i="1"/>
  <c r="N588" i="1"/>
  <c r="N553" i="1"/>
  <c r="N478" i="1"/>
  <c r="N618" i="1"/>
  <c r="N529" i="1"/>
  <c r="N381" i="1"/>
  <c r="N594" i="1"/>
  <c r="N387" i="1"/>
  <c r="N565" i="1"/>
  <c r="N629" i="1"/>
  <c r="N460" i="1"/>
  <c r="N488" i="1"/>
  <c r="N792" i="1"/>
  <c r="N631" i="1"/>
  <c r="N367" i="1"/>
  <c r="N596" i="1"/>
  <c r="N303" i="1"/>
  <c r="N638" i="1"/>
  <c r="N545" i="1"/>
  <c r="N639" i="1"/>
  <c r="N606" i="1"/>
  <c r="N373" i="1"/>
  <c r="N374" i="1"/>
  <c r="N412" i="1"/>
  <c r="N443" i="1"/>
  <c r="N339" i="1"/>
  <c r="N347" i="1"/>
  <c r="N549" i="1"/>
  <c r="N609" i="1"/>
  <c r="N500" i="1"/>
  <c r="N548" i="1"/>
  <c r="N645" i="1"/>
  <c r="N421" i="1"/>
  <c r="N400" i="1"/>
  <c r="N327" i="1"/>
  <c r="N684" i="1"/>
  <c r="N555" i="1"/>
  <c r="N649" i="1"/>
  <c r="N587" i="1"/>
  <c r="N364" i="1"/>
  <c r="N592" i="1"/>
  <c r="N407" i="1"/>
  <c r="N514" i="1"/>
  <c r="N737" i="1"/>
  <c r="N516" i="1"/>
  <c r="N600" i="1"/>
  <c r="N567" i="1"/>
  <c r="N438" i="1"/>
  <c r="N390" i="1"/>
  <c r="N659" i="1"/>
  <c r="N543" i="1"/>
  <c r="N417" i="1"/>
  <c r="N449" i="1"/>
  <c r="N601" i="1"/>
  <c r="N502" i="1"/>
  <c r="N499" i="1"/>
  <c r="N683" i="1"/>
  <c r="N643" i="1"/>
  <c r="N675" i="1"/>
  <c r="N617" i="1"/>
  <c r="N479" i="1"/>
  <c r="N480" i="1"/>
  <c r="N817" i="1"/>
  <c r="N560" i="1"/>
  <c r="N622" i="1"/>
  <c r="N379" i="1"/>
  <c r="N706" i="1"/>
  <c r="N559" i="1"/>
  <c r="N512" i="1"/>
  <c r="N393" i="1"/>
  <c r="N623" i="1"/>
  <c r="N561" i="1"/>
  <c r="N517" i="1"/>
  <c r="N889" i="1"/>
  <c r="N710" i="1"/>
  <c r="N437" i="1"/>
  <c r="N415" i="1"/>
  <c r="N630" i="1"/>
  <c r="N679" i="1"/>
  <c r="N637" i="1"/>
  <c r="N831" i="1"/>
  <c r="N573" i="1"/>
  <c r="N466" i="1"/>
  <c r="N605" i="1"/>
  <c r="N603" i="1"/>
  <c r="N663" i="1"/>
  <c r="N505" i="1"/>
  <c r="N493" i="1"/>
  <c r="N448" i="1"/>
  <c r="N498" i="1"/>
  <c r="N696" i="1"/>
  <c r="N644" i="1"/>
  <c r="N346" i="1"/>
  <c r="N616" i="1"/>
  <c r="N506" i="1"/>
  <c r="N615" i="1"/>
  <c r="N406" i="1"/>
  <c r="N653" i="1"/>
  <c r="N557" i="1"/>
  <c r="N484" i="1"/>
  <c r="N363" i="1"/>
  <c r="N621" i="1"/>
  <c r="N459" i="1"/>
  <c r="N599" i="1"/>
  <c r="N689" i="1"/>
  <c r="N566" i="1"/>
  <c r="N389" i="1"/>
  <c r="N572" i="1"/>
  <c r="N763" i="1"/>
  <c r="N724" i="1"/>
  <c r="N664" i="1"/>
  <c r="N694" i="1"/>
  <c r="N747" i="1"/>
  <c r="N552" i="1"/>
  <c r="N800" i="1"/>
  <c r="N550" i="1"/>
  <c r="N586" i="1"/>
  <c r="N527" i="1"/>
  <c r="N477" i="1"/>
  <c r="N510" i="1"/>
  <c r="N483" i="1"/>
  <c r="N705" i="1"/>
  <c r="N654" i="1"/>
  <c r="N707" i="1"/>
  <c r="N738" i="1"/>
  <c r="N591" i="1"/>
  <c r="N515" i="1"/>
  <c r="N666" i="1"/>
  <c r="N537" i="1"/>
  <c r="N597" i="1"/>
  <c r="N681" i="1"/>
  <c r="N628" i="1"/>
  <c r="N598" i="1"/>
  <c r="N744" i="1"/>
  <c r="N662" i="1"/>
  <c r="N714" i="1"/>
  <c r="N636" i="1"/>
  <c r="N686" i="1"/>
  <c r="N688" i="1"/>
  <c r="N542" i="1"/>
  <c r="N570" i="1"/>
  <c r="N661" i="1"/>
  <c r="N743" i="1"/>
  <c r="N604" i="1"/>
  <c r="N521" i="1"/>
  <c r="N634" i="1"/>
  <c r="N682" i="1"/>
  <c r="N576" i="1"/>
  <c r="N779" i="1"/>
  <c r="N668" i="1"/>
  <c r="N717" i="1"/>
  <c r="N793" i="1"/>
  <c r="N677" i="1"/>
  <c r="N641" i="1"/>
  <c r="N497" i="1"/>
  <c r="N755" i="1"/>
  <c r="N842" i="1"/>
  <c r="N585" i="1"/>
  <c r="N727" i="1"/>
  <c r="N805" i="1"/>
  <c r="N648" i="1"/>
  <c r="N614" i="1"/>
  <c r="N702" i="1"/>
  <c r="N760" i="1"/>
  <c r="N511" i="1"/>
  <c r="N685" i="1"/>
  <c r="N787" i="1"/>
  <c r="N651" i="1"/>
  <c r="N458" i="1"/>
  <c r="N481" i="1"/>
  <c r="N658" i="1"/>
  <c r="N768" i="1"/>
  <c r="N742" i="1"/>
  <c r="N775" i="1"/>
  <c r="N571" i="1"/>
  <c r="N424" i="1"/>
  <c r="N635" i="1"/>
  <c r="N771" i="1"/>
  <c r="N482" i="1"/>
  <c r="N746" i="1"/>
  <c r="N667" i="1"/>
  <c r="N721" i="1"/>
  <c r="N806" i="1"/>
  <c r="N778" i="1"/>
  <c r="N795" i="1"/>
  <c r="N520" i="1"/>
  <c r="N642" i="1"/>
  <c r="N698" i="1"/>
  <c r="N647" i="1"/>
  <c r="N613" i="1"/>
  <c r="N584" i="1"/>
  <c r="N674" i="1"/>
  <c r="N754" i="1"/>
  <c r="N652" i="1"/>
  <c r="N704" i="1"/>
  <c r="N532" i="1"/>
  <c r="N558" i="1"/>
  <c r="N732" i="1"/>
  <c r="N762" i="1"/>
  <c r="N703" i="1"/>
  <c r="N627" i="1"/>
  <c r="N657" i="1"/>
  <c r="N524" i="1"/>
  <c r="N680" i="1"/>
  <c r="N624" i="1"/>
  <c r="N699" i="1"/>
  <c r="N602" i="1"/>
  <c r="N825" i="1"/>
  <c r="N531" i="1"/>
  <c r="N848" i="1"/>
  <c r="N922" i="1"/>
  <c r="N612" i="1"/>
  <c r="N640" i="1"/>
  <c r="N777" i="1"/>
  <c r="N815" i="1"/>
  <c r="N835" i="1"/>
  <c r="N700" i="1"/>
  <c r="N719" i="1"/>
  <c r="N814" i="1"/>
  <c r="N751" i="1"/>
  <c r="N901" i="1"/>
  <c r="N646" i="1"/>
  <c r="N673" i="1"/>
  <c r="N799" i="1"/>
  <c r="N820" i="1"/>
  <c r="N551" i="1"/>
  <c r="N876" i="1"/>
  <c r="N583" i="1"/>
  <c r="N753" i="1"/>
  <c r="N808" i="1"/>
  <c r="N796" i="1"/>
  <c r="N650" i="1"/>
  <c r="N761" i="1"/>
  <c r="N701" i="1"/>
  <c r="N626" i="1"/>
  <c r="N767" i="1"/>
  <c r="N736" i="1"/>
  <c r="N765" i="1"/>
  <c r="N687" i="1"/>
  <c r="N454" i="1"/>
  <c r="N873" i="1"/>
  <c r="N740" i="1"/>
  <c r="N633" i="1"/>
  <c r="N741" i="1"/>
  <c r="N774" i="1"/>
  <c r="N693" i="1"/>
  <c r="N607" i="1"/>
  <c r="N720" i="1"/>
  <c r="N823" i="1"/>
  <c r="N840" i="1"/>
  <c r="N866" i="1"/>
  <c r="N826" i="1"/>
  <c r="N726" i="1"/>
  <c r="N752" i="1"/>
  <c r="N891" i="1"/>
  <c r="N797" i="1"/>
  <c r="N731" i="1"/>
  <c r="N759" i="1"/>
  <c r="N678" i="1"/>
  <c r="N804" i="1"/>
  <c r="N903" i="1"/>
  <c r="N766" i="1"/>
  <c r="N764" i="1"/>
  <c r="N564" i="1"/>
  <c r="N735" i="1"/>
  <c r="N869" i="1"/>
  <c r="N656" i="1"/>
  <c r="N709" i="1"/>
  <c r="N809" i="1"/>
  <c r="N734" i="1"/>
  <c r="N854" i="1"/>
  <c r="N807" i="1"/>
  <c r="N855" i="1"/>
  <c r="N660" i="1"/>
  <c r="N739" i="1"/>
  <c r="N776" i="1"/>
  <c r="N690" i="1"/>
  <c r="N813" i="1"/>
  <c r="N718" i="1"/>
  <c r="N692" i="1"/>
  <c r="N695" i="1"/>
  <c r="N812" i="1"/>
  <c r="N852" i="1"/>
  <c r="N745" i="1"/>
  <c r="N691" i="1"/>
  <c r="N811" i="1"/>
  <c r="N672" i="1"/>
  <c r="N875" i="1"/>
  <c r="N782" i="1"/>
  <c r="N725" i="1"/>
  <c r="N862" i="1"/>
  <c r="N819" i="1"/>
  <c r="N824" i="1"/>
  <c r="N526" i="1"/>
  <c r="N845" i="1"/>
  <c r="N864" i="1"/>
  <c r="N870" i="1"/>
  <c r="N964" i="1"/>
  <c r="N789" i="1"/>
  <c r="N844" i="1"/>
  <c r="N791" i="1"/>
  <c r="N713" i="1"/>
  <c r="N921" i="1"/>
  <c r="N773" i="1"/>
  <c r="N712" i="1"/>
  <c r="N722" i="1"/>
  <c r="N822" i="1"/>
  <c r="N897" i="1"/>
  <c r="N887" i="1"/>
  <c r="N546" i="1"/>
  <c r="N861" i="1"/>
  <c r="N749" i="1"/>
  <c r="N798" i="1"/>
  <c r="N676" i="1"/>
  <c r="N888" i="1"/>
  <c r="N781" i="1"/>
  <c r="N833" i="1"/>
  <c r="N665" i="1"/>
  <c r="N818" i="1"/>
  <c r="N899" i="1"/>
  <c r="N786" i="1"/>
  <c r="N916" i="1"/>
  <c r="N758" i="1"/>
  <c r="N729" i="1"/>
  <c r="N801" i="1"/>
  <c r="N886" i="1"/>
  <c r="N728" i="1"/>
  <c r="N803" i="1"/>
  <c r="N619" i="1"/>
  <c r="N784" i="1"/>
  <c r="N772" i="1"/>
  <c r="N785" i="1"/>
  <c r="N655" i="1"/>
  <c r="N863" i="1"/>
  <c r="N625" i="1"/>
  <c r="N788" i="1"/>
  <c r="N895" i="1"/>
  <c r="N830" i="1"/>
  <c r="N847" i="1"/>
  <c r="N632" i="1"/>
  <c r="N926" i="1"/>
  <c r="N853" i="1"/>
  <c r="N890" i="1"/>
  <c r="N834" i="1"/>
  <c r="N850" i="1"/>
  <c r="N898" i="1"/>
  <c r="N860" i="1"/>
  <c r="N697" i="1"/>
  <c r="N874" i="1"/>
  <c r="N839" i="1"/>
  <c r="N904" i="1"/>
  <c r="N730" i="1"/>
  <c r="N941" i="1"/>
  <c r="N733" i="1"/>
  <c r="N821" i="1"/>
  <c r="N790" i="1"/>
  <c r="N935" i="1"/>
  <c r="N879" i="1"/>
  <c r="N918" i="1"/>
  <c r="N896" i="1"/>
  <c r="N750" i="1"/>
  <c r="N882" i="1"/>
  <c r="N780" i="1"/>
  <c r="N838" i="1"/>
  <c r="N924" i="1"/>
  <c r="N923" i="1"/>
  <c r="N910" i="1"/>
  <c r="N671" i="1"/>
  <c r="N915" i="1"/>
  <c r="N943" i="1"/>
  <c r="N828" i="1"/>
  <c r="N872" i="1"/>
  <c r="N907" i="1"/>
  <c r="N892" i="1"/>
  <c r="N794" i="1"/>
  <c r="N893" i="1"/>
  <c r="N927" i="1"/>
  <c r="N541" i="1"/>
  <c r="N909" i="1"/>
  <c r="N908" i="1"/>
  <c r="N849" i="1"/>
  <c r="N877" i="1"/>
  <c r="N939" i="1"/>
  <c r="N936" i="1"/>
  <c r="N859" i="1"/>
  <c r="N881" i="1"/>
  <c r="N883" i="1"/>
  <c r="N783" i="1"/>
  <c r="N711" i="1"/>
  <c r="N919" i="1"/>
  <c r="N957" i="1"/>
  <c r="N878" i="1"/>
  <c r="N829" i="1"/>
  <c r="N846" i="1"/>
  <c r="N948" i="1"/>
  <c r="N958" i="1"/>
  <c r="N925" i="1"/>
  <c r="N810" i="1"/>
  <c r="N851" i="1"/>
  <c r="N858" i="1"/>
  <c r="N880" i="1"/>
  <c r="N914" i="1"/>
  <c r="N982" i="1"/>
  <c r="N931" i="1"/>
  <c r="N802" i="1"/>
  <c r="N885" i="1"/>
  <c r="N884" i="1"/>
  <c r="N843" i="1"/>
  <c r="N952" i="1"/>
  <c r="N868" i="1"/>
  <c r="N867" i="1"/>
  <c r="N905" i="1"/>
  <c r="N950" i="1"/>
  <c r="N871" i="1"/>
  <c r="N894" i="1"/>
  <c r="N953" i="1"/>
  <c r="N932" i="1"/>
  <c r="N912" i="1"/>
  <c r="N857" i="1"/>
  <c r="N962" i="1"/>
  <c r="N940" i="1"/>
  <c r="N956" i="1"/>
  <c r="N929" i="1"/>
  <c r="N670" i="1"/>
  <c r="N757" i="1"/>
  <c r="N951" i="1"/>
  <c r="N1022" i="1"/>
  <c r="N987" i="1"/>
  <c r="N942" i="1"/>
  <c r="N947" i="1"/>
  <c r="N946" i="1"/>
  <c r="N961" i="1"/>
  <c r="N911" i="1"/>
  <c r="N983" i="1"/>
  <c r="N928" i="1"/>
  <c r="N971" i="1"/>
  <c r="N988" i="1"/>
  <c r="N967" i="1"/>
  <c r="N959" i="1"/>
  <c r="N1015" i="1"/>
  <c r="N934" i="1"/>
  <c r="N920" i="1"/>
  <c r="N945" i="1"/>
  <c r="N944" i="1"/>
  <c r="N973" i="1"/>
  <c r="N968" i="1"/>
  <c r="N984" i="1"/>
  <c r="N1001" i="1"/>
  <c r="N906" i="1"/>
  <c r="N949" i="1"/>
  <c r="N996" i="1"/>
  <c r="N970" i="1"/>
  <c r="N975" i="1"/>
  <c r="N995" i="1"/>
  <c r="N1006" i="1"/>
  <c r="N954" i="1"/>
  <c r="N841" i="1"/>
  <c r="N1013" i="1"/>
  <c r="N1004" i="1"/>
  <c r="N999" i="1"/>
  <c r="N1034" i="1"/>
  <c r="N978" i="1"/>
  <c r="N955" i="1"/>
  <c r="N902" i="1"/>
  <c r="N900" i="1"/>
  <c r="N1021" i="1"/>
  <c r="N1033" i="1"/>
  <c r="N981" i="1"/>
  <c r="N827" i="1"/>
  <c r="N1036" i="1"/>
  <c r="N960" i="1"/>
  <c r="N1044" i="1"/>
  <c r="N938" i="1"/>
  <c r="N1007" i="1"/>
  <c r="N1023" i="1"/>
  <c r="N1019" i="1"/>
  <c r="N1028" i="1"/>
  <c r="N979" i="1"/>
  <c r="N986" i="1"/>
  <c r="N930" i="1"/>
  <c r="N1030" i="1"/>
  <c r="N980" i="1"/>
  <c r="N1008" i="1"/>
  <c r="N992" i="1"/>
  <c r="N1064" i="1"/>
  <c r="N1032" i="1"/>
  <c r="N972" i="1"/>
  <c r="N993" i="1"/>
  <c r="N1043" i="1"/>
  <c r="N1056" i="1"/>
  <c r="N1079" i="1"/>
  <c r="N1101" i="1"/>
  <c r="N965" i="1"/>
  <c r="N1075" i="1"/>
  <c r="N998" i="1"/>
  <c r="N1024" i="1"/>
  <c r="N1053" i="1"/>
  <c r="N1031" i="1"/>
  <c r="N1011" i="1"/>
  <c r="N1063" i="1"/>
  <c r="N1003" i="1"/>
  <c r="N1046" i="1"/>
  <c r="N985" i="1"/>
  <c r="N1027" i="1"/>
  <c r="N1047" i="1"/>
  <c r="N1055" i="1"/>
  <c r="N1012" i="1"/>
  <c r="N1050" i="1"/>
  <c r="N1037" i="1"/>
  <c r="N1039" i="1"/>
  <c r="N990" i="1"/>
  <c r="N1042" i="1"/>
  <c r="N1014" i="1"/>
  <c r="N1035" i="1"/>
  <c r="N1017" i="1"/>
  <c r="N989" i="1"/>
  <c r="N1040" i="1"/>
  <c r="N977" i="1"/>
  <c r="N1026" i="1"/>
  <c r="N1104" i="1"/>
  <c r="N1049" i="1"/>
  <c r="N1002" i="1"/>
  <c r="N1084" i="1"/>
  <c r="N1062" i="1"/>
  <c r="N1000" i="1"/>
  <c r="N1124" i="1"/>
  <c r="N1070" i="1"/>
  <c r="N1018" i="1"/>
  <c r="N976" i="1"/>
  <c r="N1054" i="1"/>
  <c r="N1069" i="1"/>
  <c r="N1100" i="1"/>
  <c r="N1060" i="1"/>
  <c r="N1068" i="1"/>
  <c r="N1038" i="1"/>
  <c r="N1057" i="1"/>
  <c r="N1105" i="1"/>
  <c r="N994" i="1"/>
  <c r="N1051" i="1"/>
  <c r="N974" i="1"/>
  <c r="N1093" i="1"/>
  <c r="N1094" i="1"/>
  <c r="N1010" i="1"/>
  <c r="N1073" i="1"/>
  <c r="N1125" i="1"/>
  <c r="N1029" i="1"/>
  <c r="N1097" i="1"/>
  <c r="N1142" i="1"/>
  <c r="N1110" i="1"/>
  <c r="N1078" i="1"/>
  <c r="N1041" i="1"/>
  <c r="N1085" i="1"/>
  <c r="N1016" i="1"/>
  <c r="N937" i="1"/>
  <c r="N1071" i="1"/>
  <c r="N991" i="1"/>
  <c r="N1067" i="1"/>
  <c r="N1052" i="1"/>
  <c r="N1172" i="1"/>
  <c r="N1025" i="1"/>
  <c r="N1009" i="1"/>
  <c r="N1099" i="1"/>
  <c r="N1119" i="1"/>
  <c r="N1082" i="1"/>
  <c r="N1072" i="1"/>
  <c r="N1087" i="1"/>
  <c r="N1134" i="1"/>
  <c r="N1106" i="1"/>
  <c r="N1170" i="1"/>
  <c r="N1080" i="1"/>
  <c r="N1048" i="1"/>
  <c r="N1117" i="1"/>
  <c r="N966" i="1"/>
  <c r="N1096" i="1"/>
  <c r="N1058" i="1"/>
  <c r="N1133" i="1"/>
  <c r="N1151" i="1"/>
  <c r="N1115" i="1"/>
  <c r="N1086" i="1"/>
  <c r="N1103" i="1"/>
  <c r="N1163" i="1"/>
  <c r="N1165" i="1"/>
  <c r="N1164" i="1"/>
  <c r="N1074" i="1"/>
  <c r="N1107" i="1"/>
  <c r="N1116" i="1"/>
  <c r="N1153" i="1"/>
  <c r="N1076" i="1"/>
  <c r="N1114" i="1"/>
  <c r="N1132" i="1"/>
  <c r="N1077" i="1"/>
  <c r="N1059" i="1"/>
  <c r="N1083" i="1"/>
  <c r="N1181" i="1"/>
  <c r="N1109" i="1"/>
  <c r="N1089" i="1"/>
  <c r="N1135" i="1"/>
  <c r="N1136" i="1"/>
  <c r="N1184" i="1"/>
  <c r="N1156" i="1"/>
  <c r="N1090" i="1"/>
  <c r="N1158" i="1"/>
  <c r="N1157" i="1"/>
  <c r="N1127" i="1"/>
  <c r="N1137" i="1"/>
  <c r="N1174" i="1"/>
  <c r="N1147" i="1"/>
  <c r="N1139" i="1"/>
  <c r="N1138" i="1"/>
  <c r="N1128" i="1"/>
  <c r="N1123" i="1"/>
  <c r="N1091" i="1"/>
  <c r="N1141" i="1"/>
  <c r="N1131" i="1"/>
  <c r="N1203" i="1"/>
  <c r="N1152" i="1"/>
  <c r="N1129" i="1"/>
  <c r="N1167" i="1"/>
  <c r="N1102" i="1"/>
  <c r="N1122" i="1"/>
  <c r="N1171" i="1"/>
  <c r="N1192" i="1"/>
  <c r="N1200" i="1"/>
  <c r="N1176" i="1"/>
  <c r="N1166" i="1"/>
  <c r="N1150" i="1"/>
  <c r="N1118" i="1"/>
  <c r="N1292" i="1"/>
  <c r="N1189" i="1"/>
  <c r="N1173" i="1"/>
  <c r="N1169" i="1"/>
  <c r="N1177" i="1"/>
  <c r="N610" i="1"/>
  <c r="N1081" i="1"/>
  <c r="N1130" i="1"/>
  <c r="N1159" i="1"/>
  <c r="N1098" i="1"/>
  <c r="N1188" i="1"/>
  <c r="N1199" i="1"/>
  <c r="N1182" i="1"/>
  <c r="N1175" i="1"/>
  <c r="N1146" i="1"/>
  <c r="N933" i="1"/>
  <c r="N1108" i="1"/>
  <c r="N1178" i="1"/>
  <c r="N1215" i="1"/>
  <c r="N1216" i="1"/>
  <c r="N1197" i="1"/>
  <c r="N1219" i="1"/>
  <c r="N1160" i="1"/>
  <c r="N1191" i="1"/>
  <c r="N1206" i="1"/>
  <c r="N1236" i="1"/>
  <c r="N1185" i="1"/>
  <c r="N1190" i="1"/>
  <c r="N1213" i="1"/>
  <c r="N1251" i="1"/>
  <c r="N1202" i="1"/>
  <c r="N1194" i="1"/>
  <c r="N1300" i="1"/>
  <c r="N1112" i="1"/>
  <c r="N1204" i="1"/>
  <c r="N1180" i="1"/>
  <c r="N1229" i="1"/>
  <c r="N1186" i="1"/>
  <c r="N1183" i="1"/>
  <c r="N1111" i="1"/>
  <c r="N1238" i="1"/>
  <c r="N1193" i="1"/>
  <c r="N1196" i="1"/>
  <c r="N1061" i="1"/>
  <c r="N1250" i="1"/>
  <c r="N1205" i="1"/>
  <c r="N1232" i="1"/>
  <c r="N1217" i="1"/>
  <c r="N1259" i="1"/>
  <c r="N1245" i="1"/>
  <c r="N1198" i="1"/>
  <c r="N1243" i="1"/>
  <c r="N1226" i="1"/>
  <c r="N1208" i="1"/>
  <c r="N1155" i="1"/>
  <c r="N1113" i="1"/>
  <c r="N1092" i="1"/>
  <c r="N1218" i="1"/>
  <c r="N1195" i="1"/>
  <c r="N1275" i="1"/>
  <c r="N1223" i="1"/>
  <c r="N1201" i="1"/>
  <c r="N1211" i="1"/>
  <c r="N1239" i="1"/>
  <c r="N1148" i="1"/>
  <c r="N1244" i="1"/>
  <c r="N1242" i="1"/>
  <c r="N1231" i="1"/>
  <c r="N1140" i="1"/>
  <c r="N1207" i="1"/>
  <c r="N1241" i="1"/>
  <c r="N1126" i="1"/>
  <c r="N1222" i="1"/>
  <c r="N1187" i="1"/>
  <c r="N1209" i="1"/>
  <c r="N1255" i="1"/>
  <c r="N1149" i="1"/>
  <c r="N1230" i="1"/>
  <c r="N1249" i="1"/>
  <c r="N1225" i="1"/>
  <c r="N1264" i="1"/>
  <c r="N1154" i="1"/>
  <c r="N1240" i="1"/>
  <c r="N1237" i="1"/>
  <c r="N1143" i="1"/>
  <c r="N1212" i="1"/>
  <c r="N1210" i="1"/>
  <c r="N1252" i="1"/>
  <c r="N1280" i="1"/>
  <c r="N1273" i="1"/>
  <c r="N1256" i="1"/>
  <c r="N1257" i="1"/>
  <c r="N1247" i="1"/>
  <c r="N1283" i="1"/>
  <c r="N1227" i="1"/>
  <c r="N1268" i="1"/>
  <c r="N1278" i="1"/>
  <c r="N1162" i="1"/>
  <c r="N1224" i="1"/>
  <c r="N1270" i="1"/>
  <c r="N1261" i="1"/>
  <c r="N1269" i="1"/>
  <c r="N1248" i="1"/>
  <c r="N1254" i="1"/>
  <c r="N1253" i="1"/>
  <c r="N1266" i="1"/>
  <c r="N1279" i="1"/>
  <c r="N1295" i="1"/>
  <c r="N1272" i="1"/>
  <c r="N1066" i="1"/>
  <c r="N1302" i="1"/>
  <c r="N1288" i="1"/>
  <c r="N1287" i="1"/>
  <c r="N1246" i="1"/>
  <c r="N1303" i="1"/>
  <c r="N1282" i="1"/>
  <c r="N1265" i="1"/>
  <c r="N1262" i="1"/>
  <c r="N1271" i="1"/>
  <c r="N1297" i="1"/>
  <c r="N1294" i="1"/>
  <c r="N1267" i="1"/>
  <c r="N1286" i="1"/>
  <c r="N1296" i="1"/>
  <c r="N1220" i="1"/>
  <c r="N1284" i="1"/>
  <c r="N1228" i="1"/>
  <c r="N1260" i="1"/>
  <c r="N1274" i="1"/>
  <c r="N1281" i="1"/>
  <c r="N1311" i="1"/>
  <c r="N1313" i="1"/>
  <c r="N1285" i="1"/>
  <c r="N1277" i="1"/>
  <c r="N1258" i="1"/>
  <c r="N1299" i="1"/>
  <c r="N1276" i="1"/>
  <c r="N1319" i="1"/>
  <c r="N997" i="1"/>
  <c r="N1305" i="1"/>
  <c r="N1179" i="1"/>
  <c r="N1301" i="1"/>
  <c r="N1291" i="1"/>
  <c r="N1221" i="1"/>
  <c r="N1304" i="1"/>
  <c r="N1306" i="1"/>
  <c r="N1290" i="1"/>
  <c r="N1289" i="1"/>
  <c r="N1310" i="1"/>
  <c r="N1316" i="1"/>
  <c r="N1298" i="1"/>
  <c r="N1308" i="1"/>
  <c r="N1321" i="1"/>
  <c r="N1317" i="1"/>
  <c r="N1309" i="1"/>
  <c r="N1293" i="1"/>
  <c r="N1320" i="1"/>
  <c r="N1339" i="1"/>
  <c r="N1312" i="1"/>
  <c r="N1323" i="1"/>
  <c r="N1331" i="1"/>
  <c r="N1322" i="1"/>
  <c r="N1307" i="1"/>
  <c r="N1327" i="1"/>
  <c r="N1329" i="1"/>
  <c r="N1318" i="1"/>
  <c r="N1330" i="1"/>
  <c r="N1328" i="1"/>
  <c r="N1315" i="1"/>
  <c r="N1333" i="1"/>
  <c r="N1335" i="1"/>
  <c r="N1342" i="1"/>
  <c r="N1340" i="1"/>
  <c r="N1325" i="1"/>
  <c r="N1324" i="1"/>
  <c r="N1344" i="1"/>
  <c r="N1338" i="1"/>
  <c r="N1334" i="1"/>
  <c r="N1347" i="1"/>
  <c r="N1337" i="1"/>
  <c r="N1326" i="1"/>
  <c r="N1332" i="1"/>
  <c r="N1336" i="1"/>
  <c r="N1348" i="1"/>
  <c r="N1346" i="1"/>
  <c r="N1349" i="1"/>
  <c r="N1354" i="1"/>
  <c r="N1353" i="1"/>
  <c r="N1350" i="1"/>
  <c r="N1341" i="1"/>
  <c r="N1357" i="1"/>
  <c r="N1352" i="1"/>
  <c r="N1356" i="1"/>
  <c r="N1343" i="1"/>
  <c r="N1351" i="1"/>
  <c r="N1358" i="1"/>
  <c r="N1361" i="1"/>
  <c r="N1360" i="1"/>
  <c r="N1345" i="1"/>
  <c r="N1359" i="1"/>
  <c r="N1365" i="1"/>
  <c r="N1363" i="1"/>
  <c r="N1362" i="1"/>
  <c r="N1369" i="1"/>
  <c r="N1366" i="1"/>
  <c r="N1368" i="1"/>
  <c r="N1364" i="1"/>
  <c r="N1372" i="1"/>
  <c r="N1371" i="1"/>
  <c r="N1373" i="1"/>
  <c r="N1376" i="1"/>
  <c r="N1374" i="1"/>
  <c r="N1375" i="1"/>
  <c r="N1367" i="1"/>
  <c r="N1379" i="1"/>
  <c r="N1381" i="1"/>
  <c r="N1378" i="1"/>
  <c r="N1377" i="1"/>
  <c r="N1380" i="1"/>
  <c r="N1382" i="1"/>
  <c r="N1383" i="1"/>
  <c r="N1384" i="1"/>
  <c r="N1385" i="1"/>
  <c r="N342" i="1"/>
  <c r="N195" i="1"/>
  <c r="N179" i="1"/>
  <c r="N519" i="1"/>
  <c r="N206" i="1"/>
  <c r="N282" i="1"/>
  <c r="N209" i="1"/>
  <c r="N74" i="1"/>
  <c r="N534" i="1"/>
  <c r="N509" i="1"/>
  <c r="N917" i="1"/>
  <c r="N1214" i="1"/>
  <c r="N245" i="1"/>
  <c r="N504" i="1"/>
  <c r="N73" i="1"/>
  <c r="N100" i="1"/>
  <c r="N1095" i="1"/>
  <c r="N590" i="1"/>
  <c r="N865" i="1"/>
  <c r="N93" i="1"/>
  <c r="N273" i="1"/>
  <c r="N95" i="1"/>
  <c r="N464" i="1"/>
  <c r="N535" i="1"/>
  <c r="N856" i="1"/>
  <c r="N715" i="1"/>
  <c r="N1020" i="1"/>
  <c r="N1065" i="1"/>
  <c r="N589" i="1"/>
  <c r="N91" i="1"/>
  <c r="N748" i="1"/>
  <c r="N465" i="1"/>
  <c r="N349" i="1"/>
  <c r="N723" i="1"/>
  <c r="N769" i="1"/>
  <c r="N270" i="1"/>
  <c r="N1045" i="1"/>
  <c r="N1234" i="1"/>
  <c r="N1355" i="1"/>
  <c r="N536" i="1"/>
  <c r="N31" i="1"/>
  <c r="N716" i="1"/>
  <c r="N575" i="1"/>
  <c r="N353" i="1"/>
  <c r="N669" i="1"/>
  <c r="N447" i="1"/>
  <c r="N380" i="1"/>
  <c r="N301" i="1"/>
  <c r="N1233" i="1"/>
  <c r="N1235" i="1"/>
  <c r="N530" i="1"/>
  <c r="N331" i="1"/>
  <c r="N83" i="1"/>
  <c r="N246" i="1"/>
  <c r="N1005" i="1"/>
  <c r="N65" i="1"/>
  <c r="N453" i="1"/>
  <c r="N141" i="1"/>
  <c r="N963" i="1"/>
  <c r="N37" i="1"/>
  <c r="N24" i="1"/>
  <c r="N137" i="1"/>
  <c r="N568" i="1"/>
  <c r="N1168" i="1"/>
  <c r="N160" i="1"/>
  <c r="N307" i="1"/>
  <c r="N75" i="1"/>
  <c r="N969" i="1"/>
  <c r="N357" i="1"/>
  <c r="N913" i="1"/>
  <c r="N343" i="1"/>
  <c r="N78" i="1"/>
  <c r="N1144" i="1"/>
  <c r="N1088" i="1"/>
  <c r="N35" i="1"/>
  <c r="N816" i="1"/>
  <c r="N45" i="1"/>
  <c r="N837" i="1"/>
  <c r="N264" i="1"/>
  <c r="N63" i="1"/>
  <c r="N17" i="1"/>
  <c r="N28" i="1"/>
  <c r="N287" i="1"/>
  <c r="N708" i="1"/>
  <c r="N1370" i="1"/>
  <c r="N492" i="1"/>
  <c r="N350" i="1"/>
  <c r="N1161" i="1"/>
  <c r="N581" i="1"/>
  <c r="N108" i="1"/>
  <c r="N25" i="1"/>
  <c r="N1120" i="1"/>
  <c r="N58" i="1"/>
  <c r="N1121" i="1"/>
  <c r="N547" i="1"/>
  <c r="N756" i="1"/>
  <c r="N183" i="1"/>
  <c r="N1314" i="1"/>
  <c r="N832" i="1"/>
  <c r="N836" i="1"/>
  <c r="N293" i="1"/>
  <c r="N770" i="1"/>
  <c r="N250" i="1"/>
  <c r="N476" i="1"/>
  <c r="N446" i="1"/>
  <c r="N423" i="1"/>
  <c r="N265" i="1"/>
  <c r="N1145" i="1"/>
  <c r="N177" i="1"/>
  <c r="N302" i="1"/>
  <c r="N52" i="1"/>
  <c r="N1263" i="1"/>
  <c r="N1386" i="1"/>
  <c r="N1387" i="1"/>
  <c r="N1388" i="1"/>
  <c r="N1389" i="1"/>
  <c r="N1390" i="1"/>
  <c r="N1391" i="1"/>
  <c r="N1392" i="1"/>
  <c r="N1393" i="1"/>
  <c r="N1394" i="1"/>
  <c r="N1395" i="1"/>
  <c r="N1396" i="1"/>
  <c r="N14" i="1"/>
  <c r="N4" i="1"/>
  <c r="N7" i="1"/>
  <c r="N22" i="1"/>
  <c r="N15" i="1"/>
  <c r="N23" i="1"/>
  <c r="N2" i="1"/>
  <c r="N11" i="1"/>
  <c r="N3" i="1"/>
  <c r="N8" i="1"/>
  <c r="N9" i="1"/>
  <c r="N5" i="1"/>
  <c r="N6" i="1"/>
  <c r="Q513" i="1" l="1"/>
  <c r="C513" i="1" s="1"/>
  <c r="Q1360" i="1"/>
  <c r="C1360" i="1" s="1"/>
  <c r="Q267" i="1"/>
  <c r="C267" i="1" s="1"/>
  <c r="Q568" i="1"/>
  <c r="C568" i="1" s="1"/>
  <c r="Q1071" i="1"/>
  <c r="C1071" i="1" s="1"/>
  <c r="Q564" i="1"/>
  <c r="C564" i="1" s="1"/>
  <c r="Q1197" i="1"/>
  <c r="C1197" i="1" s="1"/>
  <c r="Q1391" i="1"/>
  <c r="Q1394" i="1"/>
  <c r="Q561" i="1"/>
  <c r="C561" i="1" s="1"/>
  <c r="Q620" i="1"/>
  <c r="C620" i="1" s="1"/>
  <c r="Q257" i="1"/>
  <c r="C257" i="1" s="1"/>
  <c r="Q29" i="1"/>
  <c r="C29" i="1" s="1"/>
  <c r="Q1161" i="1"/>
  <c r="C1161" i="1" s="1"/>
  <c r="Q1298" i="1"/>
  <c r="C1298" i="1" s="1"/>
  <c r="Q1210" i="1"/>
  <c r="C1210" i="1" s="1"/>
  <c r="Q764" i="1"/>
  <c r="C764" i="1" s="1"/>
  <c r="Q2" i="1"/>
  <c r="C2" i="1" s="1"/>
  <c r="Q771" i="1"/>
  <c r="C771" i="1" s="1"/>
  <c r="Q47" i="1"/>
  <c r="C47" i="1" s="1"/>
  <c r="Q1320" i="1"/>
  <c r="C1320" i="1" s="1"/>
  <c r="Q902" i="1"/>
  <c r="C902" i="1" s="1"/>
  <c r="Q424" i="1"/>
  <c r="C424" i="1" s="1"/>
  <c r="Q880" i="1"/>
  <c r="C880" i="1" s="1"/>
  <c r="Q1220" i="1"/>
  <c r="C1220" i="1" s="1"/>
  <c r="Q710" i="1"/>
  <c r="C710" i="1" s="1"/>
  <c r="Q1155" i="1"/>
  <c r="C1155" i="1" s="1"/>
  <c r="Q889" i="1"/>
  <c r="C889" i="1" s="1"/>
  <c r="Q761" i="1"/>
  <c r="C761" i="1" s="1"/>
  <c r="Q689" i="1"/>
  <c r="C689" i="1" s="1"/>
  <c r="Q635" i="1"/>
  <c r="C635" i="1" s="1"/>
  <c r="O243" i="1"/>
  <c r="Q694" i="1"/>
  <c r="C694" i="1" s="1"/>
  <c r="Q1375" i="1"/>
  <c r="C1375" i="1" s="1"/>
  <c r="Q1211" i="1"/>
  <c r="C1211" i="1" s="1"/>
  <c r="Q979" i="1"/>
  <c r="C979" i="1" s="1"/>
  <c r="Q961" i="1"/>
  <c r="C961" i="1" s="1"/>
  <c r="Q858" i="1"/>
  <c r="C858" i="1" s="1"/>
  <c r="O1341" i="1"/>
  <c r="Q740" i="1"/>
  <c r="C740" i="1" s="1"/>
  <c r="Q1170" i="1"/>
  <c r="C1170" i="1" s="1"/>
  <c r="Q1227" i="1"/>
  <c r="C1227" i="1" s="1"/>
  <c r="Q1355" i="1"/>
  <c r="C1355" i="1" s="1"/>
  <c r="Q129" i="1"/>
  <c r="C129" i="1" s="1"/>
  <c r="Q1390" i="1"/>
  <c r="O1289" i="1"/>
  <c r="Q1243" i="1"/>
  <c r="C1243" i="1" s="1"/>
  <c r="Q1216" i="1"/>
  <c r="C1216" i="1" s="1"/>
  <c r="Q972" i="1"/>
  <c r="C972" i="1" s="1"/>
  <c r="Q623" i="1"/>
  <c r="C623" i="1" s="1"/>
  <c r="Q440" i="1"/>
  <c r="C440" i="1" s="1"/>
  <c r="Q296" i="1"/>
  <c r="C296" i="1" s="1"/>
  <c r="Q135" i="1"/>
  <c r="C135" i="1" s="1"/>
  <c r="Q851" i="1"/>
  <c r="C851" i="1" s="1"/>
  <c r="Q427" i="1"/>
  <c r="C427" i="1" s="1"/>
  <c r="O147" i="1"/>
  <c r="Q1353" i="1"/>
  <c r="C1353" i="1" s="1"/>
  <c r="Q1172" i="1"/>
  <c r="C1172" i="1" s="1"/>
  <c r="Q1286" i="1"/>
  <c r="C1286" i="1" s="1"/>
  <c r="Q1256" i="1"/>
  <c r="C1256" i="1" s="1"/>
  <c r="Q1185" i="1"/>
  <c r="C1185" i="1" s="1"/>
  <c r="Q1132" i="1"/>
  <c r="C1132" i="1" s="1"/>
  <c r="Q947" i="1"/>
  <c r="C947" i="1" s="1"/>
  <c r="Q863" i="1"/>
  <c r="C863" i="1" s="1"/>
  <c r="Q126" i="1"/>
  <c r="C126" i="1" s="1"/>
  <c r="Q165" i="1"/>
  <c r="C165" i="1" s="1"/>
  <c r="Q48" i="1"/>
  <c r="C48" i="1" s="1"/>
  <c r="O128" i="1"/>
  <c r="Q436" i="1"/>
  <c r="C436" i="1" s="1"/>
  <c r="Q1317" i="1"/>
  <c r="C1317" i="1" s="1"/>
  <c r="Q1236" i="1"/>
  <c r="C1236" i="1" s="1"/>
  <c r="Q942" i="1"/>
  <c r="C942" i="1" s="1"/>
  <c r="Q64" i="1"/>
  <c r="C64" i="1" s="1"/>
  <c r="Q637" i="1"/>
  <c r="C637" i="1" s="1"/>
  <c r="Q562" i="1"/>
  <c r="C562" i="1" s="1"/>
  <c r="Q925" i="1"/>
  <c r="C925" i="1" s="1"/>
  <c r="Q791" i="1"/>
  <c r="C791" i="1" s="1"/>
  <c r="Q409" i="1"/>
  <c r="C409" i="1" s="1"/>
  <c r="Q1395" i="1"/>
  <c r="Q108" i="1"/>
  <c r="C108" i="1" s="1"/>
  <c r="Q1321" i="1"/>
  <c r="C1321" i="1" s="1"/>
  <c r="Q987" i="1"/>
  <c r="C987" i="1" s="1"/>
  <c r="Q958" i="1"/>
  <c r="C958" i="1" s="1"/>
  <c r="Q844" i="1"/>
  <c r="C844" i="1" s="1"/>
  <c r="Q709" i="1"/>
  <c r="C709" i="1" s="1"/>
  <c r="Q437" i="1"/>
  <c r="C437" i="1" s="1"/>
  <c r="Q385" i="1"/>
  <c r="C385" i="1" s="1"/>
  <c r="Q211" i="1"/>
  <c r="C211" i="1" s="1"/>
  <c r="Q142" i="1"/>
  <c r="C142" i="1" s="1"/>
  <c r="Q663" i="1"/>
  <c r="C663" i="1" s="1"/>
  <c r="Q508" i="1"/>
  <c r="C508" i="1" s="1"/>
  <c r="Q275" i="1"/>
  <c r="C275" i="1" s="1"/>
  <c r="Q26" i="1"/>
  <c r="C26" i="1" s="1"/>
  <c r="Q329" i="1"/>
  <c r="C329" i="1" s="1"/>
  <c r="Q93" i="1"/>
  <c r="C93" i="1" s="1"/>
  <c r="Q1198" i="1"/>
  <c r="C1198" i="1" s="1"/>
  <c r="Q1215" i="1"/>
  <c r="C1215" i="1" s="1"/>
  <c r="Q1078" i="1"/>
  <c r="C1078" i="1" s="1"/>
  <c r="Q1032" i="1"/>
  <c r="C1032" i="1" s="1"/>
  <c r="Q766" i="1"/>
  <c r="C766" i="1" s="1"/>
  <c r="Q393" i="1"/>
  <c r="C393" i="1" s="1"/>
  <c r="Q381" i="1"/>
  <c r="C381" i="1" s="1"/>
  <c r="Q158" i="1"/>
  <c r="C158" i="1" s="1"/>
  <c r="Q192" i="1"/>
  <c r="C192" i="1" s="1"/>
  <c r="Q265" i="1"/>
  <c r="C265" i="1" s="1"/>
  <c r="Q609" i="1"/>
  <c r="C609" i="1" s="1"/>
  <c r="Q1149" i="1"/>
  <c r="C1149" i="1" s="1"/>
  <c r="Q799" i="1"/>
  <c r="C799" i="1" s="1"/>
  <c r="Q395" i="1"/>
  <c r="C395" i="1" s="1"/>
  <c r="Q386" i="1"/>
  <c r="C386" i="1" s="1"/>
  <c r="Q80" i="1"/>
  <c r="C80" i="1" s="1"/>
  <c r="Q193" i="1"/>
  <c r="C193" i="1" s="1"/>
  <c r="Q290" i="1"/>
  <c r="C290" i="1" s="1"/>
  <c r="Q816" i="1"/>
  <c r="C816" i="1" s="1"/>
  <c r="Q1094" i="1"/>
  <c r="C1094" i="1" s="1"/>
  <c r="Q871" i="1"/>
  <c r="C871" i="1" s="1"/>
  <c r="Q79" i="1"/>
  <c r="C79" i="1" s="1"/>
  <c r="Q10" i="1"/>
  <c r="C10" i="1" s="1"/>
  <c r="Q35" i="1"/>
  <c r="C35" i="1" s="1"/>
  <c r="Q917" i="1"/>
  <c r="C917" i="1" s="1"/>
  <c r="Q1266" i="1"/>
  <c r="C1266" i="1" s="1"/>
  <c r="Q1098" i="1"/>
  <c r="C1098" i="1" s="1"/>
  <c r="Q966" i="1"/>
  <c r="C966" i="1" s="1"/>
  <c r="Q1037" i="1"/>
  <c r="C1037" i="1" s="1"/>
  <c r="Q726" i="1"/>
  <c r="C726" i="1" s="1"/>
  <c r="Q647" i="1"/>
  <c r="C647" i="1" s="1"/>
  <c r="Q578" i="1"/>
  <c r="C578" i="1" s="1"/>
  <c r="Q470" i="1"/>
  <c r="C470" i="1" s="1"/>
  <c r="Q200" i="1"/>
  <c r="C200" i="1" s="1"/>
  <c r="Q240" i="1"/>
  <c r="C240" i="1" s="1"/>
  <c r="Q54" i="1"/>
  <c r="C54" i="1" s="1"/>
  <c r="Q1389" i="1"/>
  <c r="Q1376" i="1"/>
  <c r="C1376" i="1" s="1"/>
  <c r="Q1130" i="1"/>
  <c r="C1130" i="1" s="1"/>
  <c r="Q1012" i="1"/>
  <c r="C1012" i="1" s="1"/>
  <c r="Q236" i="1"/>
  <c r="C236" i="1" s="1"/>
  <c r="Q1110" i="1"/>
  <c r="C1110" i="1" s="1"/>
  <c r="Q1338" i="1"/>
  <c r="C1338" i="1" s="1"/>
  <c r="Q557" i="1"/>
  <c r="C557" i="1" s="1"/>
  <c r="Q247" i="1"/>
  <c r="C247" i="1" s="1"/>
  <c r="Q1035" i="1"/>
  <c r="C1035" i="1" s="1"/>
  <c r="Q1368" i="1"/>
  <c r="C1368" i="1" s="1"/>
  <c r="Q1230" i="1"/>
  <c r="C1230" i="1" s="1"/>
  <c r="Q1125" i="1"/>
  <c r="C1125" i="1" s="1"/>
  <c r="Q406" i="1"/>
  <c r="C406" i="1" s="1"/>
  <c r="Q300" i="1"/>
  <c r="C300" i="1" s="1"/>
  <c r="Q6" i="1"/>
  <c r="C6" i="1" s="1"/>
  <c r="Q1073" i="1"/>
  <c r="C1073" i="1" s="1"/>
  <c r="Q1277" i="1"/>
  <c r="C1277" i="1" s="1"/>
  <c r="Q610" i="1"/>
  <c r="C610" i="1" s="1"/>
  <c r="Q927" i="1"/>
  <c r="C927" i="1" s="1"/>
  <c r="Q256" i="1"/>
  <c r="C256" i="1" s="1"/>
  <c r="Q1361" i="1"/>
  <c r="C1361" i="1" s="1"/>
  <c r="Q1177" i="1"/>
  <c r="C1177" i="1" s="1"/>
  <c r="Q1015" i="1"/>
  <c r="C1015" i="1" s="1"/>
  <c r="Q835" i="1"/>
  <c r="C835" i="1" s="1"/>
  <c r="Q371" i="1"/>
  <c r="C371" i="1" s="1"/>
  <c r="Q261" i="1"/>
  <c r="C261" i="1" s="1"/>
  <c r="Q1396" i="1"/>
  <c r="Q415" i="1"/>
  <c r="C415" i="1" s="1"/>
  <c r="Q293" i="1"/>
  <c r="C293" i="1" s="1"/>
  <c r="Q357" i="1"/>
  <c r="C357" i="1" s="1"/>
  <c r="Q1045" i="1"/>
  <c r="C1045" i="1" s="1"/>
  <c r="Q206" i="1"/>
  <c r="C206" i="1" s="1"/>
  <c r="Q1358" i="1"/>
  <c r="C1358" i="1" s="1"/>
  <c r="Q1327" i="1"/>
  <c r="C1327" i="1" s="1"/>
  <c r="Q1313" i="1"/>
  <c r="C1313" i="1" s="1"/>
  <c r="Q1270" i="1"/>
  <c r="C1270" i="1" s="1"/>
  <c r="Q1231" i="1"/>
  <c r="C1231" i="1" s="1"/>
  <c r="Q1180" i="1"/>
  <c r="C1180" i="1" s="1"/>
  <c r="Q1169" i="1"/>
  <c r="C1169" i="1" s="1"/>
  <c r="Q1184" i="1"/>
  <c r="C1184" i="1" s="1"/>
  <c r="Q1134" i="1"/>
  <c r="C1134" i="1" s="1"/>
  <c r="Q1038" i="1"/>
  <c r="C1038" i="1" s="1"/>
  <c r="Q985" i="1"/>
  <c r="C985" i="1" s="1"/>
  <c r="Q960" i="1"/>
  <c r="C960" i="1" s="1"/>
  <c r="Q959" i="1"/>
  <c r="C959" i="1" s="1"/>
  <c r="Q884" i="1"/>
  <c r="C884" i="1" s="1"/>
  <c r="Q794" i="1"/>
  <c r="C794" i="1" s="1"/>
  <c r="Q890" i="1"/>
  <c r="C890" i="1" s="1"/>
  <c r="Q861" i="1"/>
  <c r="C861" i="1" s="1"/>
  <c r="Q718" i="1"/>
  <c r="C718" i="1" s="1"/>
  <c r="Q607" i="1"/>
  <c r="C607" i="1" s="1"/>
  <c r="Q815" i="1"/>
  <c r="C815" i="1" s="1"/>
  <c r="Q806" i="1"/>
  <c r="C806" i="1" s="1"/>
  <c r="Q717" i="1"/>
  <c r="C717" i="1" s="1"/>
  <c r="Q502" i="1"/>
  <c r="C502" i="1" s="1"/>
  <c r="Q374" i="1"/>
  <c r="C374" i="1" s="1"/>
  <c r="Q544" i="1"/>
  <c r="C544" i="1" s="1"/>
  <c r="Q461" i="1"/>
  <c r="C461" i="1" s="1"/>
  <c r="Q272" i="1"/>
  <c r="C272" i="1" s="1"/>
  <c r="Q451" i="1"/>
  <c r="C451" i="1" s="1"/>
  <c r="Q271" i="1"/>
  <c r="C271" i="1" s="1"/>
  <c r="Q285" i="1"/>
  <c r="C285" i="1" s="1"/>
  <c r="Q166" i="1"/>
  <c r="C166" i="1" s="1"/>
  <c r="Q330" i="1"/>
  <c r="C330" i="1" s="1"/>
  <c r="Q215" i="1"/>
  <c r="C215" i="1" s="1"/>
  <c r="Q168" i="1"/>
  <c r="C168" i="1" s="1"/>
  <c r="Q239" i="1"/>
  <c r="C239" i="1" s="1"/>
  <c r="Q66" i="1"/>
  <c r="C66" i="1" s="1"/>
  <c r="Q33" i="1"/>
  <c r="C33" i="1" s="1"/>
  <c r="Q1322" i="1"/>
  <c r="C1322" i="1" s="1"/>
  <c r="Q1189" i="1"/>
  <c r="C1189" i="1" s="1"/>
  <c r="Q667" i="1"/>
  <c r="C667" i="1" s="1"/>
  <c r="Q519" i="1"/>
  <c r="C519" i="1" s="1"/>
  <c r="Q1173" i="1"/>
  <c r="C1173" i="1" s="1"/>
  <c r="Q1068" i="1"/>
  <c r="C1068" i="1" s="1"/>
  <c r="Q967" i="1"/>
  <c r="C967" i="1" s="1"/>
  <c r="Q892" i="1"/>
  <c r="C892" i="1" s="1"/>
  <c r="Q546" i="1"/>
  <c r="C546" i="1" s="1"/>
  <c r="Q777" i="1"/>
  <c r="C777" i="1" s="1"/>
  <c r="Q234" i="1"/>
  <c r="C234" i="1" s="1"/>
  <c r="Q769" i="1"/>
  <c r="C769" i="1" s="1"/>
  <c r="Q1072" i="1"/>
  <c r="C1072" i="1" s="1"/>
  <c r="Q606" i="1"/>
  <c r="C606" i="1" s="1"/>
  <c r="Q333" i="1"/>
  <c r="Q268" i="1"/>
  <c r="C268" i="1" s="1"/>
  <c r="Q428" i="1"/>
  <c r="C428" i="1" s="1"/>
  <c r="Q233" i="1"/>
  <c r="C233" i="1" s="1"/>
  <c r="Q12" i="1"/>
  <c r="C12" i="1" s="1"/>
  <c r="Q784" i="1"/>
  <c r="C784" i="1" s="1"/>
  <c r="Q1392" i="1"/>
  <c r="Q505" i="1"/>
  <c r="C505" i="1" s="1"/>
  <c r="Q1373" i="1"/>
  <c r="C1373" i="1" s="1"/>
  <c r="Q398" i="1"/>
  <c r="C398" i="1" s="1"/>
  <c r="Q876" i="1"/>
  <c r="C876" i="1" s="1"/>
  <c r="Q551" i="1"/>
  <c r="C551" i="1" s="1"/>
  <c r="Q534" i="1"/>
  <c r="C534" i="1" s="1"/>
  <c r="Q1157" i="1"/>
  <c r="C1157" i="1" s="1"/>
  <c r="Q298" i="1"/>
  <c r="C298" i="1" s="1"/>
  <c r="Q447" i="1"/>
  <c r="C447" i="1" s="1"/>
  <c r="Q1179" i="1"/>
  <c r="C1179" i="1" s="1"/>
  <c r="Q1250" i="1"/>
  <c r="C1250" i="1" s="1"/>
  <c r="Q1042" i="1"/>
  <c r="C1042" i="1" s="1"/>
  <c r="Q953" i="1"/>
  <c r="C953" i="1" s="1"/>
  <c r="Q615" i="1"/>
  <c r="C615" i="1" s="1"/>
  <c r="Q560" i="1"/>
  <c r="C560" i="1" s="1"/>
  <c r="Q344" i="1"/>
  <c r="C344" i="1" s="1"/>
  <c r="Q356" i="1"/>
  <c r="C356" i="1" s="1"/>
  <c r="Q274" i="1"/>
  <c r="C274" i="1" s="1"/>
  <c r="Q130" i="1"/>
  <c r="C130" i="1" s="1"/>
  <c r="Q21" i="1"/>
  <c r="C21" i="1" s="1"/>
  <c r="Q669" i="1"/>
  <c r="C669" i="1" s="1"/>
  <c r="Q1295" i="1"/>
  <c r="C1295" i="1" s="1"/>
  <c r="Q1255" i="1"/>
  <c r="C1255" i="1" s="1"/>
  <c r="Q1147" i="1"/>
  <c r="C1147" i="1" s="1"/>
  <c r="Q1010" i="1"/>
  <c r="C1010" i="1" s="1"/>
  <c r="Q990" i="1"/>
  <c r="C990" i="1" s="1"/>
  <c r="Q894" i="1"/>
  <c r="C894" i="1" s="1"/>
  <c r="Q904" i="1"/>
  <c r="C904" i="1" s="1"/>
  <c r="Q672" i="1"/>
  <c r="C672" i="1" s="1"/>
  <c r="Q673" i="1"/>
  <c r="C673" i="1" s="1"/>
  <c r="Q584" i="1"/>
  <c r="C584" i="1" s="1"/>
  <c r="Q506" i="1"/>
  <c r="C506" i="1" s="1"/>
  <c r="Q608" i="1"/>
  <c r="C608" i="1" s="1"/>
  <c r="Q472" i="1"/>
  <c r="C472" i="1" s="1"/>
  <c r="Q382" i="1"/>
  <c r="C382" i="1" s="1"/>
  <c r="Q214" i="1"/>
  <c r="C214" i="1" s="1"/>
  <c r="Q253" i="1"/>
  <c r="C253" i="1" s="1"/>
  <c r="Q124" i="1"/>
  <c r="C124" i="1" s="1"/>
  <c r="Q1219" i="1"/>
  <c r="C1219" i="1" s="1"/>
  <c r="Q852" i="1"/>
  <c r="C852" i="1" s="1"/>
  <c r="Q1254" i="1"/>
  <c r="C1254" i="1" s="1"/>
  <c r="Q719" i="1"/>
  <c r="C719" i="1" s="1"/>
  <c r="Q969" i="1"/>
  <c r="C969" i="1" s="1"/>
  <c r="Q1307" i="1"/>
  <c r="C1307" i="1" s="1"/>
  <c r="Q926" i="1"/>
  <c r="C926" i="1" s="1"/>
  <c r="Q640" i="1"/>
  <c r="C640" i="1" s="1"/>
  <c r="Q1379" i="1"/>
  <c r="C1379" i="1" s="1"/>
  <c r="Q353" i="1"/>
  <c r="C353" i="1" s="1"/>
  <c r="Q1214" i="1"/>
  <c r="C1214" i="1" s="1"/>
  <c r="Q1279" i="1"/>
  <c r="C1279" i="1" s="1"/>
  <c r="Q1174" i="1"/>
  <c r="C1174" i="1" s="1"/>
  <c r="Q1096" i="1"/>
  <c r="C1096" i="1" s="1"/>
  <c r="Q1039" i="1"/>
  <c r="C1039" i="1" s="1"/>
  <c r="Q646" i="1"/>
  <c r="C646" i="1" s="1"/>
  <c r="Q613" i="1"/>
  <c r="C613" i="1" s="1"/>
  <c r="Q591" i="1"/>
  <c r="C591" i="1" s="1"/>
  <c r="Q480" i="1"/>
  <c r="C480" i="1" s="1"/>
  <c r="Q413" i="1"/>
  <c r="C413" i="1" s="1"/>
  <c r="Q312" i="1"/>
  <c r="C312" i="1" s="1"/>
  <c r="Q425" i="1"/>
  <c r="C425" i="1" s="1"/>
  <c r="Q337" i="1"/>
  <c r="C337" i="1" s="1"/>
  <c r="Q107" i="1"/>
  <c r="C107" i="1" s="1"/>
  <c r="Q87" i="1"/>
  <c r="C87" i="1" s="1"/>
  <c r="Q270" i="1"/>
  <c r="C270" i="1" s="1"/>
  <c r="Q1351" i="1"/>
  <c r="C1351" i="1" s="1"/>
  <c r="Q1242" i="1"/>
  <c r="C1242" i="1" s="1"/>
  <c r="Q1204" i="1"/>
  <c r="C1204" i="1" s="1"/>
  <c r="Q1087" i="1"/>
  <c r="C1087" i="1" s="1"/>
  <c r="Q1046" i="1"/>
  <c r="C1046" i="1" s="1"/>
  <c r="Q1036" i="1"/>
  <c r="C1036" i="1" s="1"/>
  <c r="Q885" i="1"/>
  <c r="C885" i="1" s="1"/>
  <c r="Q813" i="1"/>
  <c r="C813" i="1" s="1"/>
  <c r="Q693" i="1"/>
  <c r="C693" i="1" s="1"/>
  <c r="Q721" i="1"/>
  <c r="C721" i="1" s="1"/>
  <c r="Q527" i="1"/>
  <c r="C527" i="1" s="1"/>
  <c r="Q373" i="1"/>
  <c r="C373" i="1" s="1"/>
  <c r="Q574" i="1"/>
  <c r="C574" i="1" s="1"/>
  <c r="Q538" i="1"/>
  <c r="C538" i="1" s="1"/>
  <c r="Q540" i="1"/>
  <c r="C540" i="1" s="1"/>
  <c r="Q305" i="1"/>
  <c r="C305" i="1" s="1"/>
  <c r="Q227" i="1"/>
  <c r="C227" i="1" s="1"/>
  <c r="Q262" i="1"/>
  <c r="C262" i="1" s="1"/>
  <c r="Q189" i="1"/>
  <c r="C189" i="1" s="1"/>
  <c r="Q186" i="1"/>
  <c r="C186" i="1" s="1"/>
  <c r="Q97" i="1"/>
  <c r="C97" i="1" s="1"/>
  <c r="Q56" i="1"/>
  <c r="C56" i="1" s="1"/>
  <c r="Q1308" i="1"/>
  <c r="C1308" i="1" s="1"/>
  <c r="Q1252" i="1"/>
  <c r="C1252" i="1" s="1"/>
  <c r="Q832" i="1"/>
  <c r="C832" i="1" s="1"/>
  <c r="Q1162" i="1"/>
  <c r="C1162" i="1" s="1"/>
  <c r="Q774" i="1"/>
  <c r="C774" i="1" s="1"/>
  <c r="Q84" i="1"/>
  <c r="C84" i="1" s="1"/>
  <c r="Q837" i="1"/>
  <c r="C837" i="1" s="1"/>
  <c r="Q730" i="1"/>
  <c r="C730" i="1" s="1"/>
  <c r="Q1319" i="1"/>
  <c r="C1319" i="1" s="1"/>
  <c r="Q738" i="1"/>
  <c r="C738" i="1" s="1"/>
  <c r="Q1093" i="1"/>
  <c r="C1093" i="1" s="1"/>
  <c r="Q1168" i="1"/>
  <c r="C1168" i="1" s="1"/>
  <c r="Q1312" i="1"/>
  <c r="C1312" i="1" s="1"/>
  <c r="Q1099" i="1"/>
  <c r="C1099" i="1" s="1"/>
  <c r="Q1021" i="1"/>
  <c r="C1021" i="1" s="1"/>
  <c r="Q552" i="1"/>
  <c r="C552" i="1" s="1"/>
  <c r="Q490" i="1"/>
  <c r="C490" i="1" s="1"/>
  <c r="Q22" i="1"/>
  <c r="C22" i="1" s="1"/>
  <c r="Q1053" i="1"/>
  <c r="C1053" i="1" s="1"/>
  <c r="Q900" i="1"/>
  <c r="C900" i="1" s="1"/>
  <c r="Q531" i="1"/>
  <c r="C531" i="1" s="1"/>
  <c r="Q747" i="1"/>
  <c r="C747" i="1" s="1"/>
  <c r="Q489" i="1"/>
  <c r="C489" i="1" s="1"/>
  <c r="Q433" i="1"/>
  <c r="C433" i="1" s="1"/>
  <c r="Q533" i="1"/>
  <c r="C533" i="1" s="1"/>
  <c r="Q414" i="1"/>
  <c r="C414" i="1" s="1"/>
  <c r="Q31" i="1"/>
  <c r="C31" i="1" s="1"/>
  <c r="Q1359" i="1"/>
  <c r="C1359" i="1" s="1"/>
  <c r="Q1328" i="1"/>
  <c r="C1328" i="1" s="1"/>
  <c r="Q1299" i="1"/>
  <c r="C1299" i="1" s="1"/>
  <c r="Q1111" i="1"/>
  <c r="C1111" i="1" s="1"/>
  <c r="Q1048" i="1"/>
  <c r="C1048" i="1" s="1"/>
  <c r="Q867" i="1"/>
  <c r="C867" i="1" s="1"/>
  <c r="Q860" i="1"/>
  <c r="C860" i="1" s="1"/>
  <c r="Q866" i="1"/>
  <c r="C866" i="1" s="1"/>
  <c r="Q642" i="1"/>
  <c r="C642" i="1" s="1"/>
  <c r="Q497" i="1"/>
  <c r="C497" i="1" s="1"/>
  <c r="Q696" i="1"/>
  <c r="C696" i="1" s="1"/>
  <c r="Q260" i="1"/>
  <c r="C260" i="1" s="1"/>
  <c r="Q554" i="1"/>
  <c r="C554" i="1" s="1"/>
  <c r="Q198" i="1"/>
  <c r="C198" i="1" s="1"/>
  <c r="Q151" i="1"/>
  <c r="C151" i="1" s="1"/>
  <c r="Q19" i="1"/>
  <c r="C19" i="1" s="1"/>
  <c r="Q803" i="1"/>
  <c r="C803" i="1" s="1"/>
  <c r="Q728" i="1"/>
  <c r="C728" i="1" s="1"/>
  <c r="Q1223" i="1"/>
  <c r="C1223" i="1" s="1"/>
  <c r="Q287" i="1"/>
  <c r="C287" i="1" s="1"/>
  <c r="Q1154" i="1"/>
  <c r="C1154" i="1" s="1"/>
  <c r="Q1245" i="1"/>
  <c r="C1245" i="1" s="1"/>
  <c r="Q1178" i="1"/>
  <c r="C1178" i="1" s="1"/>
  <c r="Q1064" i="1"/>
  <c r="C1064" i="1" s="1"/>
  <c r="Q511" i="1"/>
  <c r="C511" i="1" s="1"/>
  <c r="Q598" i="1"/>
  <c r="C598" i="1" s="1"/>
  <c r="Q555" i="1"/>
  <c r="C555" i="1" s="1"/>
  <c r="Q442" i="1"/>
  <c r="C442" i="1" s="1"/>
  <c r="Q369" i="1"/>
  <c r="C369" i="1" s="1"/>
  <c r="Q320" i="1"/>
  <c r="C320" i="1" s="1"/>
  <c r="Q106" i="1"/>
  <c r="C106" i="1" s="1"/>
  <c r="Q178" i="1"/>
  <c r="C178" i="1" s="1"/>
  <c r="Q60" i="1"/>
  <c r="Q58" i="1"/>
  <c r="C58" i="1" s="1"/>
  <c r="Q1190" i="1"/>
  <c r="C1190" i="1" s="1"/>
  <c r="Q602" i="1"/>
  <c r="C602" i="1" s="1"/>
  <c r="Q664" i="1"/>
  <c r="C664" i="1" s="1"/>
  <c r="Q85" i="1"/>
  <c r="C85" i="1" s="1"/>
  <c r="Q163" i="1"/>
  <c r="C163" i="1" s="1"/>
  <c r="Q1264" i="1"/>
  <c r="C1264" i="1" s="1"/>
  <c r="Q1091" i="1"/>
  <c r="C1091" i="1" s="1"/>
  <c r="Q1397" i="1"/>
  <c r="Q1095" i="1"/>
  <c r="C1095" i="1" s="1"/>
  <c r="Q1123" i="1"/>
  <c r="C1123" i="1" s="1"/>
  <c r="Q821" i="1"/>
  <c r="C821" i="1" s="1"/>
  <c r="Q862" i="1"/>
  <c r="C862" i="1" s="1"/>
  <c r="Q702" i="1"/>
  <c r="C702" i="1" s="1"/>
  <c r="Q72" i="1"/>
  <c r="C72" i="1" s="1"/>
  <c r="Q44" i="1"/>
  <c r="C44" i="1" s="1"/>
  <c r="Q1247" i="1"/>
  <c r="C1247" i="1" s="1"/>
  <c r="Q1141" i="1"/>
  <c r="C1141" i="1" s="1"/>
  <c r="Q529" i="1"/>
  <c r="C529" i="1" s="1"/>
  <c r="Q101" i="1"/>
  <c r="C101" i="1" s="1"/>
  <c r="Q1275" i="1"/>
  <c r="C1275" i="1" s="1"/>
  <c r="Q998" i="1"/>
  <c r="C998" i="1" s="1"/>
  <c r="Q687" i="1"/>
  <c r="C687" i="1" s="1"/>
  <c r="Q367" i="1"/>
  <c r="C367" i="1" s="1"/>
  <c r="Q295" i="1"/>
  <c r="C295" i="1" s="1"/>
  <c r="Q1195" i="1"/>
  <c r="C1195" i="1" s="1"/>
  <c r="Q1128" i="1"/>
  <c r="C1128" i="1" s="1"/>
  <c r="Q980" i="1"/>
  <c r="C980" i="1" s="1"/>
  <c r="Q733" i="1"/>
  <c r="C733" i="1" s="1"/>
  <c r="Q725" i="1"/>
  <c r="C725" i="1" s="1"/>
  <c r="Q614" i="1"/>
  <c r="C614" i="1" s="1"/>
  <c r="Q553" i="1"/>
  <c r="C553" i="1" s="1"/>
  <c r="Q473" i="1"/>
  <c r="C473" i="1" s="1"/>
  <c r="Q154" i="1"/>
  <c r="C154" i="1" s="1"/>
  <c r="Q127" i="1"/>
  <c r="C127" i="1" s="1"/>
  <c r="Q488" i="1"/>
  <c r="C488" i="1" s="1"/>
  <c r="Q773" i="1"/>
  <c r="C773" i="1" s="1"/>
  <c r="Q1306" i="1"/>
  <c r="C1306" i="1" s="1"/>
  <c r="Q935" i="1"/>
  <c r="C935" i="1" s="1"/>
  <c r="Q3" i="1"/>
  <c r="C3" i="1" s="1"/>
  <c r="Q910" i="1"/>
  <c r="C910" i="1" s="1"/>
  <c r="Q528" i="1"/>
  <c r="C528" i="1" s="1"/>
  <c r="Q100" i="1"/>
  <c r="C100" i="1" s="1"/>
  <c r="Q916" i="1"/>
  <c r="C916" i="1" s="1"/>
  <c r="Q577" i="1"/>
  <c r="C577" i="1" s="1"/>
  <c r="Q380" i="1"/>
  <c r="C380" i="1" s="1"/>
  <c r="Q1325" i="1"/>
  <c r="C1325" i="1" s="1"/>
  <c r="Q1205" i="1"/>
  <c r="C1205" i="1" s="1"/>
  <c r="Q1138" i="1"/>
  <c r="C1138" i="1" s="1"/>
  <c r="Q1151" i="1"/>
  <c r="C1151" i="1" s="1"/>
  <c r="Q1014" i="1"/>
  <c r="C1014" i="1" s="1"/>
  <c r="Q941" i="1"/>
  <c r="C941" i="1" s="1"/>
  <c r="Q786" i="1"/>
  <c r="C786" i="1" s="1"/>
  <c r="Q622" i="1"/>
  <c r="C622" i="1" s="1"/>
  <c r="Q501" i="1"/>
  <c r="C501" i="1" s="1"/>
  <c r="Q336" i="1"/>
  <c r="C336" i="1" s="1"/>
  <c r="Q354" i="1"/>
  <c r="C354" i="1" s="1"/>
  <c r="Q182" i="1"/>
  <c r="C182" i="1" s="1"/>
  <c r="Q334" i="1"/>
  <c r="C334" i="1" s="1"/>
  <c r="Q1029" i="1"/>
  <c r="C1029" i="1" s="1"/>
  <c r="Q141" i="1"/>
  <c r="C141" i="1" s="1"/>
  <c r="Q1062" i="1"/>
  <c r="C1062" i="1" s="1"/>
  <c r="Q768" i="1"/>
  <c r="C768" i="1" s="1"/>
  <c r="Q1116" i="1"/>
  <c r="C1116" i="1" s="1"/>
  <c r="Q63" i="1"/>
  <c r="C63" i="1" s="1"/>
  <c r="Q1097" i="1"/>
  <c r="C1097" i="1" s="1"/>
  <c r="Q600" i="1"/>
  <c r="C600" i="1" s="1"/>
  <c r="Q1122" i="1"/>
  <c r="C1122" i="1" s="1"/>
  <c r="Q838" i="1"/>
  <c r="C838" i="1" s="1"/>
  <c r="Q542" i="1"/>
  <c r="C542" i="1" s="1"/>
  <c r="Q1196" i="1"/>
  <c r="C1196" i="1" s="1"/>
  <c r="Q805" i="1"/>
  <c r="C805" i="1" s="1"/>
  <c r="Q1137" i="1"/>
  <c r="C1137" i="1" s="1"/>
  <c r="Q1028" i="1"/>
  <c r="C1028" i="1" s="1"/>
  <c r="Q833" i="1"/>
  <c r="C833" i="1" s="1"/>
  <c r="Q479" i="1"/>
  <c r="C479" i="1" s="1"/>
  <c r="Q111" i="1"/>
  <c r="C111" i="1" s="1"/>
  <c r="Q45" i="1"/>
  <c r="C45" i="1" s="1"/>
  <c r="Q727" i="1"/>
  <c r="C727" i="1" s="1"/>
  <c r="Q303" i="1"/>
  <c r="C303" i="1" s="1"/>
  <c r="Q1088" i="1"/>
  <c r="C1088" i="1" s="1"/>
  <c r="Q509" i="1"/>
  <c r="C509" i="1" s="1"/>
  <c r="Q1276" i="1"/>
  <c r="C1276" i="1" s="1"/>
  <c r="Q1238" i="1"/>
  <c r="C1238" i="1" s="1"/>
  <c r="Q944" i="1"/>
  <c r="C944" i="1" s="1"/>
  <c r="Q781" i="1"/>
  <c r="C781" i="1" s="1"/>
  <c r="Q751" i="1"/>
  <c r="C751" i="1" s="1"/>
  <c r="Q617" i="1"/>
  <c r="C617" i="1" s="1"/>
  <c r="Q348" i="1"/>
  <c r="C348" i="1" s="1"/>
  <c r="Q103" i="1"/>
  <c r="C103" i="1" s="1"/>
  <c r="Q596" i="1"/>
  <c r="C596" i="1" s="1"/>
  <c r="Q153" i="1"/>
  <c r="C153" i="1" s="1"/>
  <c r="Q1023" i="1"/>
  <c r="C1023" i="1" s="1"/>
  <c r="Q888" i="1"/>
  <c r="C888" i="1" s="1"/>
  <c r="Q654" i="1"/>
  <c r="C654" i="1" s="1"/>
  <c r="Q675" i="1"/>
  <c r="C675" i="1" s="1"/>
  <c r="Q475" i="1"/>
  <c r="C475" i="1" s="1"/>
  <c r="Q57" i="1"/>
  <c r="C57" i="1" s="1"/>
  <c r="Q1065" i="1"/>
  <c r="C1065" i="1" s="1"/>
  <c r="Q304" i="1"/>
  <c r="C304" i="1" s="1"/>
  <c r="Q1139" i="1"/>
  <c r="C1139" i="1" s="1"/>
  <c r="Q1061" i="1"/>
  <c r="C1061" i="1" s="1"/>
  <c r="Q78" i="1"/>
  <c r="C78" i="1" s="1"/>
  <c r="Q536" i="1"/>
  <c r="C536" i="1" s="1"/>
  <c r="Q324" i="1"/>
  <c r="C324" i="1" s="1"/>
  <c r="Q1160" i="1"/>
  <c r="C1160" i="1" s="1"/>
  <c r="Q325" i="1"/>
  <c r="C325" i="1" s="1"/>
  <c r="Q1092" i="1"/>
  <c r="C1092" i="1" s="1"/>
  <c r="Q680" i="1"/>
  <c r="C680" i="1" s="1"/>
  <c r="Q1208" i="1"/>
  <c r="C1208" i="1" s="1"/>
  <c r="Q1086" i="1"/>
  <c r="C1086" i="1" s="1"/>
  <c r="Q266" i="1"/>
  <c r="C266" i="1" s="1"/>
  <c r="Q1234" i="1"/>
  <c r="C1234" i="1" s="1"/>
  <c r="Q1106" i="1"/>
  <c r="C1106" i="1" s="1"/>
  <c r="Q510" i="1"/>
  <c r="C510" i="1" s="1"/>
  <c r="Q499" i="1"/>
  <c r="C499" i="1" s="1"/>
  <c r="Q468" i="1"/>
  <c r="C468" i="1" s="1"/>
  <c r="Q405" i="1"/>
  <c r="C405" i="1" s="1"/>
  <c r="Q1016" i="1"/>
  <c r="C1016" i="1" s="1"/>
  <c r="Q37" i="1"/>
  <c r="C37" i="1" s="1"/>
  <c r="Q1075" i="1"/>
  <c r="C1075" i="1" s="1"/>
  <c r="Q1294" i="1"/>
  <c r="C1294" i="1" s="1"/>
  <c r="Q767" i="1"/>
  <c r="C767" i="1" s="1"/>
  <c r="Q221" i="1"/>
  <c r="C221" i="1" s="1"/>
  <c r="Q264" i="1"/>
  <c r="C264" i="1" s="1"/>
  <c r="Q477" i="1"/>
  <c r="C477" i="1" s="1"/>
  <c r="Q1280" i="1"/>
  <c r="C1280" i="1" s="1"/>
  <c r="Q291" i="1"/>
  <c r="C291" i="1" s="1"/>
  <c r="Q932" i="1"/>
  <c r="C932" i="1" s="1"/>
  <c r="Q1136" i="1"/>
  <c r="C1136" i="1" s="1"/>
  <c r="Q853" i="1"/>
  <c r="C853" i="1" s="1"/>
  <c r="Q302" i="1"/>
  <c r="C302" i="1" s="1"/>
  <c r="Q1182" i="1"/>
  <c r="C1182" i="1" s="1"/>
  <c r="Q1001" i="1"/>
  <c r="C1001" i="1" s="1"/>
  <c r="Q936" i="1"/>
  <c r="C936" i="1" s="1"/>
  <c r="Q899" i="1"/>
  <c r="C899" i="1" s="1"/>
  <c r="Q797" i="1"/>
  <c r="C797" i="1" s="1"/>
  <c r="Q674" i="1"/>
  <c r="C674" i="1" s="1"/>
  <c r="Q645" i="1"/>
  <c r="C645" i="1" s="1"/>
  <c r="Q495" i="1"/>
  <c r="C495" i="1" s="1"/>
  <c r="Q1301" i="1"/>
  <c r="C1301" i="1" s="1"/>
  <c r="Q859" i="1"/>
  <c r="C859" i="1" s="1"/>
  <c r="Q839" i="1"/>
  <c r="C839" i="1" s="1"/>
  <c r="Q978" i="1"/>
  <c r="C978" i="1" s="1"/>
  <c r="Q763" i="1"/>
  <c r="C763" i="1" s="1"/>
  <c r="Q517" i="1"/>
  <c r="C517" i="1" s="1"/>
  <c r="Q1040" i="1"/>
  <c r="C1040" i="1" s="1"/>
  <c r="Q1354" i="1"/>
  <c r="C1354" i="1" s="1"/>
  <c r="Q923" i="1"/>
  <c r="C923" i="1" s="1"/>
  <c r="Q1030" i="1"/>
  <c r="C1030" i="1" s="1"/>
  <c r="Q138" i="1"/>
  <c r="C138" i="1" s="1"/>
  <c r="Q735" i="1"/>
  <c r="C735" i="1" s="1"/>
  <c r="Q1311" i="1"/>
  <c r="C1311" i="1" s="1"/>
  <c r="Q601" i="1"/>
  <c r="C601" i="1" s="1"/>
  <c r="Q169" i="1"/>
  <c r="C169" i="1" s="1"/>
  <c r="Q1366" i="1"/>
  <c r="C1366" i="1" s="1"/>
  <c r="Q1133" i="1"/>
  <c r="C1133" i="1" s="1"/>
  <c r="Q1003" i="1"/>
  <c r="C1003" i="1" s="1"/>
  <c r="Q827" i="1"/>
  <c r="Q586" i="1"/>
  <c r="C586" i="1" s="1"/>
  <c r="Q1305" i="1"/>
  <c r="C1305" i="1" s="1"/>
  <c r="Q597" i="1"/>
  <c r="C597" i="1" s="1"/>
  <c r="Q782" i="1"/>
  <c r="C782" i="1" s="1"/>
  <c r="Q463" i="1"/>
  <c r="C463" i="1" s="1"/>
  <c r="Q999" i="1"/>
  <c r="C999" i="1" s="1"/>
  <c r="Q1346" i="1"/>
  <c r="C1346" i="1" s="1"/>
  <c r="Q49" i="1"/>
  <c r="C49" i="1" s="1"/>
  <c r="Q53" i="1"/>
  <c r="C53" i="1" s="1"/>
  <c r="Q504" i="1"/>
  <c r="C504" i="1" s="1"/>
  <c r="Q836" i="1"/>
  <c r="C836" i="1" s="1"/>
  <c r="Q1120" i="1"/>
  <c r="C1120" i="1" s="1"/>
  <c r="Q140" i="1"/>
  <c r="C140" i="1" s="1"/>
  <c r="Q17" i="1"/>
  <c r="C17" i="1" s="1"/>
  <c r="Q1145" i="1"/>
  <c r="C1145" i="1" s="1"/>
  <c r="Q1362" i="1"/>
  <c r="C1362" i="1" s="1"/>
  <c r="Q1335" i="1"/>
  <c r="C1335" i="1" s="1"/>
  <c r="Q1209" i="1"/>
  <c r="C1209" i="1" s="1"/>
  <c r="Q1188" i="1"/>
  <c r="C1188" i="1" s="1"/>
  <c r="Q968" i="1"/>
  <c r="C968" i="1" s="1"/>
  <c r="Q877" i="1"/>
  <c r="C877" i="1" s="1"/>
  <c r="Q665" i="1"/>
  <c r="C665" i="1" s="1"/>
  <c r="Q616" i="1"/>
  <c r="C616" i="1" s="1"/>
  <c r="Q500" i="1"/>
  <c r="C500" i="1" s="1"/>
  <c r="Q318" i="1"/>
  <c r="C318" i="1" s="1"/>
  <c r="Q370" i="1"/>
  <c r="C370" i="1" s="1"/>
  <c r="Q375" i="1"/>
  <c r="C375" i="1" s="1"/>
  <c r="Q1363" i="1"/>
  <c r="C1363" i="1" s="1"/>
  <c r="Q849" i="1"/>
  <c r="C849" i="1" s="1"/>
  <c r="Q563" i="1"/>
  <c r="C563" i="1" s="1"/>
  <c r="Q1288" i="1"/>
  <c r="C1288" i="1" s="1"/>
  <c r="Q666" i="1"/>
  <c r="C666" i="1" s="1"/>
  <c r="Q811" i="1"/>
  <c r="C811" i="1" s="1"/>
  <c r="Q136" i="1"/>
  <c r="C136" i="1" s="1"/>
  <c r="Q986" i="1"/>
  <c r="C986" i="1" s="1"/>
  <c r="Q691" i="1"/>
  <c r="C691" i="1" s="1"/>
  <c r="Q157" i="1"/>
  <c r="C157" i="1" s="1"/>
  <c r="Q765" i="1"/>
  <c r="C765" i="1" s="1"/>
  <c r="Q1206" i="1"/>
  <c r="C1206" i="1" s="1"/>
  <c r="Q906" i="1"/>
  <c r="C906" i="1" s="1"/>
  <c r="Q648" i="1"/>
  <c r="C648" i="1" s="1"/>
  <c r="Q1224" i="1"/>
  <c r="C1224" i="1" s="1"/>
  <c r="Q874" i="1"/>
  <c r="C874" i="1" s="1"/>
  <c r="Q224" i="1"/>
  <c r="C224" i="1" s="1"/>
  <c r="Q284" i="1"/>
  <c r="C284" i="1" s="1"/>
  <c r="Q110" i="1"/>
  <c r="C110" i="1" s="1"/>
  <c r="Q1309" i="1"/>
  <c r="C1309" i="1" s="1"/>
  <c r="Q1192" i="1"/>
  <c r="C1192" i="1" s="1"/>
  <c r="Q661" i="1"/>
  <c r="C661" i="1" s="1"/>
  <c r="Q991" i="1"/>
  <c r="C991" i="1" s="1"/>
  <c r="Q572" i="1"/>
  <c r="C572" i="1" s="1"/>
  <c r="Q1024" i="1"/>
  <c r="C1024" i="1" s="1"/>
  <c r="Q1293" i="1"/>
  <c r="C1293" i="1" s="1"/>
  <c r="Q1296" i="1"/>
  <c r="C1296" i="1" s="1"/>
  <c r="Q1077" i="1"/>
  <c r="C1077" i="1" s="1"/>
  <c r="Q955" i="1"/>
  <c r="C955" i="1" s="1"/>
  <c r="Q946" i="1"/>
  <c r="C946" i="1" s="1"/>
  <c r="Q625" i="1"/>
  <c r="C625" i="1" s="1"/>
  <c r="Q921" i="1"/>
  <c r="C921" i="1" s="1"/>
  <c r="Q491" i="1"/>
  <c r="C491" i="1" s="1"/>
  <c r="Q314" i="1"/>
  <c r="C314" i="1" s="1"/>
  <c r="Q156" i="1"/>
  <c r="C156" i="1" s="1"/>
  <c r="Q299" i="1"/>
  <c r="C299" i="1" s="1"/>
  <c r="Q89" i="1"/>
  <c r="C89" i="1" s="1"/>
  <c r="Q825" i="1"/>
  <c r="C825" i="1" s="1"/>
  <c r="Q1226" i="1"/>
  <c r="C1226" i="1" s="1"/>
  <c r="Q1152" i="1"/>
  <c r="C1152" i="1" s="1"/>
  <c r="Q878" i="1"/>
  <c r="C878" i="1" s="1"/>
  <c r="Q1054" i="1"/>
  <c r="C1054" i="1" s="1"/>
  <c r="Q634" i="1"/>
  <c r="C634" i="1" s="1"/>
  <c r="Q638" i="1"/>
  <c r="C638" i="1" s="1"/>
  <c r="Q360" i="1"/>
  <c r="C360" i="1" s="1"/>
  <c r="Q547" i="1"/>
  <c r="C547" i="1" s="1"/>
  <c r="Q1384" i="1"/>
  <c r="C1384" i="1" s="1"/>
  <c r="Q1339" i="1"/>
  <c r="C1339" i="1" s="1"/>
  <c r="Q1283" i="1"/>
  <c r="C1283" i="1" s="1"/>
  <c r="Q1201" i="1"/>
  <c r="C1201" i="1" s="1"/>
  <c r="Q1251" i="1"/>
  <c r="C1251" i="1" s="1"/>
  <c r="Q895" i="1"/>
  <c r="C895" i="1" s="1"/>
  <c r="Q855" i="1"/>
  <c r="C855" i="1" s="1"/>
  <c r="Q181" i="1"/>
  <c r="C181" i="1" s="1"/>
  <c r="Q187" i="1"/>
  <c r="C187" i="1" s="1"/>
  <c r="Q94" i="1"/>
  <c r="C94" i="1" s="1"/>
  <c r="Q82" i="1"/>
  <c r="C82" i="1" s="1"/>
  <c r="Q706" i="1"/>
  <c r="C706" i="1" s="1"/>
  <c r="Q1143" i="1"/>
  <c r="C1143" i="1" s="1"/>
  <c r="Q650" i="1"/>
  <c r="C650" i="1" s="1"/>
  <c r="Q199" i="1"/>
  <c r="C199" i="1" s="1"/>
  <c r="Q32" i="1"/>
  <c r="C32" i="1" s="1"/>
  <c r="Q1385" i="1"/>
  <c r="C1385" i="1" s="1"/>
  <c r="Q1150" i="1"/>
  <c r="C1150" i="1" s="1"/>
  <c r="Q722" i="1"/>
  <c r="C722" i="1" s="1"/>
  <c r="Q659" i="1"/>
  <c r="C659" i="1" s="1"/>
  <c r="Q176" i="1"/>
  <c r="C176" i="1" s="1"/>
  <c r="Q109" i="1"/>
  <c r="C109" i="1" s="1"/>
  <c r="Q976" i="1"/>
  <c r="C976" i="1" s="1"/>
  <c r="Q656" i="1"/>
  <c r="C656" i="1" s="1"/>
  <c r="Q164" i="1"/>
  <c r="C164" i="1" s="1"/>
  <c r="Q649" i="1"/>
  <c r="C649" i="1" s="1"/>
  <c r="Q8" i="1"/>
  <c r="C8" i="1" s="1"/>
  <c r="Q1121" i="1"/>
  <c r="C1121" i="1" s="1"/>
  <c r="Q137" i="1"/>
  <c r="C137" i="1" s="1"/>
  <c r="Q1191" i="1"/>
  <c r="C1191" i="1" s="1"/>
  <c r="Q201" i="1"/>
  <c r="C201" i="1" s="1"/>
  <c r="Q1369" i="1"/>
  <c r="C1369" i="1" s="1"/>
  <c r="Q1199" i="1"/>
  <c r="C1199" i="1" s="1"/>
  <c r="Q891" i="1"/>
  <c r="C891" i="1" s="1"/>
  <c r="Q177" i="1"/>
  <c r="C177" i="1" s="1"/>
  <c r="Q818" i="1"/>
  <c r="C818" i="1" s="1"/>
  <c r="Q668" i="1"/>
  <c r="C668" i="1" s="1"/>
  <c r="Q984" i="1"/>
  <c r="C984" i="1" s="1"/>
  <c r="Q712" i="1"/>
  <c r="C712" i="1" s="1"/>
  <c r="Q1144" i="1"/>
  <c r="C1144" i="1" s="1"/>
  <c r="Q263" i="1"/>
  <c r="C263" i="1" s="1"/>
  <c r="Q1080" i="1"/>
  <c r="C1080" i="1" s="1"/>
  <c r="Q1108" i="1"/>
  <c r="C1108" i="1" s="1"/>
  <c r="Q729" i="1"/>
  <c r="C729" i="1" s="1"/>
  <c r="Q819" i="1"/>
  <c r="C819" i="1" s="1"/>
  <c r="Q628" i="1"/>
  <c r="C628" i="1" s="1"/>
  <c r="Q484" i="1"/>
  <c r="C484" i="1" s="1"/>
  <c r="Q220" i="1"/>
  <c r="C220" i="1" s="1"/>
  <c r="Q7" i="1"/>
  <c r="C7" i="1" s="1"/>
  <c r="Q1058" i="1"/>
  <c r="C1058" i="1" s="1"/>
  <c r="Q454" i="1"/>
  <c r="C454" i="1" s="1"/>
  <c r="Q1051" i="1"/>
  <c r="C1051" i="1" s="1"/>
  <c r="Q909" i="1"/>
  <c r="C909" i="1" s="1"/>
  <c r="Q1344" i="1"/>
  <c r="C1344" i="1" s="1"/>
  <c r="Q1221" i="1"/>
  <c r="C1221" i="1" s="1"/>
  <c r="Q1225" i="1"/>
  <c r="C1225" i="1" s="1"/>
  <c r="Q1217" i="1"/>
  <c r="C1217" i="1" s="1"/>
  <c r="Q1008" i="1"/>
  <c r="C1008" i="1" s="1"/>
  <c r="Q996" i="1"/>
  <c r="C996" i="1" s="1"/>
  <c r="Q857" i="1"/>
  <c r="C857" i="1" s="1"/>
  <c r="Q883" i="1"/>
  <c r="C883" i="1" s="1"/>
  <c r="Q758" i="1"/>
  <c r="C758" i="1" s="1"/>
  <c r="Q678" i="1"/>
  <c r="C678" i="1" s="1"/>
  <c r="Q704" i="1"/>
  <c r="C704" i="1" s="1"/>
  <c r="Q681" i="1"/>
  <c r="C681" i="1" s="1"/>
  <c r="Q327" i="1"/>
  <c r="C327" i="1" s="1"/>
  <c r="Q478" i="1"/>
  <c r="C478" i="1" s="1"/>
  <c r="Q452" i="1"/>
  <c r="C452" i="1" s="1"/>
  <c r="Q345" i="1"/>
  <c r="C345" i="1" s="1"/>
  <c r="Q335" i="1"/>
  <c r="C335" i="1" s="1"/>
  <c r="Q384" i="1"/>
  <c r="C384" i="1" s="1"/>
  <c r="Q98" i="1"/>
  <c r="C98" i="1" s="1"/>
  <c r="Q114" i="1"/>
  <c r="C114" i="1" s="1"/>
  <c r="Q4" i="1"/>
  <c r="C4" i="1" s="1"/>
  <c r="Q994" i="1"/>
  <c r="C994" i="1" s="1"/>
  <c r="Q1371" i="1"/>
  <c r="C1371" i="1" s="1"/>
  <c r="Q970" i="1"/>
  <c r="C970" i="1" s="1"/>
  <c r="Q695" i="1"/>
  <c r="C695" i="1" s="1"/>
  <c r="Q1372" i="1"/>
  <c r="C1372" i="1" s="1"/>
  <c r="Q1017" i="1"/>
  <c r="C1017" i="1" s="1"/>
  <c r="Q9" i="1"/>
  <c r="C9" i="1" s="1"/>
  <c r="Q1140" i="1"/>
  <c r="C1140" i="1" s="1"/>
  <c r="Q1057" i="1"/>
  <c r="C1057" i="1" s="1"/>
  <c r="Q692" i="1"/>
  <c r="C692" i="1" s="1"/>
  <c r="Q313" i="1"/>
  <c r="C313" i="1" s="1"/>
  <c r="Q949" i="1"/>
  <c r="C949" i="1" s="1"/>
  <c r="Q14" i="1"/>
  <c r="C14" i="1" s="1"/>
  <c r="Q643" i="1"/>
  <c r="C643" i="1" s="1"/>
  <c r="Q180" i="1"/>
  <c r="C180" i="1" s="1"/>
  <c r="Q292" i="1"/>
  <c r="C292" i="1" s="1"/>
  <c r="Q933" i="1"/>
  <c r="C933" i="1" s="1"/>
  <c r="Q226" i="1"/>
  <c r="C226" i="1" s="1"/>
  <c r="Q429" i="1"/>
  <c r="C429" i="1" s="1"/>
  <c r="Q812" i="1"/>
  <c r="C812" i="1" s="1"/>
  <c r="Q1259" i="1"/>
  <c r="C1259" i="1" s="1"/>
  <c r="Q155" i="1"/>
  <c r="C155" i="1" s="1"/>
  <c r="Q28" i="1"/>
  <c r="C28" i="1" s="1"/>
  <c r="Q690" i="1"/>
  <c r="C690" i="1" s="1"/>
  <c r="Q449" i="1"/>
  <c r="C449" i="1" s="1"/>
  <c r="Q245" i="1"/>
  <c r="C245" i="1" s="1"/>
  <c r="Q1342" i="1"/>
  <c r="C1342" i="1" s="1"/>
  <c r="Q515" i="1"/>
  <c r="C515" i="1" s="1"/>
  <c r="Q817" i="1"/>
  <c r="C817" i="1" s="1"/>
  <c r="Q469" i="1"/>
  <c r="C469" i="1" s="1"/>
  <c r="Q288" i="1"/>
  <c r="C288" i="1" s="1"/>
  <c r="Q175" i="1"/>
  <c r="C175" i="1" s="1"/>
  <c r="Q59" i="1"/>
  <c r="C59" i="1" s="1"/>
  <c r="Q46" i="1"/>
  <c r="C46" i="1" s="1"/>
  <c r="Q1222" i="1"/>
  <c r="C1222" i="1" s="1"/>
  <c r="Q1159" i="1"/>
  <c r="C1159" i="1" s="1"/>
  <c r="Q1117" i="1"/>
  <c r="C1117" i="1" s="1"/>
  <c r="Q1019" i="1"/>
  <c r="C1019" i="1" s="1"/>
  <c r="Q905" i="1"/>
  <c r="C905" i="1" s="1"/>
  <c r="Q697" i="1"/>
  <c r="C697" i="1" s="1"/>
  <c r="Q755" i="1"/>
  <c r="C755" i="1" s="1"/>
  <c r="Q644" i="1"/>
  <c r="C644" i="1" s="1"/>
  <c r="Q418" i="1"/>
  <c r="C418" i="1" s="1"/>
  <c r="Q496" i="1"/>
  <c r="C496" i="1" s="1"/>
  <c r="Q173" i="1"/>
  <c r="C173" i="1" s="1"/>
  <c r="Q40" i="1"/>
  <c r="C40" i="1" s="1"/>
  <c r="Q1241" i="1"/>
  <c r="C1241" i="1" s="1"/>
  <c r="Q1183" i="1"/>
  <c r="C1183" i="1" s="1"/>
  <c r="Q1158" i="1"/>
  <c r="C1158" i="1" s="1"/>
  <c r="Q676" i="1"/>
  <c r="C676" i="1" s="1"/>
  <c r="Q840" i="1"/>
  <c r="C840" i="1" s="1"/>
  <c r="Q520" i="1"/>
  <c r="C520" i="1" s="1"/>
  <c r="Q705" i="1"/>
  <c r="C705" i="1" s="1"/>
  <c r="Q172" i="1"/>
  <c r="C172" i="1" s="1"/>
  <c r="Q105" i="1"/>
  <c r="C105" i="1" s="1"/>
  <c r="Q121" i="1"/>
  <c r="C121" i="1" s="1"/>
  <c r="Q359" i="1"/>
  <c r="C359" i="1" s="1"/>
  <c r="Q219" i="1"/>
  <c r="C219" i="1" s="1"/>
  <c r="Q1258" i="1"/>
  <c r="C1258" i="1" s="1"/>
  <c r="Q306" i="1"/>
  <c r="C306" i="1" s="1"/>
  <c r="Q74" i="1"/>
  <c r="C74" i="1" s="1"/>
  <c r="Q541" i="1"/>
  <c r="C541" i="1" s="1"/>
  <c r="Q244" i="1"/>
  <c r="C244" i="1" s="1"/>
  <c r="Q25" i="1"/>
  <c r="C25" i="1" s="1"/>
  <c r="Q963" i="1"/>
  <c r="C963" i="1" s="1"/>
  <c r="Q1020" i="1"/>
  <c r="C1020" i="1" s="1"/>
  <c r="Q1377" i="1"/>
  <c r="C1377" i="1" s="1"/>
  <c r="Q1349" i="1"/>
  <c r="C1349" i="1" s="1"/>
  <c r="Q1267" i="1"/>
  <c r="C1267" i="1" s="1"/>
  <c r="Q1218" i="1"/>
  <c r="C1218" i="1" s="1"/>
  <c r="Q1114" i="1"/>
  <c r="C1114" i="1" s="1"/>
  <c r="Q1067" i="1"/>
  <c r="C1067" i="1" s="1"/>
  <c r="Q1000" i="1"/>
  <c r="C1000" i="1" s="1"/>
  <c r="Q965" i="1"/>
  <c r="C965" i="1" s="1"/>
  <c r="Q1034" i="1"/>
  <c r="C1034" i="1" s="1"/>
  <c r="Q924" i="1"/>
  <c r="C924" i="1" s="1"/>
  <c r="Q655" i="1"/>
  <c r="C655" i="1" s="1"/>
  <c r="Q809" i="1"/>
  <c r="C809" i="1" s="1"/>
  <c r="Q736" i="1"/>
  <c r="C736" i="1" s="1"/>
  <c r="Q624" i="1"/>
  <c r="C624" i="1" s="1"/>
  <c r="Q742" i="1"/>
  <c r="C742" i="1" s="1"/>
  <c r="Q570" i="1"/>
  <c r="C570" i="1" s="1"/>
  <c r="Q792" i="1"/>
  <c r="C792" i="1" s="1"/>
  <c r="Q377" i="1"/>
  <c r="C377" i="1" s="1"/>
  <c r="Q426" i="1"/>
  <c r="C426" i="1" s="1"/>
  <c r="Q441" i="1"/>
  <c r="C441" i="1" s="1"/>
  <c r="Q208" i="1"/>
  <c r="C208" i="1" s="1"/>
  <c r="Q457" i="1"/>
  <c r="C457" i="1" s="1"/>
  <c r="Q316" i="1"/>
  <c r="C316" i="1" s="1"/>
  <c r="Q76" i="1"/>
  <c r="C76" i="1" s="1"/>
  <c r="Q581" i="1"/>
  <c r="C581" i="1" s="1"/>
  <c r="Q453" i="1"/>
  <c r="C453" i="1" s="1"/>
  <c r="Q856" i="1"/>
  <c r="C856" i="1" s="1"/>
  <c r="Q1381" i="1"/>
  <c r="C1381" i="1" s="1"/>
  <c r="Q1348" i="1"/>
  <c r="C1348" i="1" s="1"/>
  <c r="Q1297" i="1"/>
  <c r="C1297" i="1" s="1"/>
  <c r="Q1113" i="1"/>
  <c r="C1113" i="1" s="1"/>
  <c r="Q1102" i="1"/>
  <c r="C1102" i="1" s="1"/>
  <c r="Q1153" i="1"/>
  <c r="C1153" i="1" s="1"/>
  <c r="Q1084" i="1"/>
  <c r="C1084" i="1" s="1"/>
  <c r="Q1079" i="1"/>
  <c r="C1079" i="1" s="1"/>
  <c r="Q1004" i="1"/>
  <c r="C1004" i="1" s="1"/>
  <c r="Q1022" i="1"/>
  <c r="C1022" i="1" s="1"/>
  <c r="Q948" i="1"/>
  <c r="C948" i="1" s="1"/>
  <c r="Q780" i="1"/>
  <c r="C780" i="1" s="1"/>
  <c r="Q772" i="1"/>
  <c r="C772" i="1" s="1"/>
  <c r="Q789" i="1"/>
  <c r="C789" i="1" s="1"/>
  <c r="Q524" i="1"/>
  <c r="C524" i="1" s="1"/>
  <c r="Q658" i="1"/>
  <c r="C658" i="1" s="1"/>
  <c r="Q688" i="1"/>
  <c r="C688" i="1" s="1"/>
  <c r="Q389" i="1"/>
  <c r="C389" i="1" s="1"/>
  <c r="Q460" i="1"/>
  <c r="C460" i="1" s="1"/>
  <c r="Q593" i="1"/>
  <c r="C593" i="1" s="1"/>
  <c r="Q580" i="1"/>
  <c r="C580" i="1" s="1"/>
  <c r="Q222" i="1"/>
  <c r="C222" i="1" s="1"/>
  <c r="Q123" i="1"/>
  <c r="C123" i="1" s="1"/>
  <c r="Q86" i="1"/>
  <c r="C86" i="1" s="1"/>
  <c r="Q71" i="1"/>
  <c r="C71" i="1" s="1"/>
  <c r="Q41" i="1"/>
  <c r="C41" i="1" s="1"/>
  <c r="Q641" i="1"/>
  <c r="C641" i="1" s="1"/>
  <c r="Q115" i="1"/>
  <c r="C115" i="1" s="1"/>
  <c r="Q1393" i="1"/>
  <c r="Q535" i="1"/>
  <c r="C535" i="1" s="1"/>
  <c r="Q1271" i="1"/>
  <c r="C1271" i="1" s="1"/>
  <c r="Q1002" i="1"/>
  <c r="C1002" i="1" s="1"/>
  <c r="Q1013" i="1"/>
  <c r="C1013" i="1" s="1"/>
  <c r="Q951" i="1"/>
  <c r="C951" i="1" s="1"/>
  <c r="Q846" i="1"/>
  <c r="C846" i="1" s="1"/>
  <c r="Q964" i="1"/>
  <c r="C964" i="1" s="1"/>
  <c r="Q869" i="1"/>
  <c r="C869" i="1" s="1"/>
  <c r="Q657" i="1"/>
  <c r="C657" i="1" s="1"/>
  <c r="Q481" i="1"/>
  <c r="C481" i="1" s="1"/>
  <c r="Q686" i="1"/>
  <c r="C686" i="1" s="1"/>
  <c r="Q407" i="1"/>
  <c r="C407" i="1" s="1"/>
  <c r="Q629" i="1"/>
  <c r="C629" i="1" s="1"/>
  <c r="Q383" i="1"/>
  <c r="C383" i="1" s="1"/>
  <c r="Q248" i="1"/>
  <c r="C248" i="1" s="1"/>
  <c r="Q194" i="1"/>
  <c r="C194" i="1" s="1"/>
  <c r="Q251" i="1"/>
  <c r="C251" i="1" s="1"/>
  <c r="Q92" i="1"/>
  <c r="C92" i="1" s="1"/>
  <c r="Q112" i="1"/>
  <c r="C112" i="1" s="1"/>
  <c r="Q69" i="1"/>
  <c r="C69" i="1" s="1"/>
  <c r="Q36" i="1"/>
  <c r="C36" i="1" s="1"/>
  <c r="Q937" i="1"/>
  <c r="C937" i="1" s="1"/>
  <c r="Q350" i="1"/>
  <c r="C350" i="1" s="1"/>
  <c r="Q1005" i="1"/>
  <c r="C1005" i="1" s="1"/>
  <c r="Q464" i="1"/>
  <c r="C464" i="1" s="1"/>
  <c r="Q1367" i="1"/>
  <c r="C1367" i="1" s="1"/>
  <c r="Q1316" i="1"/>
  <c r="C1316" i="1" s="1"/>
  <c r="Q1262" i="1"/>
  <c r="C1262" i="1" s="1"/>
  <c r="Q1212" i="1"/>
  <c r="C1212" i="1" s="1"/>
  <c r="Q1107" i="1"/>
  <c r="C1107" i="1" s="1"/>
  <c r="Q1049" i="1"/>
  <c r="C1049" i="1" s="1"/>
  <c r="Q1043" i="1"/>
  <c r="C1043" i="1" s="1"/>
  <c r="Q841" i="1"/>
  <c r="C841" i="1" s="1"/>
  <c r="Q757" i="1"/>
  <c r="C757" i="1" s="1"/>
  <c r="Q750" i="1"/>
  <c r="C750" i="1" s="1"/>
  <c r="Q619" i="1"/>
  <c r="C619" i="1" s="1"/>
  <c r="Q870" i="1"/>
  <c r="C870" i="1" s="1"/>
  <c r="Q627" i="1"/>
  <c r="C627" i="1" s="1"/>
  <c r="Q636" i="1"/>
  <c r="C636" i="1" s="1"/>
  <c r="Q569" i="1"/>
  <c r="C569" i="1" s="1"/>
  <c r="Q322" i="1"/>
  <c r="C322" i="1" s="1"/>
  <c r="Q294" i="1"/>
  <c r="C294" i="1" s="1"/>
  <c r="Q309" i="1"/>
  <c r="C309" i="1" s="1"/>
  <c r="Q269" i="1"/>
  <c r="C269" i="1" s="1"/>
  <c r="Q259" i="1"/>
  <c r="C259" i="1" s="1"/>
  <c r="Q1365" i="1"/>
  <c r="C1365" i="1" s="1"/>
  <c r="Q34" i="1"/>
  <c r="C34" i="1" s="1"/>
  <c r="Q492" i="1"/>
  <c r="C492" i="1" s="1"/>
  <c r="Q246" i="1"/>
  <c r="C246" i="1" s="1"/>
  <c r="Q95" i="1"/>
  <c r="C95" i="1" s="1"/>
  <c r="Q1326" i="1"/>
  <c r="C1326" i="1" s="1"/>
  <c r="Q1310" i="1"/>
  <c r="C1310" i="1" s="1"/>
  <c r="Q1074" i="1"/>
  <c r="C1074" i="1" s="1"/>
  <c r="Q1104" i="1"/>
  <c r="C1104" i="1" s="1"/>
  <c r="Q993" i="1"/>
  <c r="C993" i="1" s="1"/>
  <c r="Q954" i="1"/>
  <c r="C954" i="1" s="1"/>
  <c r="Q670" i="1"/>
  <c r="C670" i="1" s="1"/>
  <c r="Q896" i="1"/>
  <c r="C896" i="1" s="1"/>
  <c r="Q864" i="1"/>
  <c r="C864" i="1" s="1"/>
  <c r="Q703" i="1"/>
  <c r="C703" i="1" s="1"/>
  <c r="Q651" i="1"/>
  <c r="C651" i="1" s="1"/>
  <c r="Q714" i="1"/>
  <c r="C714" i="1" s="1"/>
  <c r="Q599" i="1"/>
  <c r="C599" i="1" s="1"/>
  <c r="Q387" i="1"/>
  <c r="C387" i="1" s="1"/>
  <c r="Q611" i="1"/>
  <c r="C611" i="1" s="1"/>
  <c r="Q525" i="1"/>
  <c r="C525" i="1" s="1"/>
  <c r="Q286" i="1"/>
  <c r="C286" i="1" s="1"/>
  <c r="Q229" i="1"/>
  <c r="C229" i="1" s="1"/>
  <c r="Q162" i="1"/>
  <c r="C162" i="1" s="1"/>
  <c r="Q118" i="1"/>
  <c r="C118" i="1" s="1"/>
  <c r="Q50" i="1"/>
  <c r="C50" i="1" s="1"/>
  <c r="Q1370" i="1"/>
  <c r="C1370" i="1" s="1"/>
  <c r="Q83" i="1"/>
  <c r="C83" i="1" s="1"/>
  <c r="Q273" i="1"/>
  <c r="C273" i="1" s="1"/>
  <c r="Q1374" i="1"/>
  <c r="C1374" i="1" s="1"/>
  <c r="Q1337" i="1"/>
  <c r="C1337" i="1" s="1"/>
  <c r="Q1282" i="1"/>
  <c r="C1282" i="1" s="1"/>
  <c r="Q1237" i="1"/>
  <c r="C1237" i="1" s="1"/>
  <c r="Q1203" i="1"/>
  <c r="C1203" i="1" s="1"/>
  <c r="Q1164" i="1"/>
  <c r="C1164" i="1" s="1"/>
  <c r="Q1026" i="1"/>
  <c r="C1026" i="1" s="1"/>
  <c r="Q929" i="1"/>
  <c r="C929" i="1" s="1"/>
  <c r="Q957" i="1"/>
  <c r="C957" i="1" s="1"/>
  <c r="Q845" i="1"/>
  <c r="C845" i="1" s="1"/>
  <c r="Q762" i="1"/>
  <c r="C762" i="1" s="1"/>
  <c r="Q787" i="1"/>
  <c r="C787" i="1" s="1"/>
  <c r="Q459" i="1"/>
  <c r="C459" i="1" s="1"/>
  <c r="Q594" i="1"/>
  <c r="C594" i="1" s="1"/>
  <c r="Q332" i="1"/>
  <c r="C332" i="1" s="1"/>
  <c r="Q450" i="1"/>
  <c r="C450" i="1" s="1"/>
  <c r="Q485" i="1"/>
  <c r="C485" i="1" s="1"/>
  <c r="Q235" i="1"/>
  <c r="C235" i="1" s="1"/>
  <c r="Q392" i="1"/>
  <c r="C392" i="1" s="1"/>
  <c r="Q132" i="1"/>
  <c r="C132" i="1" s="1"/>
  <c r="Q133" i="1"/>
  <c r="C133" i="1" s="1"/>
  <c r="Q55" i="1"/>
  <c r="C55" i="1" s="1"/>
  <c r="Q38" i="1"/>
  <c r="C38" i="1" s="1"/>
  <c r="Q423" i="1"/>
  <c r="C423" i="1" s="1"/>
  <c r="Q716" i="1"/>
  <c r="C716" i="1" s="1"/>
  <c r="Q1315" i="1"/>
  <c r="C1315" i="1" s="1"/>
  <c r="Q1253" i="1"/>
  <c r="C1253" i="1" s="1"/>
  <c r="Q1127" i="1"/>
  <c r="C1127" i="1" s="1"/>
  <c r="Q974" i="1"/>
  <c r="C974" i="1" s="1"/>
  <c r="Q826" i="1"/>
  <c r="C826" i="1" s="1"/>
  <c r="Q707" i="1"/>
  <c r="C707" i="1" s="1"/>
  <c r="Q549" i="1"/>
  <c r="C549" i="1" s="1"/>
  <c r="Q213" i="1"/>
  <c r="C213" i="1" s="1"/>
  <c r="Q487" i="1"/>
  <c r="C487" i="1" s="1"/>
  <c r="Q148" i="1"/>
  <c r="C148" i="1" s="1"/>
  <c r="Q70" i="1"/>
  <c r="C70" i="1" s="1"/>
  <c r="Q1050" i="1"/>
  <c r="C1050" i="1" s="1"/>
  <c r="Q476" i="1"/>
  <c r="C476" i="1" s="1"/>
  <c r="Q1330" i="1"/>
  <c r="C1330" i="1" s="1"/>
  <c r="Q1248" i="1"/>
  <c r="C1248" i="1" s="1"/>
  <c r="Q1081" i="1"/>
  <c r="C1081" i="1" s="1"/>
  <c r="Q1007" i="1"/>
  <c r="C1007" i="1" s="1"/>
  <c r="Q898" i="1"/>
  <c r="C898" i="1" s="1"/>
  <c r="Q498" i="1"/>
  <c r="C498" i="1" s="1"/>
  <c r="Q339" i="1"/>
  <c r="C339" i="1" s="1"/>
  <c r="Q539" i="1"/>
  <c r="C539" i="1" s="1"/>
  <c r="Q365" i="1"/>
  <c r="C365" i="1" s="1"/>
  <c r="Q159" i="1"/>
  <c r="C159" i="1" s="1"/>
  <c r="Q96" i="1"/>
  <c r="C96" i="1" s="1"/>
  <c r="Q39" i="1"/>
  <c r="C39" i="1" s="1"/>
  <c r="Q252" i="1"/>
  <c r="C252" i="1" s="1"/>
  <c r="Q1055" i="1"/>
  <c r="C1055" i="1" s="1"/>
  <c r="Q868" i="1"/>
  <c r="C868" i="1" s="1"/>
  <c r="Q579" i="1"/>
  <c r="C579" i="1" s="1"/>
  <c r="Q698" i="1"/>
  <c r="C698" i="1" s="1"/>
  <c r="Q1350" i="1"/>
  <c r="C1350" i="1" s="1"/>
  <c r="Q908" i="1"/>
  <c r="C908" i="1" s="1"/>
  <c r="Q745" i="1"/>
  <c r="C745" i="1" s="1"/>
  <c r="Q65" i="1"/>
  <c r="C65" i="1" s="1"/>
  <c r="Q1336" i="1"/>
  <c r="C1336" i="1" s="1"/>
  <c r="Q1167" i="1"/>
  <c r="C1167" i="1" s="1"/>
  <c r="Q1056" i="1"/>
  <c r="C1056" i="1" s="1"/>
  <c r="Q882" i="1"/>
  <c r="C882" i="1" s="1"/>
  <c r="Q701" i="1"/>
  <c r="C701" i="1" s="1"/>
  <c r="Q566" i="1"/>
  <c r="C566" i="1" s="1"/>
  <c r="Q378" i="1"/>
  <c r="C378" i="1" s="1"/>
  <c r="Q203" i="1"/>
  <c r="C203" i="1" s="1"/>
  <c r="Q1332" i="1"/>
  <c r="C1332" i="1" s="1"/>
  <c r="Q1129" i="1"/>
  <c r="C1129" i="1" s="1"/>
  <c r="Q829" i="1"/>
  <c r="C829" i="1" s="1"/>
  <c r="Q458" i="1"/>
  <c r="C458" i="1" s="1"/>
  <c r="Q565" i="1"/>
  <c r="C565" i="1" s="1"/>
  <c r="Q308" i="1"/>
  <c r="C308" i="1" s="1"/>
  <c r="Q399" i="1"/>
  <c r="C399" i="1" s="1"/>
  <c r="Q81" i="1"/>
  <c r="C81" i="1" s="1"/>
  <c r="Q1265" i="1"/>
  <c r="C1265" i="1" s="1"/>
  <c r="Q1085" i="1"/>
  <c r="C1085" i="1" s="1"/>
  <c r="Q328" i="1"/>
  <c r="C328" i="1" s="1"/>
  <c r="Q362" i="1"/>
  <c r="C362" i="1" s="1"/>
  <c r="Q117" i="1"/>
  <c r="C117" i="1" s="1"/>
  <c r="Q1041" i="1"/>
  <c r="C1041" i="1" s="1"/>
  <c r="Q1006" i="1"/>
  <c r="C1006" i="1" s="1"/>
  <c r="Q918" i="1"/>
  <c r="C918" i="1" s="1"/>
  <c r="Q662" i="1"/>
  <c r="C662" i="1" s="1"/>
  <c r="Q397" i="1"/>
  <c r="C397" i="1" s="1"/>
  <c r="Q196" i="1"/>
  <c r="C196" i="1" s="1"/>
  <c r="Q1345" i="1"/>
  <c r="C1345" i="1" s="1"/>
  <c r="Q516" i="1"/>
  <c r="C516" i="1" s="1"/>
  <c r="Q188" i="1"/>
  <c r="C188" i="1" s="1"/>
  <c r="Q708" i="1"/>
  <c r="C708" i="1" s="1"/>
  <c r="Q331" i="1"/>
  <c r="C331" i="1" s="1"/>
  <c r="Q1347" i="1"/>
  <c r="C1347" i="1" s="1"/>
  <c r="Q1290" i="1"/>
  <c r="C1290" i="1" s="1"/>
  <c r="Q1303" i="1"/>
  <c r="C1303" i="1" s="1"/>
  <c r="Q1240" i="1"/>
  <c r="C1240" i="1" s="1"/>
  <c r="Q1131" i="1"/>
  <c r="C1131" i="1" s="1"/>
  <c r="Q1165" i="1"/>
  <c r="C1165" i="1" s="1"/>
  <c r="Q977" i="1"/>
  <c r="C977" i="1" s="1"/>
  <c r="Q995" i="1"/>
  <c r="C995" i="1" s="1"/>
  <c r="Q956" i="1"/>
  <c r="C956" i="1" s="1"/>
  <c r="Q919" i="1"/>
  <c r="C919" i="1" s="1"/>
  <c r="Q879" i="1"/>
  <c r="C879" i="1" s="1"/>
  <c r="Q886" i="1"/>
  <c r="C886" i="1" s="1"/>
  <c r="Q526" i="1"/>
  <c r="C526" i="1" s="1"/>
  <c r="Q808" i="1"/>
  <c r="C808" i="1" s="1"/>
  <c r="Q732" i="1"/>
  <c r="C732" i="1" s="1"/>
  <c r="Q685" i="1"/>
  <c r="C685" i="1" s="1"/>
  <c r="Q744" i="1"/>
  <c r="C744" i="1" s="1"/>
  <c r="Q621" i="1"/>
  <c r="C621" i="1" s="1"/>
  <c r="Q326" i="1"/>
  <c r="C326" i="1" s="1"/>
  <c r="Q422" i="1"/>
  <c r="C422" i="1" s="1"/>
  <c r="Q444" i="1"/>
  <c r="C444" i="1" s="1"/>
  <c r="Q368" i="1"/>
  <c r="C368" i="1" s="1"/>
  <c r="Q402" i="1"/>
  <c r="C402" i="1" s="1"/>
  <c r="Q372" i="1"/>
  <c r="C372" i="1" s="1"/>
  <c r="Q277" i="1"/>
  <c r="C277" i="1" s="1"/>
  <c r="Q474" i="1"/>
  <c r="C474" i="1" s="1"/>
  <c r="Q204" i="1"/>
  <c r="C204" i="1" s="1"/>
  <c r="Q146" i="1"/>
  <c r="C146" i="1" s="1"/>
  <c r="Q514" i="1"/>
  <c r="C514" i="1" s="1"/>
  <c r="Q626" i="1"/>
  <c r="C626" i="1" s="1"/>
  <c r="Q592" i="1"/>
  <c r="C592" i="1" s="1"/>
  <c r="Q310" i="1"/>
  <c r="C310" i="1" s="1"/>
  <c r="Q321" i="1"/>
  <c r="C321" i="1" s="1"/>
  <c r="Q783" i="1"/>
  <c r="C783" i="1" s="1"/>
  <c r="Q920" i="1"/>
  <c r="C920" i="1" s="1"/>
  <c r="Q364" i="1"/>
  <c r="C364" i="1" s="1"/>
  <c r="Q455" i="1"/>
  <c r="C455" i="1" s="1"/>
  <c r="Q1273" i="1"/>
  <c r="C1273" i="1" s="1"/>
  <c r="Q1171" i="1"/>
  <c r="C1171" i="1" s="1"/>
  <c r="Q587" i="1"/>
  <c r="C587" i="1" s="1"/>
  <c r="Q150" i="1"/>
  <c r="C150" i="1" s="1"/>
  <c r="Q1263" i="1"/>
  <c r="C1263" i="1" s="1"/>
  <c r="Q301" i="1"/>
  <c r="C301" i="1" s="1"/>
  <c r="Q1364" i="1"/>
  <c r="C1364" i="1" s="1"/>
  <c r="Q1324" i="1"/>
  <c r="C1324" i="1" s="1"/>
  <c r="Q1291" i="1"/>
  <c r="C1291" i="1" s="1"/>
  <c r="Q1302" i="1"/>
  <c r="C1302" i="1" s="1"/>
  <c r="Q1249" i="1"/>
  <c r="C1249" i="1" s="1"/>
  <c r="Q1232" i="1"/>
  <c r="C1232" i="1" s="1"/>
  <c r="Q1146" i="1"/>
  <c r="C1146" i="1" s="1"/>
  <c r="Q1115" i="1"/>
  <c r="C1115" i="1" s="1"/>
  <c r="Q912" i="1"/>
  <c r="C912" i="1" s="1"/>
  <c r="Q881" i="1"/>
  <c r="C881" i="1" s="1"/>
  <c r="Q759" i="1"/>
  <c r="C759" i="1" s="1"/>
  <c r="Q652" i="1"/>
  <c r="C652" i="1" s="1"/>
  <c r="Q653" i="1"/>
  <c r="C653" i="1" s="1"/>
  <c r="Q379" i="1"/>
  <c r="C379" i="1" s="1"/>
  <c r="Q400" i="1"/>
  <c r="C400" i="1" s="1"/>
  <c r="Q462" i="1"/>
  <c r="C462" i="1" s="1"/>
  <c r="Q556" i="1"/>
  <c r="C556" i="1" s="1"/>
  <c r="Q281" i="1"/>
  <c r="C281" i="1" s="1"/>
  <c r="Q278" i="1"/>
  <c r="C278" i="1" s="1"/>
  <c r="Q67" i="1"/>
  <c r="C67" i="1" s="1"/>
  <c r="Q27" i="1"/>
  <c r="C27" i="1" s="1"/>
  <c r="Q796" i="1"/>
  <c r="C796" i="1" s="1"/>
  <c r="Q1388" i="1"/>
  <c r="Q530" i="1"/>
  <c r="C530" i="1" s="1"/>
  <c r="Q865" i="1"/>
  <c r="C865" i="1" s="1"/>
  <c r="Q1246" i="1"/>
  <c r="C1246" i="1" s="1"/>
  <c r="Q1163" i="1"/>
  <c r="C1163" i="1" s="1"/>
  <c r="Q975" i="1"/>
  <c r="C975" i="1" s="1"/>
  <c r="Q940" i="1"/>
  <c r="C940" i="1" s="1"/>
  <c r="Q711" i="1"/>
  <c r="C711" i="1" s="1"/>
  <c r="Q824" i="1"/>
  <c r="C824" i="1" s="1"/>
  <c r="Q903" i="1"/>
  <c r="C903" i="1" s="1"/>
  <c r="Q753" i="1"/>
  <c r="C753" i="1" s="1"/>
  <c r="Q558" i="1"/>
  <c r="C558" i="1" s="1"/>
  <c r="Q363" i="1"/>
  <c r="C363" i="1" s="1"/>
  <c r="Q512" i="1"/>
  <c r="C512" i="1" s="1"/>
  <c r="Q445" i="1"/>
  <c r="C445" i="1" s="1"/>
  <c r="Q411" i="1"/>
  <c r="C411" i="1" s="1"/>
  <c r="Q230" i="1"/>
  <c r="C230" i="1" s="1"/>
  <c r="Q338" i="1"/>
  <c r="C338" i="1" s="1"/>
  <c r="Q1387" i="1"/>
  <c r="Q1235" i="1"/>
  <c r="C1235" i="1" s="1"/>
  <c r="Q590" i="1"/>
  <c r="C590" i="1" s="1"/>
  <c r="Q1304" i="1"/>
  <c r="C1304" i="1" s="1"/>
  <c r="Q1287" i="1"/>
  <c r="C1287" i="1" s="1"/>
  <c r="Q1103" i="1"/>
  <c r="C1103" i="1" s="1"/>
  <c r="Q1142" i="1"/>
  <c r="C1142" i="1" s="1"/>
  <c r="Q989" i="1"/>
  <c r="C989" i="1" s="1"/>
  <c r="Q992" i="1"/>
  <c r="C992" i="1" s="1"/>
  <c r="Q962" i="1"/>
  <c r="C962" i="1" s="1"/>
  <c r="Q790" i="1"/>
  <c r="C790" i="1" s="1"/>
  <c r="Q804" i="1"/>
  <c r="C804" i="1" s="1"/>
  <c r="Q583" i="1"/>
  <c r="C583" i="1" s="1"/>
  <c r="Q532" i="1"/>
  <c r="C532" i="1" s="1"/>
  <c r="Q760" i="1"/>
  <c r="C760" i="1" s="1"/>
  <c r="Q559" i="1"/>
  <c r="C559" i="1" s="1"/>
  <c r="Q684" i="1"/>
  <c r="C684" i="1" s="1"/>
  <c r="Q618" i="1"/>
  <c r="C618" i="1" s="1"/>
  <c r="Q351" i="1"/>
  <c r="C351" i="1" s="1"/>
  <c r="Q494" i="1"/>
  <c r="C494" i="1" s="1"/>
  <c r="Q404" i="1"/>
  <c r="C404" i="1" s="1"/>
  <c r="Q212" i="1"/>
  <c r="C212" i="1" s="1"/>
  <c r="Q391" i="1"/>
  <c r="C391" i="1" s="1"/>
  <c r="Q258" i="1"/>
  <c r="C258" i="1" s="1"/>
  <c r="Q144" i="1"/>
  <c r="C144" i="1" s="1"/>
  <c r="Q88" i="1"/>
  <c r="C88" i="1" s="1"/>
  <c r="Q139" i="1"/>
  <c r="C139" i="1" s="1"/>
  <c r="Q430" i="1"/>
  <c r="C430" i="1" s="1"/>
  <c r="Q1386" i="1"/>
  <c r="Q250" i="1"/>
  <c r="C250" i="1" s="1"/>
  <c r="Q343" i="1"/>
  <c r="C343" i="1" s="1"/>
  <c r="Q209" i="1"/>
  <c r="C209" i="1" s="1"/>
  <c r="Q1318" i="1"/>
  <c r="C1318" i="1" s="1"/>
  <c r="Q1269" i="1"/>
  <c r="C1269" i="1" s="1"/>
  <c r="Q1207" i="1"/>
  <c r="C1207" i="1" s="1"/>
  <c r="Q1186" i="1"/>
  <c r="C1186" i="1" s="1"/>
  <c r="Q1047" i="1"/>
  <c r="C1047" i="1" s="1"/>
  <c r="Q938" i="1"/>
  <c r="C938" i="1" s="1"/>
  <c r="Q934" i="1"/>
  <c r="C934" i="1" s="1"/>
  <c r="Q952" i="1"/>
  <c r="C952" i="1" s="1"/>
  <c r="Q850" i="1"/>
  <c r="C850" i="1" s="1"/>
  <c r="Q823" i="1"/>
  <c r="C823" i="1" s="1"/>
  <c r="Q700" i="1"/>
  <c r="C700" i="1" s="1"/>
  <c r="Q795" i="1"/>
  <c r="C795" i="1" s="1"/>
  <c r="Q677" i="1"/>
  <c r="C677" i="1" s="1"/>
  <c r="Q483" i="1"/>
  <c r="C483" i="1" s="1"/>
  <c r="Q448" i="1"/>
  <c r="C448" i="1" s="1"/>
  <c r="Q683" i="1"/>
  <c r="C683" i="1" s="1"/>
  <c r="Q401" i="1"/>
  <c r="C401" i="1" s="1"/>
  <c r="Q518" i="1"/>
  <c r="C518" i="1" s="1"/>
  <c r="Q388" i="1"/>
  <c r="C388" i="1" s="1"/>
  <c r="Q125" i="1"/>
  <c r="C125" i="1" s="1"/>
  <c r="Q289" i="1"/>
  <c r="C289" i="1" s="1"/>
  <c r="Q801" i="1"/>
  <c r="C801" i="1" s="1"/>
  <c r="Q276" i="1"/>
  <c r="C276" i="1" s="1"/>
  <c r="Q770" i="1"/>
  <c r="C770" i="1" s="1"/>
  <c r="Q913" i="1"/>
  <c r="C913" i="1" s="1"/>
  <c r="Q282" i="1"/>
  <c r="C282" i="1" s="1"/>
  <c r="Q1329" i="1"/>
  <c r="C1329" i="1" s="1"/>
  <c r="Q1285" i="1"/>
  <c r="C1285" i="1" s="1"/>
  <c r="Q1261" i="1"/>
  <c r="C1261" i="1" s="1"/>
  <c r="Q1229" i="1"/>
  <c r="C1229" i="1" s="1"/>
  <c r="Q1044" i="1"/>
  <c r="C1044" i="1" s="1"/>
  <c r="Q843" i="1"/>
  <c r="C843" i="1" s="1"/>
  <c r="Q893" i="1"/>
  <c r="C893" i="1" s="1"/>
  <c r="Q834" i="1"/>
  <c r="C834" i="1" s="1"/>
  <c r="Q749" i="1"/>
  <c r="C749" i="1" s="1"/>
  <c r="Q720" i="1"/>
  <c r="C720" i="1" s="1"/>
  <c r="Q793" i="1"/>
  <c r="C793" i="1" s="1"/>
  <c r="Q493" i="1"/>
  <c r="C493" i="1" s="1"/>
  <c r="Q412" i="1"/>
  <c r="C412" i="1" s="1"/>
  <c r="Q217" i="1"/>
  <c r="C217" i="1" s="1"/>
  <c r="Q394" i="1"/>
  <c r="C394" i="1" s="1"/>
  <c r="Q366" i="1"/>
  <c r="C366" i="1" s="1"/>
  <c r="Q297" i="1"/>
  <c r="C297" i="1" s="1"/>
  <c r="Q205" i="1"/>
  <c r="C205" i="1" s="1"/>
  <c r="Q1105" i="1"/>
  <c r="C1105" i="1" s="1"/>
  <c r="Q184" i="1"/>
  <c r="C184" i="1" s="1"/>
  <c r="Q116" i="1"/>
  <c r="C116" i="1" s="1"/>
  <c r="Q1090" i="1"/>
  <c r="C1090" i="1" s="1"/>
  <c r="Q420" i="1"/>
  <c r="C420" i="1" s="1"/>
  <c r="Q75" i="1"/>
  <c r="C75" i="1" s="1"/>
  <c r="Q179" i="1"/>
  <c r="C179" i="1" s="1"/>
  <c r="Q1343" i="1"/>
  <c r="C1343" i="1" s="1"/>
  <c r="Q1244" i="1"/>
  <c r="C1244" i="1" s="1"/>
  <c r="Q1112" i="1"/>
  <c r="C1112" i="1" s="1"/>
  <c r="Q1135" i="1"/>
  <c r="C1135" i="1" s="1"/>
  <c r="Q988" i="1"/>
  <c r="C988" i="1" s="1"/>
  <c r="Q802" i="1"/>
  <c r="C802" i="1" s="1"/>
  <c r="Q887" i="1"/>
  <c r="C887" i="1" s="1"/>
  <c r="Q779" i="1"/>
  <c r="C779" i="1" s="1"/>
  <c r="Q355" i="1"/>
  <c r="C355" i="1" s="1"/>
  <c r="Q279" i="1"/>
  <c r="C279" i="1" s="1"/>
  <c r="Q283" i="1"/>
  <c r="C283" i="1" s="1"/>
  <c r="Q143" i="1"/>
  <c r="C143" i="1" s="1"/>
  <c r="Q149" i="1"/>
  <c r="C149" i="1" s="1"/>
  <c r="Q5" i="1"/>
  <c r="C5" i="1" s="1"/>
  <c r="Q1156" i="1"/>
  <c r="C1156" i="1" s="1"/>
  <c r="Q241" i="1"/>
  <c r="C241" i="1" s="1"/>
  <c r="Q798" i="1"/>
  <c r="C798" i="1" s="1"/>
  <c r="Q443" i="1"/>
  <c r="C443" i="1" s="1"/>
  <c r="Q119" i="1"/>
  <c r="C119" i="1" s="1"/>
  <c r="Q16" i="1"/>
  <c r="C16" i="1" s="1"/>
  <c r="Q1027" i="1"/>
  <c r="C1027" i="1" s="1"/>
  <c r="Q778" i="1"/>
  <c r="C778" i="1" s="1"/>
  <c r="Q102" i="1"/>
  <c r="C102" i="1" s="1"/>
  <c r="Q77" i="1"/>
  <c r="C77" i="1" s="1"/>
  <c r="Q1281" i="1"/>
  <c r="C1281" i="1" s="1"/>
  <c r="Q1060" i="1"/>
  <c r="C1060" i="1" s="1"/>
  <c r="Q907" i="1"/>
  <c r="C907" i="1" s="1"/>
  <c r="Q603" i="1"/>
  <c r="C603" i="1" s="1"/>
  <c r="Q595" i="1"/>
  <c r="C595" i="1" s="1"/>
  <c r="Q503" i="1"/>
  <c r="C503" i="1" s="1"/>
  <c r="Q981" i="1"/>
  <c r="C981" i="1" s="1"/>
  <c r="Q971" i="1"/>
  <c r="C971" i="1" s="1"/>
  <c r="Q931" i="1"/>
  <c r="C931" i="1" s="1"/>
  <c r="Q1334" i="1"/>
  <c r="C1334" i="1" s="1"/>
  <c r="Q113" i="1"/>
  <c r="C113" i="1" s="1"/>
  <c r="Q575" i="1"/>
  <c r="C575" i="1" s="1"/>
  <c r="Q1333" i="1"/>
  <c r="C1333" i="1" s="1"/>
  <c r="Q1187" i="1"/>
  <c r="C1187" i="1" s="1"/>
  <c r="Q1193" i="1"/>
  <c r="C1193" i="1" s="1"/>
  <c r="Q973" i="1"/>
  <c r="C973" i="1" s="1"/>
  <c r="Q950" i="1"/>
  <c r="C950" i="1" s="1"/>
  <c r="Q901" i="1"/>
  <c r="C901" i="1" s="1"/>
  <c r="Q842" i="1"/>
  <c r="C842" i="1" s="1"/>
  <c r="Q346" i="1"/>
  <c r="C346" i="1" s="1"/>
  <c r="Q523" i="1"/>
  <c r="C523" i="1" s="1"/>
  <c r="Q352" i="1"/>
  <c r="C352" i="1" s="1"/>
  <c r="Q152" i="1"/>
  <c r="C152" i="1" s="1"/>
  <c r="Q416" i="1"/>
  <c r="C416" i="1" s="1"/>
  <c r="Q197" i="1"/>
  <c r="C197" i="1" s="1"/>
  <c r="Q23" i="1"/>
  <c r="C23" i="1" s="1"/>
  <c r="Q1063" i="1"/>
  <c r="C1063" i="1" s="1"/>
  <c r="Q872" i="1"/>
  <c r="C872" i="1" s="1"/>
  <c r="Q897" i="1"/>
  <c r="C897" i="1" s="1"/>
  <c r="Q550" i="1"/>
  <c r="C550" i="1" s="1"/>
  <c r="Q486" i="1"/>
  <c r="C486" i="1" s="1"/>
  <c r="Q361" i="1"/>
  <c r="C361" i="1" s="1"/>
  <c r="Q1119" i="1"/>
  <c r="C1119" i="1" s="1"/>
  <c r="Q1018" i="1"/>
  <c r="C1018" i="1" s="1"/>
  <c r="Q671" i="1"/>
  <c r="C671" i="1" s="1"/>
  <c r="Q438" i="1"/>
  <c r="C438" i="1" s="1"/>
  <c r="Q589" i="1"/>
  <c r="C589" i="1" s="1"/>
  <c r="Q1070" i="1"/>
  <c r="C1070" i="1" s="1"/>
  <c r="Q571" i="1"/>
  <c r="C571" i="1" s="1"/>
  <c r="Q280" i="1"/>
  <c r="C280" i="1" s="1"/>
  <c r="Q1314" i="1"/>
  <c r="C1314" i="1" s="1"/>
  <c r="Q307" i="1"/>
  <c r="C307" i="1" s="1"/>
  <c r="Q723" i="1"/>
  <c r="C723" i="1" s="1"/>
  <c r="Q195" i="1"/>
  <c r="C195" i="1" s="1"/>
  <c r="Q1356" i="1"/>
  <c r="C1356" i="1" s="1"/>
  <c r="Q1331" i="1"/>
  <c r="C1331" i="1" s="1"/>
  <c r="Q1274" i="1"/>
  <c r="C1274" i="1" s="1"/>
  <c r="Q1278" i="1"/>
  <c r="C1278" i="1" s="1"/>
  <c r="Q1148" i="1"/>
  <c r="C1148" i="1" s="1"/>
  <c r="Q1300" i="1"/>
  <c r="C1300" i="1" s="1"/>
  <c r="Q1292" i="1"/>
  <c r="C1292" i="1" s="1"/>
  <c r="Q1089" i="1"/>
  <c r="C1089" i="1" s="1"/>
  <c r="Q1082" i="1"/>
  <c r="C1082" i="1" s="1"/>
  <c r="Q1100" i="1"/>
  <c r="C1100" i="1" s="1"/>
  <c r="Q632" i="1"/>
  <c r="C632" i="1" s="1"/>
  <c r="Q776" i="1"/>
  <c r="C776" i="1" s="1"/>
  <c r="Q741" i="1"/>
  <c r="C741" i="1" s="1"/>
  <c r="Q612" i="1"/>
  <c r="C612" i="1" s="1"/>
  <c r="Q746" i="1"/>
  <c r="C746" i="1" s="1"/>
  <c r="Q576" i="1"/>
  <c r="C576" i="1" s="1"/>
  <c r="Q605" i="1"/>
  <c r="C605" i="1" s="1"/>
  <c r="Q417" i="1"/>
  <c r="C417" i="1" s="1"/>
  <c r="Q639" i="1"/>
  <c r="C639" i="1" s="1"/>
  <c r="Q522" i="1"/>
  <c r="C522" i="1" s="1"/>
  <c r="Q434" i="1"/>
  <c r="C434" i="1" s="1"/>
  <c r="Q358" i="1"/>
  <c r="C358" i="1" s="1"/>
  <c r="Q376" i="1"/>
  <c r="C376" i="1" s="1"/>
  <c r="Q403" i="1"/>
  <c r="C403" i="1" s="1"/>
  <c r="Q161" i="1"/>
  <c r="C161" i="1" s="1"/>
  <c r="Q145" i="1"/>
  <c r="C145" i="1" s="1"/>
  <c r="Q232" i="1"/>
  <c r="C232" i="1" s="1"/>
  <c r="Q120" i="1"/>
  <c r="C120" i="1" s="1"/>
  <c r="Q43" i="1"/>
  <c r="C43" i="1" s="1"/>
  <c r="Q20" i="1"/>
  <c r="C20" i="1" s="1"/>
  <c r="Q183" i="1"/>
  <c r="C183" i="1" s="1"/>
  <c r="Q160" i="1"/>
  <c r="C160" i="1" s="1"/>
  <c r="Q349" i="1"/>
  <c r="C349" i="1" s="1"/>
  <c r="Q342" i="1"/>
  <c r="C342" i="1" s="1"/>
  <c r="Q1352" i="1"/>
  <c r="C1352" i="1" s="1"/>
  <c r="Q1323" i="1"/>
  <c r="C1323" i="1" s="1"/>
  <c r="Q1260" i="1"/>
  <c r="C1260" i="1" s="1"/>
  <c r="Q1268" i="1"/>
  <c r="C1268" i="1" s="1"/>
  <c r="Q1239" i="1"/>
  <c r="C1239" i="1" s="1"/>
  <c r="Q1194" i="1"/>
  <c r="C1194" i="1" s="1"/>
  <c r="Q1118" i="1"/>
  <c r="C1118" i="1" s="1"/>
  <c r="Q1109" i="1"/>
  <c r="C1109" i="1" s="1"/>
  <c r="Q1069" i="1"/>
  <c r="C1069" i="1" s="1"/>
  <c r="Q1011" i="1"/>
  <c r="C1011" i="1" s="1"/>
  <c r="Q1033" i="1"/>
  <c r="C1033" i="1" s="1"/>
  <c r="Q928" i="1"/>
  <c r="C928" i="1" s="1"/>
  <c r="Q982" i="1"/>
  <c r="C982" i="1" s="1"/>
  <c r="Q828" i="1"/>
  <c r="C828" i="1" s="1"/>
  <c r="Q847" i="1"/>
  <c r="C847" i="1" s="1"/>
  <c r="Q822" i="1"/>
  <c r="C822" i="1" s="1"/>
  <c r="Q739" i="1"/>
  <c r="C739" i="1" s="1"/>
  <c r="Q633" i="1"/>
  <c r="C633" i="1" s="1"/>
  <c r="Q922" i="1"/>
  <c r="C922" i="1" s="1"/>
  <c r="Q482" i="1"/>
  <c r="C482" i="1" s="1"/>
  <c r="Q682" i="1"/>
  <c r="C682" i="1" s="1"/>
  <c r="Q800" i="1"/>
  <c r="C800" i="1" s="1"/>
  <c r="Q466" i="1"/>
  <c r="C466" i="1" s="1"/>
  <c r="Q543" i="1"/>
  <c r="C543" i="1" s="1"/>
  <c r="Q545" i="1"/>
  <c r="C545" i="1" s="1"/>
  <c r="Q582" i="1"/>
  <c r="C582" i="1" s="1"/>
  <c r="Q456" i="1"/>
  <c r="C456" i="1" s="1"/>
  <c r="Q408" i="1"/>
  <c r="C408" i="1" s="1"/>
  <c r="Q471" i="1"/>
  <c r="C471" i="1" s="1"/>
  <c r="Q210" i="1"/>
  <c r="C210" i="1" s="1"/>
  <c r="Q323" i="1"/>
  <c r="C323" i="1" s="1"/>
  <c r="Q185" i="1"/>
  <c r="C185" i="1" s="1"/>
  <c r="Q242" i="1"/>
  <c r="C242" i="1" s="1"/>
  <c r="Q202" i="1"/>
  <c r="C202" i="1" s="1"/>
  <c r="Q104" i="1"/>
  <c r="C104" i="1" s="1"/>
  <c r="Q99" i="1"/>
  <c r="C99" i="1" s="1"/>
  <c r="Q90" i="1"/>
  <c r="C90" i="1" s="1"/>
  <c r="Q1357" i="1"/>
  <c r="C1357" i="1" s="1"/>
  <c r="Q1228" i="1"/>
  <c r="C1228" i="1" s="1"/>
  <c r="Q410" i="1"/>
  <c r="C410" i="1" s="1"/>
  <c r="Q1284" i="1"/>
  <c r="C1284" i="1" s="1"/>
  <c r="Q91" i="1"/>
  <c r="C91" i="1" s="1"/>
  <c r="Q1383" i="1"/>
  <c r="C1383" i="1" s="1"/>
  <c r="Q1213" i="1"/>
  <c r="C1213" i="1" s="1"/>
  <c r="Q1176" i="1"/>
  <c r="C1176" i="1" s="1"/>
  <c r="Q1059" i="1"/>
  <c r="C1059" i="1" s="1"/>
  <c r="Q1025" i="1"/>
  <c r="C1025" i="1" s="1"/>
  <c r="Q788" i="1"/>
  <c r="C788" i="1" s="1"/>
  <c r="Q807" i="1"/>
  <c r="C807" i="1" s="1"/>
  <c r="Q604" i="1"/>
  <c r="C604" i="1" s="1"/>
  <c r="Q341" i="1"/>
  <c r="C341" i="1" s="1"/>
  <c r="Q216" i="1"/>
  <c r="C216" i="1" s="1"/>
  <c r="Q191" i="1"/>
  <c r="C191" i="1" s="1"/>
  <c r="Q61" i="1"/>
  <c r="C61" i="1" s="1"/>
  <c r="Q18" i="1"/>
  <c r="C18" i="1" s="1"/>
  <c r="Q24" i="1"/>
  <c r="C24" i="1" s="1"/>
  <c r="Q1382" i="1"/>
  <c r="C1382" i="1" s="1"/>
  <c r="Q1257" i="1"/>
  <c r="C1257" i="1" s="1"/>
  <c r="Q1200" i="1"/>
  <c r="C1200" i="1" s="1"/>
  <c r="Q854" i="1"/>
  <c r="C854" i="1" s="1"/>
  <c r="Q743" i="1"/>
  <c r="C743" i="1" s="1"/>
  <c r="Q679" i="1"/>
  <c r="C679" i="1" s="1"/>
  <c r="Q567" i="1"/>
  <c r="C567" i="1" s="1"/>
  <c r="Q225" i="1"/>
  <c r="C225" i="1" s="1"/>
  <c r="Q223" i="1"/>
  <c r="C223" i="1" s="1"/>
  <c r="Q1380" i="1"/>
  <c r="C1380" i="1" s="1"/>
  <c r="Q1052" i="1"/>
  <c r="C1052" i="1" s="1"/>
  <c r="Q1124" i="1"/>
  <c r="C1124" i="1" s="1"/>
  <c r="Q810" i="1"/>
  <c r="C810" i="1" s="1"/>
  <c r="Q713" i="1"/>
  <c r="C713" i="1" s="1"/>
  <c r="Q734" i="1"/>
  <c r="C734" i="1" s="1"/>
  <c r="Q699" i="1"/>
  <c r="C699" i="1" s="1"/>
  <c r="Q775" i="1"/>
  <c r="C775" i="1" s="1"/>
  <c r="Q724" i="1"/>
  <c r="C724" i="1" s="1"/>
  <c r="Q630" i="1"/>
  <c r="C630" i="1" s="1"/>
  <c r="Q631" i="1"/>
  <c r="C631" i="1" s="1"/>
  <c r="Q439" i="1"/>
  <c r="C439" i="1" s="1"/>
  <c r="Q435" i="1"/>
  <c r="C435" i="1" s="1"/>
  <c r="Q315" i="1"/>
  <c r="C315" i="1" s="1"/>
  <c r="Q319" i="1"/>
  <c r="C319" i="1" s="1"/>
  <c r="Q190" i="1"/>
  <c r="C190" i="1" s="1"/>
  <c r="Q255" i="1"/>
  <c r="C255" i="1" s="1"/>
  <c r="Q51" i="1"/>
  <c r="C51" i="1" s="1"/>
  <c r="Q174" i="1"/>
  <c r="C174" i="1" s="1"/>
  <c r="Q52" i="1"/>
  <c r="C52" i="1" s="1"/>
  <c r="Q1066" i="1"/>
  <c r="C1066" i="1" s="1"/>
  <c r="Q1175" i="1"/>
  <c r="C1175" i="1" s="1"/>
  <c r="Q731" i="1"/>
  <c r="C731" i="1" s="1"/>
  <c r="Q754" i="1"/>
  <c r="C754" i="1" s="1"/>
  <c r="Q421" i="1"/>
  <c r="C421" i="1" s="1"/>
  <c r="Q588" i="1"/>
  <c r="C588" i="1" s="1"/>
  <c r="Q73" i="1"/>
  <c r="C73" i="1" s="1"/>
  <c r="Q820" i="1"/>
  <c r="C820" i="1" s="1"/>
  <c r="Q537" i="1"/>
  <c r="C537" i="1" s="1"/>
  <c r="Q238" i="1"/>
  <c r="C238" i="1" s="1"/>
  <c r="Q134" i="1"/>
  <c r="C134" i="1" s="1"/>
  <c r="Q30" i="1"/>
  <c r="C30" i="1" s="1"/>
  <c r="Q15" i="1"/>
  <c r="C15" i="1" s="1"/>
  <c r="Q756" i="1"/>
  <c r="C756" i="1" s="1"/>
  <c r="Q465" i="1"/>
  <c r="C465" i="1" s="1"/>
  <c r="Q1202" i="1"/>
  <c r="C1202" i="1" s="1"/>
  <c r="Q1181" i="1"/>
  <c r="C1181" i="1" s="1"/>
  <c r="Q1031" i="1"/>
  <c r="C1031" i="1" s="1"/>
  <c r="Q914" i="1"/>
  <c r="C914" i="1" s="1"/>
  <c r="Q943" i="1"/>
  <c r="C943" i="1" s="1"/>
  <c r="Q830" i="1"/>
  <c r="C830" i="1" s="1"/>
  <c r="Q660" i="1"/>
  <c r="C660" i="1" s="1"/>
  <c r="Q848" i="1"/>
  <c r="C848" i="1" s="1"/>
  <c r="Q573" i="1"/>
  <c r="C573" i="1" s="1"/>
  <c r="Q431" i="1"/>
  <c r="C431" i="1" s="1"/>
  <c r="Q311" i="1"/>
  <c r="C311" i="1" s="1"/>
  <c r="Q396" i="1"/>
  <c r="C396" i="1" s="1"/>
  <c r="Q218" i="1"/>
  <c r="C218" i="1" s="1"/>
  <c r="Q68" i="1"/>
  <c r="C68" i="1" s="1"/>
  <c r="Q42" i="1"/>
  <c r="C42" i="1" s="1"/>
  <c r="Q983" i="1"/>
  <c r="C983" i="1" s="1"/>
  <c r="Q340" i="1"/>
  <c r="C340" i="1" s="1"/>
  <c r="Q748" i="1"/>
  <c r="C748" i="1" s="1"/>
  <c r="Q1166" i="1"/>
  <c r="C1166" i="1" s="1"/>
  <c r="Q1083" i="1"/>
  <c r="C1083" i="1" s="1"/>
  <c r="Q1009" i="1"/>
  <c r="C1009" i="1" s="1"/>
  <c r="Q915" i="1"/>
  <c r="C915" i="1" s="1"/>
  <c r="Q873" i="1"/>
  <c r="C873" i="1" s="1"/>
  <c r="Q521" i="1"/>
  <c r="C521" i="1" s="1"/>
  <c r="Q831" i="1"/>
  <c r="C831" i="1" s="1"/>
  <c r="Q390" i="1"/>
  <c r="C390" i="1" s="1"/>
  <c r="Q237" i="1"/>
  <c r="C237" i="1" s="1"/>
  <c r="Q13" i="1"/>
  <c r="C13" i="1" s="1"/>
  <c r="Q911" i="1"/>
  <c r="C911" i="1" s="1"/>
  <c r="Q228" i="1"/>
  <c r="C228" i="1" s="1"/>
  <c r="Q1233" i="1"/>
  <c r="C1233" i="1" s="1"/>
  <c r="Q446" i="1"/>
  <c r="C446" i="1" s="1"/>
  <c r="Q1126" i="1"/>
  <c r="C1126" i="1" s="1"/>
  <c r="Q945" i="1"/>
  <c r="C945" i="1" s="1"/>
  <c r="Q814" i="1"/>
  <c r="C814" i="1" s="1"/>
  <c r="Q347" i="1"/>
  <c r="C347" i="1" s="1"/>
  <c r="Q467" i="1"/>
  <c r="C467" i="1" s="1"/>
  <c r="Q231" i="1"/>
  <c r="C231" i="1" s="1"/>
  <c r="Q715" i="1"/>
  <c r="C715" i="1" s="1"/>
  <c r="Q1378" i="1"/>
  <c r="C1378" i="1" s="1"/>
  <c r="Q1076" i="1"/>
  <c r="C1076" i="1" s="1"/>
  <c r="Q1101" i="1"/>
  <c r="C1101" i="1" s="1"/>
  <c r="Q785" i="1"/>
  <c r="C785" i="1" s="1"/>
  <c r="Q737" i="1"/>
  <c r="C737" i="1" s="1"/>
  <c r="Q432" i="1"/>
  <c r="C432" i="1" s="1"/>
  <c r="Q507" i="1"/>
  <c r="C507" i="1" s="1"/>
  <c r="Q167" i="1"/>
  <c r="C167" i="1" s="1"/>
  <c r="Q317" i="1"/>
  <c r="C317" i="1" s="1"/>
  <c r="Q62" i="1"/>
  <c r="C62" i="1" s="1"/>
  <c r="Q875" i="1"/>
  <c r="C875" i="1" s="1"/>
  <c r="Q207" i="1"/>
  <c r="C207" i="1" s="1"/>
  <c r="Q1340" i="1"/>
  <c r="C1340" i="1" s="1"/>
  <c r="Q1272" i="1"/>
  <c r="C1272" i="1" s="1"/>
  <c r="Q171" i="1"/>
  <c r="C171" i="1" s="1"/>
  <c r="Q939" i="1"/>
  <c r="C939" i="1" s="1"/>
  <c r="Q548" i="1"/>
  <c r="C548" i="1" s="1"/>
  <c r="Q930" i="1"/>
  <c r="C930" i="1" s="1"/>
  <c r="Q170" i="1"/>
  <c r="C170" i="1" s="1"/>
  <c r="Q997" i="1"/>
  <c r="C997" i="1" s="1"/>
  <c r="Q752" i="1"/>
  <c r="C752" i="1" s="1"/>
  <c r="Q585" i="1"/>
  <c r="C585" i="1" s="1"/>
  <c r="Q419" i="1"/>
  <c r="C419" i="1" s="1"/>
  <c r="Q254" i="1"/>
  <c r="C254" i="1" s="1"/>
  <c r="Q249" i="1"/>
  <c r="C249" i="1" s="1"/>
  <c r="Q131" i="1"/>
  <c r="C131" i="1" s="1"/>
  <c r="Q122" i="1"/>
  <c r="C122" i="1" s="1"/>
  <c r="Q11" i="1"/>
  <c r="C11" i="1" s="1"/>
  <c r="P1341" i="1" l="1"/>
  <c r="Q1341" i="1" s="1"/>
  <c r="C1341" i="1" s="1"/>
  <c r="P128" i="1"/>
  <c r="Q128" i="1" s="1"/>
  <c r="C128" i="1" s="1"/>
  <c r="P243" i="1"/>
  <c r="Q243" i="1" s="1"/>
  <c r="C243" i="1" s="1"/>
  <c r="P147" i="1"/>
  <c r="Q147" i="1" s="1"/>
  <c r="C147" i="1" s="1"/>
  <c r="P1289" i="1"/>
  <c r="Q1289" i="1" s="1"/>
  <c r="C1289" i="1" s="1"/>
</calcChain>
</file>

<file path=xl/sharedStrings.xml><?xml version="1.0" encoding="utf-8"?>
<sst xmlns="http://schemas.openxmlformats.org/spreadsheetml/2006/main" count="5800" uniqueCount="2036">
  <si>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</si>
  <si>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</si>
  <si>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</si>
  <si>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</si>
  <si>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</si>
  <si>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</si>
  <si>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</si>
  <si>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</si>
  <si>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</si>
  <si>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</si>
  <si>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</si>
  <si>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</si>
  <si>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</si>
  <si>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</si>
  <si>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</si>
  <si>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</si>
  <si>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</si>
  <si>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</si>
  <si>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</si>
  <si>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</si>
  <si>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</si>
  <si>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</si>
  <si>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</si>
  <si>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</si>
  <si>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</si>
  <si>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</si>
  <si>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</si>
  <si>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</si>
  <si>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</si>
  <si>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</si>
  <si>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</si>
  <si>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</si>
  <si>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</si>
  <si>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</si>
  <si>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</si>
  <si>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</si>
  <si>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</si>
  <si>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</si>
  <si>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</si>
  <si>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</si>
  <si>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</si>
  <si>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</si>
  <si>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</si>
  <si>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</si>
  <si>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</si>
  <si>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</si>
  <si>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</si>
  <si>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</si>
  <si>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</si>
  <si>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</si>
  <si>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</si>
  <si>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</si>
  <si>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</si>
  <si>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</si>
  <si>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</si>
  <si>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</si>
  <si>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</si>
  <si>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</si>
  <si>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</si>
  <si>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</si>
  <si>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</si>
  <si>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</si>
  <si>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</si>
  <si>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</si>
  <si>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</si>
  <si>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</si>
  <si>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</si>
  <si>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</si>
  <si>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</si>
  <si>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</si>
  <si>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</si>
  <si>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</si>
  <si>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</si>
  <si>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</si>
  <si>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</si>
  <si>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</si>
  <si>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</si>
  <si>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</si>
  <si>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</si>
  <si>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</si>
  <si>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</si>
  <si>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</si>
  <si>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</si>
  <si>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</si>
  <si>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</si>
  <si>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</si>
  <si>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</si>
  <si>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</si>
  <si>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</si>
  <si>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</si>
  <si>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</si>
  <si>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</si>
  <si>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</si>
  <si>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</si>
  <si>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</si>
  <si>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</si>
  <si>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</si>
  <si>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</si>
  <si>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</si>
  <si>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</si>
  <si>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</si>
  <si>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</si>
  <si>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</si>
  <si>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</si>
  <si>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</si>
  <si>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</si>
  <si>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</si>
  <si>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</si>
  <si>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</si>
  <si>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</si>
  <si>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</si>
  <si>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</si>
  <si>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</si>
  <si>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</si>
  <si>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</si>
  <si>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</si>
  <si>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</si>
  <si>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</si>
  <si>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</si>
  <si>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</si>
  <si>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</si>
  <si>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</si>
  <si>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</si>
  <si>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</si>
  <si>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</si>
  <si>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</si>
  <si>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</si>
  <si>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</si>
  <si>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</si>
  <si>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</si>
  <si>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</si>
  <si>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</si>
  <si>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</si>
  <si>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</si>
  <si>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</si>
  <si>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</si>
  <si>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</si>
  <si>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</si>
  <si>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</si>
  <si>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</si>
  <si>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</si>
  <si>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</si>
  <si>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</si>
  <si>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</si>
  <si>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</si>
  <si>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</si>
  <si>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</si>
  <si>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</si>
  <si>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</si>
  <si>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</si>
  <si>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</si>
  <si>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</si>
  <si>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</si>
  <si>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</si>
  <si>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</si>
  <si>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</si>
  <si>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</si>
  <si>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</si>
  <si>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</si>
  <si>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</si>
  <si>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</si>
  <si>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</si>
  <si>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</si>
  <si>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</si>
  <si>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</si>
  <si>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</si>
  <si>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</si>
  <si>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</si>
  <si>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</si>
  <si>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</si>
  <si>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</si>
  <si>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</si>
  <si>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</si>
  <si>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</si>
  <si>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</si>
  <si>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</si>
  <si>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</si>
  <si>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</si>
  <si>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</si>
  <si>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</si>
  <si>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</si>
  <si>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</si>
  <si>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</si>
  <si>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</si>
  <si>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</si>
  <si>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</si>
  <si>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</si>
  <si>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</si>
  <si>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</si>
  <si>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</si>
  <si>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</si>
  <si>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</si>
  <si>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</si>
  <si>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</si>
  <si>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</si>
  <si>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</si>
  <si>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</si>
  <si>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</si>
  <si>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</si>
  <si>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</si>
  <si>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</si>
  <si>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</si>
  <si>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</si>
  <si>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</si>
  <si>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</si>
  <si>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</si>
  <si>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</si>
  <si>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</si>
  <si>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</si>
  <si>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</si>
  <si>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</si>
  <si>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</si>
  <si>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</si>
  <si>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</si>
  <si>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</si>
  <si>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</si>
  <si>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</si>
  <si>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</si>
  <si>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</si>
  <si>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</si>
  <si>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</si>
  <si>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</si>
  <si>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</si>
  <si>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</si>
  <si>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</si>
  <si>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</si>
  <si>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</si>
  <si>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</si>
  <si>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</si>
  <si>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</si>
  <si>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</si>
  <si>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</si>
  <si>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</si>
  <si>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</si>
  <si>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</si>
  <si>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</si>
  <si>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</si>
  <si>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</si>
  <si>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</si>
  <si>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</si>
  <si>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</si>
  <si>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</si>
  <si>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</si>
  <si>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</si>
  <si>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</si>
  <si>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</si>
  <si>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</si>
  <si>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</si>
  <si>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</si>
  <si>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</si>
  <si>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</si>
  <si>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</si>
  <si>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</si>
  <si>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</si>
  <si>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</si>
  <si>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</si>
  <si>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</si>
  <si>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</si>
  <si>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</si>
  <si>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</si>
  <si>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</si>
  <si>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</si>
  <si>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</si>
  <si>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</si>
  <si>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</si>
  <si>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</si>
  <si>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</si>
  <si>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</si>
  <si>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</si>
  <si>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</si>
  <si>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</si>
  <si>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</si>
  <si>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</si>
  <si>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</si>
  <si>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</si>
  <si>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</si>
  <si>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</si>
  <si>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</si>
  <si>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</si>
  <si>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</si>
  <si>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</si>
  <si>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</si>
  <si>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</si>
  <si>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</si>
  <si>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</si>
  <si>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</si>
  <si>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</si>
  <si>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</si>
  <si>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</si>
  <si>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</si>
  <si>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</si>
  <si>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</si>
  <si>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</si>
  <si>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</si>
  <si>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</si>
  <si>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</si>
  <si>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</si>
  <si>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</si>
  <si>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</si>
  <si>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</si>
  <si>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</si>
  <si>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</si>
  <si>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</si>
  <si>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</si>
  <si>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</si>
  <si>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</si>
  <si>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</si>
  <si>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</si>
  <si>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</si>
  <si>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</si>
  <si>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</si>
  <si>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</si>
  <si>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</si>
  <si>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</si>
  <si>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</si>
  <si>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</si>
  <si>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</si>
  <si>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</si>
  <si>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</si>
  <si>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</si>
  <si>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</si>
  <si>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</si>
  <si>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</si>
  <si>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</si>
  <si>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</si>
  <si>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</si>
  <si>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</si>
  <si>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</si>
  <si>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</si>
  <si>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</si>
  <si>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</si>
  <si>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</si>
  <si>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</si>
  <si>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</si>
  <si>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</si>
  <si>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</si>
  <si>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</si>
  <si>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</si>
  <si>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</si>
  <si>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</si>
  <si>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</si>
  <si>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</si>
  <si>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</si>
  <si>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</si>
  <si>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</si>
  <si>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</si>
  <si>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</si>
  <si>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</si>
  <si>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</si>
  <si>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</si>
  <si>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</si>
  <si>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</si>
  <si>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</si>
  <si>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</si>
  <si>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</si>
  <si>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</si>
  <si>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</si>
  <si>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</si>
  <si>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</si>
  <si>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</si>
  <si>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</si>
  <si>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</si>
  <si>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</si>
  <si>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</si>
  <si>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</si>
  <si>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</si>
  <si>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</si>
  <si>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</si>
  <si>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</si>
  <si>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</si>
  <si>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</si>
  <si>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</si>
  <si>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</si>
  <si>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</si>
  <si>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</si>
  <si>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</si>
  <si>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</si>
  <si>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</si>
  <si>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</si>
  <si>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</si>
  <si>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</si>
  <si>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</si>
  <si>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</si>
  <si>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</si>
  <si>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</si>
  <si>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</si>
  <si>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</si>
  <si>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</si>
  <si>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</si>
  <si>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</si>
  <si>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</si>
  <si>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</si>
  <si>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</si>
  <si>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</si>
  <si>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</si>
  <si>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</si>
  <si>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</si>
  <si>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</si>
  <si>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</si>
  <si>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</si>
  <si>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</si>
  <si>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</si>
  <si>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</si>
  <si>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</si>
  <si>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</si>
  <si>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</si>
  <si>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</si>
  <si>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</si>
  <si>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</si>
  <si>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</si>
  <si>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</si>
  <si>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</si>
  <si>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</si>
  <si>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</si>
  <si>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</si>
  <si>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</si>
  <si>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</si>
  <si>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</si>
  <si>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</si>
  <si>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</si>
  <si>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</si>
  <si>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</si>
  <si>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</si>
  <si>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</si>
  <si>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</si>
  <si>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</si>
  <si>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</si>
  <si>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</si>
  <si>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</si>
  <si>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</si>
  <si>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</si>
  <si>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</si>
  <si>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</si>
  <si>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</si>
  <si>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</si>
  <si>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</si>
  <si>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</si>
  <si>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</si>
  <si>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</si>
  <si>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</si>
  <si>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</si>
  <si>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</si>
  <si>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</si>
  <si>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</si>
  <si>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</si>
  <si>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</si>
  <si>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</si>
  <si>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</si>
  <si>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</si>
  <si>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</si>
  <si>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</si>
  <si>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</si>
  <si>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</si>
  <si>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</si>
  <si>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</si>
  <si>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</si>
  <si>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</si>
  <si>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</si>
  <si>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</si>
  <si>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</si>
  <si>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</si>
  <si>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</si>
  <si>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</si>
  <si>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</si>
  <si>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</si>
  <si>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</si>
  <si>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</si>
  <si>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</si>
  <si>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</si>
  <si>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</si>
  <si>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</si>
  <si>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</si>
  <si>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</si>
  <si>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</si>
  <si>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</si>
  <si>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</si>
  <si>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</si>
  <si>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</si>
  <si>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</si>
  <si>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</si>
  <si>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</si>
  <si>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</si>
  <si>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</si>
  <si>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</si>
  <si>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</si>
  <si>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</si>
  <si>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</si>
  <si>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</si>
  <si>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</si>
  <si>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</si>
  <si>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</si>
  <si>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</si>
  <si>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</si>
  <si>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</si>
  <si>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</si>
  <si>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</si>
  <si>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</si>
  <si>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</si>
  <si>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</si>
  <si>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</si>
  <si>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</si>
  <si>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</si>
  <si>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</si>
  <si>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</si>
  <si>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</si>
  <si>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</si>
  <si>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</si>
  <si>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</si>
  <si>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</si>
  <si>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</si>
  <si>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</si>
  <si>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</si>
  <si>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</si>
  <si>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</si>
  <si>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</si>
  <si>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</si>
  <si>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</si>
  <si>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</si>
  <si>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</si>
  <si>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</si>
  <si>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</si>
  <si>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</si>
  <si>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</si>
  <si>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</si>
  <si>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</si>
  <si>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</si>
  <si>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</si>
  <si>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</si>
  <si>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</si>
  <si>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</si>
  <si>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</si>
  <si>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</si>
  <si>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</si>
  <si>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</si>
  <si>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</si>
  <si>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</si>
  <si>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</si>
  <si>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</si>
  <si>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</si>
  <si>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</si>
  <si>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</si>
  <si>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</si>
  <si>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</si>
  <si>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</si>
  <si>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</si>
  <si>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</si>
  <si>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</si>
  <si>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</si>
  <si>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</si>
  <si>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</si>
  <si>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</si>
  <si>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</si>
  <si>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</si>
  <si>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</si>
  <si>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</si>
  <si>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</si>
  <si>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</si>
  <si>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</si>
  <si>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</si>
  <si>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</si>
  <si>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</si>
  <si>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</si>
  <si>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</si>
  <si>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</si>
  <si>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</si>
  <si>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</si>
  <si>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</si>
  <si>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</si>
  <si>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</si>
  <si>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</si>
  <si>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</si>
  <si>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</si>
  <si>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</si>
  <si>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</si>
  <si>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</si>
  <si>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</si>
  <si>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</si>
  <si>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</si>
  <si>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</si>
  <si>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</si>
  <si>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</si>
  <si>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</si>
  <si>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</si>
  <si>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</si>
  <si>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</si>
  <si>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</si>
  <si>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</si>
  <si>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</si>
  <si>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</si>
  <si>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</si>
  <si>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</si>
  <si>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</si>
  <si>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</si>
  <si>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</si>
  <si>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</si>
  <si>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</si>
  <si>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</si>
  <si>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</si>
  <si>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</si>
  <si>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</si>
  <si>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</si>
  <si>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</si>
  <si>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</si>
  <si>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</si>
  <si>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</si>
  <si>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</si>
  <si>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</si>
  <si>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</si>
  <si>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</si>
  <si>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</si>
  <si>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</si>
  <si>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</si>
  <si>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</si>
  <si>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</si>
  <si>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</si>
  <si>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</si>
  <si>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</si>
  <si>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</si>
  <si>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</si>
  <si>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</si>
  <si>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</si>
  <si>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</si>
  <si>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</si>
  <si>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</si>
  <si>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</si>
  <si>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</si>
  <si>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</si>
  <si>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</si>
  <si>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</si>
  <si>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</si>
  <si>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</si>
  <si>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</si>
  <si>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</si>
  <si>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</si>
  <si>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</si>
  <si>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</si>
  <si>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</si>
  <si>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</si>
  <si>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</si>
  <si>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</si>
  <si>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</si>
  <si>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</si>
  <si>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</si>
  <si>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</si>
  <si>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</si>
  <si>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</si>
  <si>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</si>
  <si>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</si>
  <si>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</si>
  <si>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</si>
  <si>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</si>
  <si>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</si>
  <si>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</si>
  <si>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</si>
  <si>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</si>
  <si>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</si>
  <si>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</si>
  <si>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</si>
  <si>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</si>
  <si>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</si>
  <si>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</si>
  <si>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</si>
  <si>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</si>
  <si>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</si>
  <si>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</si>
  <si>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</si>
  <si>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</si>
  <si>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</si>
  <si>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</si>
  <si>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</si>
  <si>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</si>
  <si>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</si>
  <si>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</si>
  <si>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</si>
  <si>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</si>
  <si>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</si>
  <si>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</si>
  <si>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</si>
  <si>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</si>
  <si>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</si>
  <si>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</si>
  <si>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</si>
  <si>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</si>
  <si>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</si>
  <si>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</si>
  <si>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</si>
  <si>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</si>
  <si>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</si>
  <si>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</si>
  <si>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</si>
  <si>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</si>
  <si>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</si>
  <si>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</si>
  <si>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</si>
  <si>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</si>
  <si>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</si>
  <si>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</si>
  <si>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</si>
  <si>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</si>
  <si>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</si>
  <si>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</si>
  <si>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</si>
  <si>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</si>
  <si>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</si>
  <si>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</si>
  <si>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</si>
  <si>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</si>
  <si>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</si>
  <si>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</si>
  <si>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</si>
  <si>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</si>
  <si>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</si>
  <si>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</si>
  <si>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</si>
  <si>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</si>
  <si>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</si>
  <si>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</si>
  <si>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</si>
  <si>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</si>
  <si>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</si>
  <si>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</si>
  <si>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</si>
  <si>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</si>
  <si>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</si>
  <si>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</si>
  <si>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</si>
  <si>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</si>
  <si>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</si>
  <si>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</si>
  <si>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</si>
  <si>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</si>
  <si>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</si>
  <si>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</si>
  <si>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</si>
  <si>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</si>
  <si>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</si>
  <si>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</si>
  <si>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</si>
  <si>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</si>
  <si>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</si>
  <si>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</si>
  <si>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</si>
  <si>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</si>
  <si>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</si>
  <si>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</si>
  <si>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</si>
  <si>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</si>
  <si>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</si>
  <si>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</si>
  <si>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</si>
  <si>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</si>
  <si>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</si>
  <si>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</si>
  <si>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</si>
  <si>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</si>
  <si>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</si>
  <si>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</si>
  <si>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</si>
  <si>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</si>
  <si>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</si>
  <si>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</si>
  <si>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</si>
  <si>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</si>
  <si>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</si>
  <si>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</si>
  <si>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</si>
  <si>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</si>
  <si>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</si>
  <si>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</si>
  <si>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</si>
  <si>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</si>
  <si>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</si>
  <si>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</si>
  <si>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</si>
  <si>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</si>
  <si>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</si>
  <si>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</si>
  <si>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</si>
  <si>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</si>
  <si>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</si>
  <si>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</si>
  <si>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</si>
  <si>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</si>
  <si>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</si>
  <si>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</si>
  <si>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</si>
  <si>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</si>
  <si>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</si>
  <si>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</si>
  <si>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</si>
  <si>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</si>
  <si>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</si>
  <si>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</si>
  <si>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</si>
  <si>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</si>
  <si>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</si>
  <si>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</si>
  <si>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</si>
  <si>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</si>
  <si>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</si>
  <si>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</si>
  <si>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</si>
  <si>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</si>
  <si>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</si>
  <si>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</si>
  <si>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</si>
  <si>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</si>
  <si>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</si>
  <si>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</si>
  <si>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</si>
  <si>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</si>
  <si>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</si>
  <si>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</si>
  <si>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</si>
  <si>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</si>
  <si>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</si>
  <si>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</si>
  <si>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</si>
  <si>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</si>
  <si>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</si>
  <si>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</si>
  <si>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</si>
  <si>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</si>
  <si>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</si>
  <si>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</si>
  <si>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</si>
  <si>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</si>
  <si>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</si>
  <si>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</si>
  <si>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</si>
  <si>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</si>
  <si>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</si>
  <si>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</si>
  <si>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</si>
  <si>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</si>
  <si>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</si>
  <si>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</si>
  <si>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</si>
  <si>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</si>
  <si>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</si>
  <si>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</si>
  <si>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</si>
  <si>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</si>
  <si>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</si>
  <si>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</si>
  <si>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</si>
  <si>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</si>
  <si>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</si>
  <si>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</si>
  <si>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</si>
  <si>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</si>
  <si>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</si>
  <si>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</si>
  <si>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</si>
  <si>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</si>
  <si>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</si>
  <si>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</si>
  <si>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</si>
  <si>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</si>
  <si>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</si>
  <si>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</si>
  <si>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</si>
  <si>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</si>
  <si>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</si>
  <si>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</si>
  <si>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</si>
  <si>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</si>
  <si>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</si>
  <si>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</si>
  <si>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</si>
  <si>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</si>
  <si>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</si>
  <si>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</si>
  <si>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</si>
  <si>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</si>
  <si>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</si>
  <si>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</si>
  <si>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</si>
  <si>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</si>
  <si>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</si>
  <si>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</si>
  <si>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</si>
  <si>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</si>
  <si>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</si>
  <si>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</si>
  <si>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</si>
  <si>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</si>
  <si>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</si>
  <si>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</si>
  <si>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</si>
  <si>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</si>
  <si>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</si>
  <si>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</si>
  <si>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</si>
  <si>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</si>
  <si>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</si>
  <si>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</si>
  <si>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</si>
  <si>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</si>
  <si>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</si>
  <si>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</si>
  <si>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</si>
  <si>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</si>
  <si>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</si>
  <si>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</si>
  <si>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</si>
  <si>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</si>
  <si>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</si>
  <si>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</si>
  <si>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</si>
  <si>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</si>
  <si>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</si>
  <si>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</si>
  <si>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</si>
  <si>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</si>
  <si>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</si>
  <si>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</si>
  <si>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</si>
  <si>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</si>
  <si>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</si>
  <si>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</si>
  <si>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</si>
  <si>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</si>
  <si>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</si>
  <si>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</si>
  <si>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</si>
  <si>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</si>
  <si>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</si>
  <si>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</si>
  <si>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</si>
  <si>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</si>
  <si>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</si>
  <si>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</si>
  <si>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</si>
  <si>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</si>
  <si>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</si>
  <si>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</si>
  <si>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</si>
  <si>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</si>
  <si>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</si>
  <si>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</si>
  <si>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</si>
  <si>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</si>
  <si>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</si>
  <si>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</si>
  <si>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</si>
  <si>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</si>
  <si>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</si>
  <si>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</si>
  <si>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</si>
  <si>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</si>
  <si>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</si>
  <si>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</si>
  <si>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</si>
  <si>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</si>
  <si>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</si>
  <si>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</si>
  <si>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</si>
  <si>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</si>
  <si>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</si>
  <si>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</si>
  <si>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</si>
  <si>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</si>
  <si>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</si>
  <si>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</si>
  <si>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</si>
  <si>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</si>
  <si>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</si>
  <si>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</si>
  <si>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</si>
  <si>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</si>
  <si>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</si>
  <si>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</si>
  <si>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</si>
  <si>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</si>
  <si>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</si>
  <si>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</si>
  <si>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</si>
  <si>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</si>
  <si>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</si>
  <si>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</si>
  <si>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</si>
  <si>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</si>
  <si>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</si>
  <si>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</si>
  <si>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</si>
  <si>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</si>
  <si>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</si>
  <si>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</si>
  <si>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</si>
  <si>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</si>
  <si>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</si>
  <si>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</si>
  <si>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</si>
  <si>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</si>
  <si>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</si>
  <si>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</si>
  <si>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</si>
  <si>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</si>
  <si>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</si>
  <si>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</si>
  <si>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</si>
  <si>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</si>
  <si>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</si>
  <si>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</si>
  <si>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</si>
  <si>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</si>
  <si>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</si>
  <si>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</si>
  <si>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</si>
  <si>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</si>
  <si>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</si>
  <si>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</si>
  <si>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</si>
  <si>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</si>
  <si>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</si>
  <si>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</si>
  <si>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</si>
  <si>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</si>
  <si>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</si>
  <si>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</si>
  <si>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</si>
  <si>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</si>
  <si>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</si>
  <si>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</si>
  <si>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</si>
  <si>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</si>
  <si>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</si>
  <si>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</si>
  <si>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</si>
  <si>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</si>
  <si>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</si>
  <si>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</si>
  <si>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</si>
  <si>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</si>
  <si>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</si>
  <si>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</si>
  <si>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</si>
  <si>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</si>
  <si>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</si>
  <si>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</si>
  <si>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</si>
  <si>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</si>
  <si>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</si>
  <si>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</si>
  <si>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</si>
  <si>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</si>
  <si>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</si>
  <si>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</si>
  <si>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</si>
  <si>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</si>
  <si>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</si>
  <si>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</si>
  <si>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</si>
  <si>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</si>
  <si>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</si>
  <si>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</si>
  <si>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</si>
  <si>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</si>
  <si>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</si>
  <si>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</si>
  <si>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</si>
  <si>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</si>
  <si>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</si>
  <si>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</si>
  <si>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</si>
  <si>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</si>
  <si>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</si>
  <si>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</si>
  <si>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</si>
  <si>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</si>
  <si>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</si>
  <si>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</si>
  <si>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</si>
  <si>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</si>
  <si>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</si>
  <si>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</si>
  <si>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</si>
  <si>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</si>
  <si>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</si>
  <si>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</si>
  <si>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</si>
  <si>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</si>
  <si>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</si>
  <si>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</si>
  <si>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</si>
  <si>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</si>
  <si>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</si>
  <si>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</si>
  <si>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</si>
  <si>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</si>
  <si>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</si>
  <si>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</si>
  <si>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</si>
  <si>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</si>
  <si>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</si>
  <si>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</si>
  <si>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</si>
  <si>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</si>
  <si>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</si>
  <si>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</si>
  <si>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</si>
  <si>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</si>
  <si>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</si>
  <si>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</si>
  <si>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</si>
  <si>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</si>
  <si>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</si>
  <si>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</si>
  <si>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</si>
  <si>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</si>
  <si>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</si>
  <si>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</si>
  <si>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</si>
  <si>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</si>
  <si>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</si>
  <si>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</si>
  <si>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</si>
  <si>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</si>
  <si>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</si>
  <si>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</si>
  <si>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</si>
  <si>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</si>
  <si>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</si>
  <si>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</si>
  <si>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</si>
  <si>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</si>
  <si>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</si>
  <si>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</si>
  <si>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</si>
  <si>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</si>
  <si>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</si>
  <si>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</si>
  <si>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</si>
  <si>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</si>
  <si>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</si>
  <si>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</si>
  <si>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</si>
  <si>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</si>
  <si>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</si>
  <si>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</si>
  <si>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</si>
  <si>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</si>
  <si>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</si>
  <si>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</si>
  <si>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</si>
  <si>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</si>
  <si>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</si>
  <si>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</si>
  <si>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</si>
  <si>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</si>
  <si>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</si>
  <si>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</si>
  <si>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</si>
  <si>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</si>
  <si>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</si>
  <si>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</si>
  <si>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</si>
  <si>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</si>
  <si>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</si>
  <si>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</si>
  <si>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</si>
  <si>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</si>
  <si>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</si>
  <si>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</si>
  <si>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</si>
  <si>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</si>
  <si>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</si>
  <si>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</si>
  <si>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</si>
  <si>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</si>
  <si>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</si>
  <si>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</si>
  <si>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</si>
  <si>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</si>
  <si>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</si>
  <si>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</si>
  <si>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</si>
  <si>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</si>
  <si>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</si>
  <si>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</si>
  <si>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</si>
  <si>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</si>
  <si>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</si>
  <si>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</si>
  <si>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</si>
  <si>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</si>
  <si>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</si>
  <si>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</si>
  <si>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</si>
  <si>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</si>
  <si>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</si>
  <si>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</si>
  <si>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</si>
  <si>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</si>
  <si>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</si>
  <si>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</si>
  <si>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</si>
  <si>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</si>
  <si>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</si>
  <si>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</si>
  <si>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</si>
  <si>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</si>
  <si>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</si>
  <si>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</si>
  <si>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</si>
  <si>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</si>
  <si>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</si>
  <si>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</si>
  <si>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</si>
  <si>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</si>
  <si>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</si>
  <si>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</si>
  <si>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</si>
  <si>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</si>
  <si>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</si>
  <si>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</si>
  <si>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</si>
  <si>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</si>
  <si>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</si>
  <si>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</si>
  <si>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</si>
  <si>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</si>
  <si>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</si>
  <si>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</si>
  <si>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</si>
  <si>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</si>
  <si>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</si>
  <si>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</si>
  <si>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</si>
  <si>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</si>
  <si>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</si>
  <si>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</si>
  <si>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</si>
  <si>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</si>
  <si>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</si>
  <si>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</si>
  <si>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</si>
  <si>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</si>
  <si>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</si>
  <si>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</si>
  <si>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</si>
  <si>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</si>
  <si>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</si>
  <si>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</si>
  <si>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</si>
  <si>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</si>
  <si>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</si>
  <si>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</si>
  <si>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</si>
  <si>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</si>
  <si>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</si>
  <si>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</si>
  <si>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</si>
  <si>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</si>
  <si>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</si>
  <si>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</si>
  <si>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</si>
  <si>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</si>
  <si>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</si>
  <si>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</si>
  <si>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</si>
  <si>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</si>
  <si>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</si>
  <si>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</si>
  <si>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</si>
  <si>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</si>
  <si>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</si>
  <si>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</si>
  <si>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</si>
  <si>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</si>
  <si>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</si>
  <si>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</si>
  <si>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</si>
  <si>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</si>
  <si>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</si>
  <si>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</si>
  <si>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</si>
  <si>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</si>
  <si>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</si>
  <si>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</si>
  <si>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</si>
  <si>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</si>
  <si>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</si>
  <si>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</si>
  <si>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</si>
  <si>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</si>
  <si>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</si>
  <si>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</si>
  <si>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</si>
  <si>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</si>
  <si>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</si>
  <si>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</si>
  <si>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</si>
  <si>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</si>
  <si>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</si>
  <si>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</si>
  <si>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</si>
  <si>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</si>
  <si>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</si>
  <si>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</si>
  <si>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</si>
  <si>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</si>
  <si>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</si>
  <si>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</si>
  <si>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</si>
  <si>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</si>
  <si>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</si>
  <si>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</si>
  <si>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</si>
  <si>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</si>
  <si>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</si>
  <si>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</si>
  <si>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</si>
  <si>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</si>
  <si>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</si>
  <si>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</si>
  <si>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</si>
  <si>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</si>
  <si>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</si>
  <si>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</si>
  <si>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</si>
  <si>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</si>
  <si>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</si>
  <si>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</si>
  <si>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</si>
  <si>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</si>
  <si>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</si>
  <si>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</si>
  <si>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</si>
  <si>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</si>
  <si>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</si>
  <si>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</si>
  <si>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</si>
  <si>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</si>
  <si>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</si>
  <si>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</si>
  <si>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</si>
  <si>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</si>
  <si>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</si>
  <si>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</si>
  <si>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</si>
  <si>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</si>
  <si>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</si>
  <si>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</si>
  <si>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</si>
  <si>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</si>
  <si>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</si>
  <si>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</si>
  <si>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</si>
  <si>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</si>
  <si>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</si>
  <si>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</si>
  <si>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</si>
  <si>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</si>
  <si>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</si>
  <si>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</si>
  <si>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</si>
  <si>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</si>
  <si>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</si>
  <si>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</si>
  <si>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</si>
  <si>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</si>
  <si>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</si>
  <si>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</si>
  <si>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</si>
  <si>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</si>
  <si>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</si>
  <si>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</si>
  <si>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</si>
  <si>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</si>
  <si>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</si>
  <si>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</si>
  <si>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</si>
  <si>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</si>
  <si>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</si>
  <si>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</si>
  <si>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</si>
  <si>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</si>
  <si>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</si>
  <si>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</si>
  <si>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</si>
  <si>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</si>
  <si>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</si>
  <si>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</si>
  <si>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</si>
  <si>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</si>
  <si>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</si>
  <si>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</si>
  <si>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</si>
  <si>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</si>
  <si>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</si>
  <si>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</si>
  <si>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</si>
  <si>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</si>
  <si>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</si>
  <si>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</si>
  <si>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</si>
  <si>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</si>
  <si>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</si>
  <si>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</si>
  <si>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</si>
  <si>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</si>
  <si>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</si>
  <si>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</si>
  <si>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</si>
  <si>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</si>
  <si>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</si>
  <si>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</si>
  <si>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</si>
  <si>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</si>
  <si>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</si>
  <si>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</si>
  <si>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</si>
  <si>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</si>
  <si>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</si>
  <si>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</si>
  <si>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</si>
  <si>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</si>
  <si>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</si>
  <si>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</si>
  <si>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</si>
  <si>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</si>
  <si>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</si>
  <si>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</si>
  <si>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</si>
  <si>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</si>
  <si>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</si>
  <si>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</si>
  <si>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</si>
  <si>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</si>
  <si>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</si>
  <si>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</si>
  <si>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</si>
  <si>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</si>
  <si>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</si>
  <si>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</si>
  <si>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</si>
  <si>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</si>
  <si>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</si>
  <si>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</si>
  <si>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</si>
  <si>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</si>
  <si>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</si>
  <si>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</si>
  <si>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</si>
  <si>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</si>
  <si>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</si>
  <si>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</si>
  <si>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</si>
  <si>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</si>
  <si>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</si>
  <si>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</si>
  <si>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</si>
  <si>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</si>
  <si>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</si>
  <si>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</si>
  <si>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</si>
  <si>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</si>
  <si>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</si>
  <si>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</si>
  <si>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</si>
  <si>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</si>
  <si>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</si>
  <si>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</si>
  <si>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</si>
  <si>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</si>
  <si>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</si>
  <si>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</si>
  <si>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</si>
  <si>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</si>
  <si>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</si>
  <si>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</si>
  <si>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</si>
  <si>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</si>
  <si>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</si>
  <si>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</si>
  <si>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</si>
  <si>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</si>
  <si>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</si>
  <si>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</si>
  <si>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</si>
  <si>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</si>
  <si>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</si>
  <si>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</si>
  <si>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</si>
  <si>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</si>
  <si>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</si>
  <si>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</si>
  <si>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</si>
  <si>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</si>
  <si>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</si>
  <si>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</si>
  <si>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</si>
  <si>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</si>
  <si>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</si>
  <si>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</si>
  <si>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</si>
  <si>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</si>
  <si>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</si>
  <si>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</si>
  <si>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</si>
  <si>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</si>
  <si>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</si>
  <si>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</si>
  <si>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</si>
  <si>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</si>
  <si>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</si>
  <si>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</si>
  <si>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</si>
  <si>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</si>
  <si>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</si>
  <si>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</si>
  <si>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</si>
  <si>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</si>
  <si>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</si>
  <si>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</si>
  <si>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</si>
  <si>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</si>
  <si>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</si>
  <si>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</si>
  <si>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</si>
  <si>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</si>
  <si>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</si>
  <si>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</si>
  <si>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</si>
  <si>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</si>
  <si>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</si>
  <si>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</si>
  <si>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</si>
  <si>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</si>
  <si>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</si>
  <si>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</si>
  <si>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</si>
  <si>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</si>
  <si>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</si>
  <si>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</si>
  <si>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</si>
  <si>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</si>
  <si>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</si>
  <si>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</si>
  <si>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</si>
  <si>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</si>
  <si>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</si>
  <si>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</si>
  <si>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</si>
  <si>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</si>
  <si>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</si>
  <si>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</si>
  <si>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</si>
  <si>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</si>
  <si>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</si>
  <si>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</si>
  <si>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</si>
  <si>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</si>
  <si>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</si>
  <si>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</si>
  <si>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</si>
  <si>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</si>
  <si>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</si>
  <si>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</si>
  <si>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</si>
  <si>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</si>
  <si>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</si>
  <si>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</si>
  <si>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</si>
  <si>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</si>
  <si>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</si>
  <si>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</si>
  <si>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</si>
  <si>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</si>
  <si>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</si>
  <si>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</si>
  <si>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</si>
  <si>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</si>
  <si>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</si>
  <si>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</si>
  <si>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</si>
  <si>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</si>
  <si>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</si>
  <si>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</si>
  <si>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</si>
  <si>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</si>
  <si>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</si>
  <si>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</si>
  <si>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</si>
  <si>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</si>
  <si>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</si>
  <si>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</si>
  <si>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</si>
  <si>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</si>
  <si>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</si>
  <si>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</si>
  <si>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</si>
  <si>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</si>
  <si>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</si>
  <si>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</si>
  <si>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</si>
  <si>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</si>
  <si>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</si>
  <si>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</si>
  <si>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</si>
  <si>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</si>
  <si>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</si>
  <si>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</si>
  <si>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</si>
  <si>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</si>
  <si>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</si>
  <si>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</si>
  <si>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</si>
  <si>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</si>
  <si>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</si>
  <si>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</si>
  <si>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</si>
  <si>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</si>
  <si>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</si>
  <si>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</si>
  <si>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</si>
  <si>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</si>
  <si>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</si>
  <si>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</si>
  <si>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</si>
  <si>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</si>
  <si>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</si>
  <si>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</si>
  <si>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</si>
  <si>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</si>
  <si>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</si>
  <si>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</si>
  <si>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</si>
  <si>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</si>
  <si>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</si>
  <si>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</si>
  <si>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</si>
  <si>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</si>
  <si>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</si>
  <si>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</si>
  <si>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</si>
  <si>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</si>
  <si>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</si>
  <si>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</si>
  <si>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</si>
  <si>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</si>
  <si>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</si>
  <si>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</si>
  <si>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</si>
  <si>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</si>
  <si>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</si>
  <si>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</si>
  <si>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</si>
  <si>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</si>
  <si>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</si>
  <si>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</si>
  <si>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</si>
  <si>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</si>
  <si>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</si>
  <si>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</si>
  <si>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</si>
  <si>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</si>
  <si>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</si>
  <si>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</si>
  <si>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</si>
  <si>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</si>
  <si>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</si>
  <si>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</si>
  <si>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</si>
  <si>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</si>
  <si>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</si>
  <si>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</si>
  <si>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</si>
  <si>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</si>
  <si>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</si>
  <si>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</si>
  <si>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</si>
  <si>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</si>
  <si>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</si>
  <si>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</si>
  <si>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</si>
  <si>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</si>
  <si>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</si>
  <si>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</si>
  <si>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</si>
  <si>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</si>
  <si>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</si>
  <si>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</si>
  <si>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</si>
  <si>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</si>
  <si>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</si>
  <si>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</si>
  <si>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</si>
  <si>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</si>
  <si>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</si>
  <si>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</si>
  <si>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</si>
  <si>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</si>
  <si>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</si>
  <si>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</si>
  <si>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</si>
  <si>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</si>
  <si>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</si>
  <si>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</si>
  <si>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</si>
  <si>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</si>
  <si>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</si>
  <si>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</si>
  <si>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</si>
  <si>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</si>
  <si>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</si>
  <si>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</si>
  <si>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</si>
  <si>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</si>
  <si>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</si>
  <si>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</si>
  <si>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</si>
  <si>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</si>
  <si>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</si>
  <si>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</si>
  <si>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</si>
  <si>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</si>
  <si>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</si>
  <si>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</si>
  <si>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</si>
  <si>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</si>
  <si>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</si>
  <si>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</si>
  <si>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</si>
  <si>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</si>
  <si>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</si>
  <si>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</si>
  <si>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</si>
  <si>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</si>
  <si>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</si>
  <si>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</si>
  <si>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</si>
  <si>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</si>
  <si>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</si>
  <si>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</si>
  <si>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</si>
  <si>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</si>
  <si>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</si>
  <si>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</si>
  <si>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</si>
  <si>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</si>
  <si>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</si>
  <si>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</si>
  <si>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</si>
  <si>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</si>
  <si>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</si>
  <si>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</si>
  <si>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</si>
  <si>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</si>
  <si>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</si>
  <si>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</si>
  <si>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</si>
  <si>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</si>
  <si>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</si>
  <si>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</si>
  <si>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</si>
  <si>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</si>
  <si>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</si>
  <si>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</si>
  <si>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</si>
  <si>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</si>
  <si>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</si>
  <si>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</si>
  <si>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</si>
  <si>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</si>
  <si>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</si>
  <si>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</si>
  <si>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</si>
  <si>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</si>
  <si>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</si>
  <si>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</si>
  <si>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</si>
  <si>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</si>
  <si>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</si>
  <si>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</si>
  <si>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</si>
  <si>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</si>
  <si>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</si>
  <si>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</si>
  <si>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</si>
  <si>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</si>
  <si>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</si>
  <si>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</si>
  <si>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</si>
  <si>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</si>
  <si>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</si>
  <si>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</si>
  <si>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</si>
  <si>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</si>
  <si>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</si>
  <si>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</si>
  <si>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</si>
  <si>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</si>
  <si>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</si>
  <si>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</si>
  <si>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</si>
  <si>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</si>
  <si>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</si>
  <si>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</si>
  <si>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</si>
  <si>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</si>
  <si>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</si>
  <si>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</si>
  <si>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</si>
  <si>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</si>
  <si>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</si>
  <si>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</si>
  <si>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</si>
  <si>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</si>
  <si>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</si>
  <si>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</si>
  <si>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</si>
  <si>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</si>
  <si>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</si>
  <si>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</si>
  <si>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</si>
  <si>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</si>
  <si>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</si>
  <si>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</si>
  <si>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</si>
  <si>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</si>
  <si>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</si>
  <si>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</si>
  <si>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</si>
  <si>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</si>
  <si>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</si>
  <si>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</si>
  <si>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</si>
  <si>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</si>
  <si>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</si>
  <si>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</si>
  <si>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</si>
  <si>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</si>
  <si>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</si>
  <si>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</si>
  <si>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</si>
  <si>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</si>
  <si>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</si>
  <si>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</si>
  <si>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</si>
  <si>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</si>
  <si>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</si>
  <si>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</si>
  <si>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</si>
  <si>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</si>
  <si>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</si>
  <si>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</si>
  <si>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</si>
  <si>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</si>
  <si>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</si>
  <si>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</si>
  <si>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</si>
  <si>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</si>
  <si>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</si>
  <si>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</si>
  <si>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</si>
  <si>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</si>
  <si>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</si>
  <si>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</si>
  <si>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</si>
  <si>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</si>
  <si>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</si>
  <si>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</si>
  <si>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</si>
  <si>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</si>
  <si>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</si>
  <si>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</si>
  <si>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</si>
  <si>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</si>
  <si>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</si>
  <si>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</si>
  <si>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</si>
  <si>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</si>
  <si>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</si>
  <si>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</si>
  <si>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</si>
  <si>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</si>
  <si>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</si>
  <si>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</si>
  <si>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</si>
  <si>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</si>
  <si>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</si>
  <si>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</si>
  <si>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</si>
  <si>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</si>
  <si>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</si>
  <si>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</si>
  <si>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</si>
  <si>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</si>
  <si>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</si>
  <si>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</si>
  <si>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</si>
  <si>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</si>
  <si>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</si>
  <si>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</si>
  <si>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</si>
  <si>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</si>
  <si>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</si>
  <si>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</si>
  <si>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</si>
  <si>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</si>
  <si>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</si>
  <si>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</si>
  <si>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</si>
  <si>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</si>
  <si>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</si>
  <si>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</si>
  <si>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</si>
  <si>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</si>
  <si>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</si>
  <si>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</si>
  <si>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</si>
  <si>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</si>
  <si>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</si>
  <si>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</si>
  <si>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</si>
  <si>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</si>
  <si>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</si>
  <si>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</si>
  <si>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</si>
  <si>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</si>
  <si>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</si>
  <si>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</si>
  <si>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</si>
  <si>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</si>
  <si>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</si>
  <si>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</si>
  <si>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</si>
  <si>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</si>
  <si>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</si>
  <si>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</si>
  <si>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</si>
  <si>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</si>
  <si>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</si>
  <si>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</si>
  <si>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</si>
  <si>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</si>
  <si>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</si>
  <si>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</si>
  <si>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</si>
  <si>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</si>
  <si>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</si>
  <si>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</si>
  <si>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</si>
  <si>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</si>
  <si>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</si>
  <si>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</si>
  <si>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</si>
  <si>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</si>
  <si>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</si>
  <si>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</si>
  <si>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</si>
  <si>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</si>
  <si>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</si>
  <si>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</si>
  <si>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</si>
  <si>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</si>
  <si>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</si>
  <si>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</si>
  <si>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</si>
  <si>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</si>
  <si>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</si>
  <si>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</si>
  <si>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</si>
  <si>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</si>
  <si>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</si>
  <si>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</si>
  <si>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</si>
  <si>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</si>
  <si>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</si>
  <si>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</si>
  <si>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</si>
  <si>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</si>
  <si>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</si>
  <si>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</si>
  <si>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</si>
  <si>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</si>
  <si>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</si>
  <si>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</si>
  <si>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</si>
  <si>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</si>
  <si>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</si>
  <si>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</si>
  <si>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</si>
  <si>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</si>
  <si>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</si>
  <si>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</si>
  <si>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</si>
  <si>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</si>
  <si>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</si>
  <si>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</si>
  <si>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</si>
  <si>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</si>
  <si>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</si>
  <si>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</si>
  <si>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</si>
  <si>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</si>
  <si>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</si>
  <si>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</si>
  <si>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</si>
  <si>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</si>
  <si>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</si>
  <si>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</si>
  <si>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</si>
  <si>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</si>
  <si>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</si>
  <si>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</si>
  <si>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</si>
  <si>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</si>
  <si>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</si>
  <si>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</si>
  <si>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</si>
  <si>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</si>
  <si>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</si>
  <si>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</si>
  <si>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</si>
  <si>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</si>
  <si>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</si>
  <si>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大榕树下顺德菜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</si>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</sst>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70" activePane="bottomLeft" state="frozen"/>
      <selection pane="bottomLeft" activeCell="D83" sqref="D83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85.87</v>
      </c>
      <c r="D11" s="2" t="s">
        <v>1786</v>
      </c>
      <c r="E11" s="6">
        <v>85</v>
      </c>
      <c r="F11" s="5">
        <v>71</v>
      </c>
      <c r="G11" s="2">
        <v>55</v>
      </c>
      <c r="H11" s="2" t="s">
        <v>1256</v>
      </c>
      <c r="I11" s="2" t="s">
        <v>1352</v>
      </c>
      <c r="J11" s="3" t="s">
        <v>1264</v>
      </c>
      <c r="K11" s="2" t="s">
        <v>1797</v>
      </c>
      <c r="M11" s="2">
        <f>IF(J11="1000+", 1000, (LEFT(J11,FIND("-",J11)-1)+RIGHT(J11,LEN(J11)-FIND("-",J11)))/2)</f>
        <v>75</v>
      </c>
      <c r="N11" s="2">
        <f>ROUND(E11 * 0.7+F11 * 0.2+G11 * 0.1,2)</f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>E11 - O11</f>
        <v>15</v>
      </c>
      <c r="Q11" s="2">
        <f>ROUND(
  SIGN(P11)*
  IF(ABS(P11)&lt;=10,ABS(P11)*0.5,
     IF(ABS(P11)&lt;=15,5+(ABS(P11)-10)*(1.67/5),
        6.67+(ABS(P11)-15)*0.333)),
2)</f>
        <v>6.67</v>
      </c>
    </row>
    <row r="12" spans="1:17" ht="34.5" customHeight="1" x14ac:dyDescent="0.3">
      <c r="B12" s="2">
        <v>11</v>
      </c>
      <c r="C12" s="15">
        <f>ROUND(MAX(MIN(N12 + Q12, 100), 0), 2)</f>
        <v>85.54</v>
      </c>
      <c r="D12" s="2" t="s">
        <v>94</v>
      </c>
      <c r="E12" s="6">
        <v>85</v>
      </c>
      <c r="F12" s="7">
        <v>65</v>
      </c>
      <c r="G12" s="2">
        <v>47</v>
      </c>
      <c r="H12" s="2" t="s">
        <v>61</v>
      </c>
      <c r="I12" s="2" t="s">
        <v>22</v>
      </c>
      <c r="J12" s="3" t="s">
        <v>32</v>
      </c>
      <c r="K12" s="2" t="s">
        <v>29</v>
      </c>
      <c r="M12" s="2">
        <f>IF(J12="1000+", 1000, (LEFT(J12,FIND("-",J12)-1)+RIGHT(J12,LEN(J12)-FIND("-",J12)))/2)</f>
        <v>45</v>
      </c>
      <c r="N12" s="2">
        <f>ROUND(E12 * 0.7+F12 * 0.2+G12 * 0.1,2)</f>
        <v>77.2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>E12 - O12</f>
        <v>20</v>
      </c>
      <c r="Q12" s="2">
        <f>ROUND(
  SIGN(P12)*
  IF(ABS(P12)&lt;=10,ABS(P12)*0.5,
     IF(ABS(P12)&lt;=15,5+(ABS(P12)-10)*(1.67/5),
        6.67+(ABS(P12)-15)*0.333)),
2)</f>
        <v>8.34</v>
      </c>
    </row>
    <row r="13" spans="1:17" ht="34.5" customHeight="1" x14ac:dyDescent="0.3">
      <c r="B13" s="2">
        <v>12</v>
      </c>
      <c r="C13" s="15">
        <f>ROUND(MAX(MIN(N13 + Q13, 100), 0), 2)</f>
        <v>85.5</v>
      </c>
      <c r="D13" s="2" t="s">
        <v>60</v>
      </c>
      <c r="E13" s="6">
        <v>86</v>
      </c>
      <c r="F13" s="7">
        <v>65</v>
      </c>
      <c r="G13" s="2">
        <v>53</v>
      </c>
      <c r="H13" s="2" t="s">
        <v>61</v>
      </c>
      <c r="I13" s="2" t="s">
        <v>22</v>
      </c>
      <c r="J13" s="3" t="s">
        <v>18</v>
      </c>
      <c r="K13" s="2" t="s">
        <v>62</v>
      </c>
      <c r="M13" s="2">
        <f>IF(J13="1000+", 1000, (LEFT(J13,FIND("-",J13)-1)+RIGHT(J13,LEN(J13)-FIND("-",J13)))/2)</f>
        <v>75</v>
      </c>
      <c r="N13" s="2">
        <f>ROUND(E13 * 0.7+F13 * 0.2+G13 * 0.1,2)</f>
        <v>78.5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16</v>
      </c>
      <c r="Q13" s="2">
        <f>ROUND(
  SIGN(P13)*
  IF(ABS(P13)&lt;=10,ABS(P13)*0.5,
     IF(ABS(P13)&lt;=15,5+(ABS(P13)-10)*(1.67/5),
        6.67+(ABS(P13)-15)*0.333)),
2)</f>
        <v>7</v>
      </c>
    </row>
    <row r="14" spans="1:17" ht="34.5" customHeight="1" x14ac:dyDescent="0.3">
      <c r="B14" s="2">
        <v>13</v>
      </c>
      <c r="C14" s="15">
        <f>ROUND(MAX(MIN(N14 + Q14, 100), 0), 2)</f>
        <v>85.2</v>
      </c>
      <c r="D14" s="2" t="s">
        <v>55</v>
      </c>
      <c r="E14" s="6">
        <v>86</v>
      </c>
      <c r="F14" s="7">
        <v>65</v>
      </c>
      <c r="G14" s="2">
        <v>50</v>
      </c>
      <c r="H14" s="2" t="s">
        <v>16</v>
      </c>
      <c r="I14" s="2" t="s">
        <v>17</v>
      </c>
      <c r="J14" s="3" t="s">
        <v>18</v>
      </c>
      <c r="K14" s="2" t="s">
        <v>56</v>
      </c>
      <c r="M14" s="2">
        <f>IF(J14="1000+", 1000, (LEFT(J14,FIND("-",J14)-1)+RIGHT(J14,LEN(J14)-FIND("-",J14)))/2)</f>
        <v>75</v>
      </c>
      <c r="N14" s="2">
        <f>ROUND(E14 * 0.7+F14 * 0.2+G14 * 0.1,2)</f>
        <v>78.2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A15" s="2">
        <v>2026</v>
      </c>
      <c r="B15" s="2">
        <v>14</v>
      </c>
      <c r="C15" s="15">
        <f>ROUND(MAX(MIN(N15 + Q15, 100), 0), 2)</f>
        <v>84.97</v>
      </c>
      <c r="D15" s="2" t="s">
        <v>1853</v>
      </c>
      <c r="E15" s="6">
        <v>80</v>
      </c>
      <c r="F15" s="7">
        <v>61</v>
      </c>
      <c r="G15" s="2">
        <v>51</v>
      </c>
      <c r="H15" s="2" t="s">
        <v>1857</v>
      </c>
      <c r="I15" s="2" t="s">
        <v>36</v>
      </c>
      <c r="J15" s="3" t="s">
        <v>1574</v>
      </c>
      <c r="K15" s="2" t="s">
        <v>1854</v>
      </c>
      <c r="M15" s="2">
        <f>IF(J15="1000+", 1000, (LEFT(J15,FIND("-",J15)-1)+RIGHT(J15,LEN(J15)-FIND("-",J15)))/2)</f>
        <v>12.5</v>
      </c>
      <c r="N15" s="2">
        <f>ROUND(E15 * 0.7+F15 * 0.2+G15 * 0.1,2)</f>
        <v>73.3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50</v>
      </c>
      <c r="P15" s="2">
        <f>E15 - O15</f>
        <v>30</v>
      </c>
      <c r="Q15" s="2">
        <f>ROUND(
  SIGN(P15)*
  IF(ABS(P15)&lt;=10,ABS(P15)*0.5,
     IF(ABS(P15)&lt;=15,5+(ABS(P15)-10)*(1.67/5),
        6.67+(ABS(P15)-15)*0.333)),
2)</f>
        <v>11.67</v>
      </c>
    </row>
    <row r="16" spans="1:17" ht="34.5" customHeight="1" x14ac:dyDescent="0.3">
      <c r="B16" s="2">
        <v>15</v>
      </c>
      <c r="C16" s="15">
        <f>ROUND(MAX(MIN(N16 + Q16, 100), 0), 2)</f>
        <v>84.34</v>
      </c>
      <c r="D16" s="2" t="s">
        <v>95</v>
      </c>
      <c r="E16" s="6">
        <v>87</v>
      </c>
      <c r="F16" s="2">
        <v>55</v>
      </c>
      <c r="G16" s="2">
        <v>51</v>
      </c>
      <c r="H16" s="2" t="s">
        <v>53</v>
      </c>
      <c r="I16" s="2" t="s">
        <v>22</v>
      </c>
      <c r="J16" s="3" t="s">
        <v>18</v>
      </c>
      <c r="K16" s="2" t="s">
        <v>96</v>
      </c>
      <c r="M16" s="2">
        <f>IF(J16="1000+", 1000, (LEFT(J16,FIND("-",J16)-1)+RIGHT(J16,LEN(J16)-FIND("-",J16)))/2)</f>
        <v>75</v>
      </c>
      <c r="N16" s="2">
        <f>ROUND(E16 * 0.7+F16 * 0.2+G16 * 0.1,2)</f>
        <v>77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17</v>
      </c>
      <c r="Q16" s="2">
        <f>ROUND(
  SIGN(P16)*
  IF(ABS(P16)&lt;=10,ABS(P16)*0.5,
     IF(ABS(P16)&lt;=15,5+(ABS(P16)-10)*(1.67/5),
        6.67+(ABS(P16)-15)*0.333)),
2)</f>
        <v>7.34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84.27</v>
      </c>
      <c r="D17" s="2" t="s">
        <v>2004</v>
      </c>
      <c r="E17" s="6">
        <v>80</v>
      </c>
      <c r="F17" s="2">
        <v>57</v>
      </c>
      <c r="G17" s="2">
        <v>52</v>
      </c>
      <c r="H17" s="2" t="s">
        <v>1256</v>
      </c>
      <c r="I17" s="2" t="s">
        <v>1288</v>
      </c>
      <c r="J17" s="3" t="s">
        <v>1574</v>
      </c>
      <c r="K17" s="2" t="s">
        <v>1817</v>
      </c>
      <c r="M17" s="2">
        <f>IF(J17="1000+", 1000, (LEFT(J17,FIND("-",J17)-1)+RIGHT(J17,LEN(J17)-FIND("-",J17)))/2)</f>
        <v>12.5</v>
      </c>
      <c r="N17" s="2">
        <f>ROUND(E17 * 0.7+F17 * 0.2+G17 * 0.1,2)</f>
        <v>72.599999999999994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50</v>
      </c>
      <c r="P17" s="2">
        <f>E17 - O17</f>
        <v>30</v>
      </c>
      <c r="Q17" s="2">
        <f>ROUND(
  SIGN(P17)*
  IF(ABS(P17)&lt;=10,ABS(P17)*0.5,
     IF(ABS(P17)&lt;=15,5+(ABS(P17)-10)*(1.67/5),
        6.67+(ABS(P17)-15)*0.333)),
2)</f>
        <v>11.67</v>
      </c>
    </row>
    <row r="18" spans="1:17" ht="34.5" customHeight="1" x14ac:dyDescent="0.3">
      <c r="B18" s="2">
        <v>17</v>
      </c>
      <c r="C18" s="15">
        <f>ROUND(MAX(MIN(N18 + Q18, 100), 0), 2)</f>
        <v>84.24</v>
      </c>
      <c r="D18" s="2" t="s">
        <v>81</v>
      </c>
      <c r="E18" s="6">
        <v>85</v>
      </c>
      <c r="F18" s="7">
        <v>62</v>
      </c>
      <c r="G18" s="2">
        <v>50</v>
      </c>
      <c r="H18" s="2" t="s">
        <v>82</v>
      </c>
      <c r="I18" s="2" t="s">
        <v>22</v>
      </c>
      <c r="J18" s="3" t="s">
        <v>23</v>
      </c>
      <c r="K18" s="2" t="s">
        <v>83</v>
      </c>
      <c r="M18" s="2">
        <f>IF(J18="1000+", 1000, (LEFT(J18,FIND("-",J18)-1)+RIGHT(J18,LEN(J18)-FIND("-",J18)))/2)</f>
        <v>60</v>
      </c>
      <c r="N18" s="2">
        <f>ROUND(E18 * 0.7+F18 * 0.2+G18 * 0.1,2)</f>
        <v>76.900000000000006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68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84.23</v>
      </c>
      <c r="D19" s="2" t="s">
        <v>1890</v>
      </c>
      <c r="E19" s="6">
        <v>85</v>
      </c>
      <c r="F19" s="2">
        <v>58</v>
      </c>
      <c r="G19" s="2">
        <v>38</v>
      </c>
      <c r="H19" s="2" t="s">
        <v>1421</v>
      </c>
      <c r="I19" s="2" t="s">
        <v>1288</v>
      </c>
      <c r="J19" s="3" t="s">
        <v>1263</v>
      </c>
      <c r="K19" s="2" t="s">
        <v>1892</v>
      </c>
      <c r="M19" s="2">
        <f>IF(J19="1000+", 1000, (LEFT(J19,FIND("-",J19)-1)+RIGHT(J19,LEN(J19)-FIND("-",J19)))/2)</f>
        <v>30</v>
      </c>
      <c r="N19" s="2">
        <f>ROUND(E19 * 0.7+F19 * 0.2+G19 * 0.1,2)</f>
        <v>74.900000000000006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62</v>
      </c>
      <c r="P19" s="2">
        <f>E19 - O19</f>
        <v>23</v>
      </c>
      <c r="Q19" s="2">
        <f>ROUND(
  SIGN(P19)*
  IF(ABS(P19)&lt;=10,ABS(P19)*0.5,
     IF(ABS(P19)&lt;=15,5+(ABS(P19)-10)*(1.67/5),
        6.67+(ABS(P19)-15)*0.333)),
2)</f>
        <v>9.33</v>
      </c>
    </row>
    <row r="20" spans="1:17" ht="34.5" customHeight="1" x14ac:dyDescent="0.3">
      <c r="B20" s="2">
        <v>19</v>
      </c>
      <c r="C20" s="15">
        <f>ROUND(MAX(MIN(N20 + Q20, 100), 0), 2)</f>
        <v>83.97</v>
      </c>
      <c r="D20" s="2" t="s">
        <v>86</v>
      </c>
      <c r="E20" s="4">
        <v>92</v>
      </c>
      <c r="F20" s="2">
        <v>47</v>
      </c>
      <c r="G20" s="2">
        <v>45</v>
      </c>
      <c r="H20" s="2" t="s">
        <v>87</v>
      </c>
      <c r="I20" s="2" t="s">
        <v>22</v>
      </c>
      <c r="J20" s="3" t="s">
        <v>88</v>
      </c>
      <c r="K20" s="2" t="s">
        <v>89</v>
      </c>
      <c r="M20" s="2">
        <f>IF(J20="1000+", 1000, (LEFT(J20,FIND("-",J20)-1)+RIGHT(J20,LEN(J20)-FIND("-",J20)))/2)</f>
        <v>150</v>
      </c>
      <c r="N20" s="2">
        <f>ROUND(E20 * 0.7+F20 * 0.2+G20 * 0.1,2)</f>
        <v>78.3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80</v>
      </c>
      <c r="P20" s="2">
        <f>E20 - O20</f>
        <v>12</v>
      </c>
      <c r="Q20" s="2">
        <f>ROUND(
  SIGN(P20)*
  IF(ABS(P20)&lt;=10,ABS(P20)*0.5,
     IF(ABS(P20)&lt;=15,5+(ABS(P20)-10)*(1.67/5),
        6.67+(ABS(P20)-15)*0.333)),
2)</f>
        <v>5.67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1576</v>
      </c>
      <c r="E21" s="6">
        <v>80</v>
      </c>
      <c r="F21" s="2">
        <v>59</v>
      </c>
      <c r="G21" s="2">
        <v>45</v>
      </c>
      <c r="H21" s="2" t="s">
        <v>104</v>
      </c>
      <c r="I21" s="2" t="s">
        <v>1288</v>
      </c>
      <c r="J21" s="3" t="s">
        <v>92</v>
      </c>
      <c r="K21" s="2" t="s">
        <v>1628</v>
      </c>
      <c r="M21" s="2">
        <f>IF(J21="1000+", 1000, (LEFT(J21,FIND("-",J21)-1)+RIGHT(J21,LEN(J21)-FIND("-",J21)))/2)</f>
        <v>12.5</v>
      </c>
      <c r="N21" s="2">
        <f>ROUND(E21 * 0.7+F21 * 0.2+G21 * 0.1,2)</f>
        <v>72.3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50</v>
      </c>
      <c r="P21" s="2">
        <f>E21 - O21</f>
        <v>30</v>
      </c>
      <c r="Q21" s="2">
        <f>ROUND(
  SIGN(P21)*
  IF(ABS(P21)&lt;=10,ABS(P21)*0.5,
     IF(ABS(P21)&lt;=15,5+(ABS(P21)-10)*(1.67/5),
        6.67+(ABS(P21)-15)*0.333)),
2)</f>
        <v>11.67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83.93</v>
      </c>
      <c r="D22" s="2" t="s">
        <v>1673</v>
      </c>
      <c r="E22" s="5">
        <v>79</v>
      </c>
      <c r="F22" s="7">
        <v>63</v>
      </c>
      <c r="G22" s="2">
        <v>47</v>
      </c>
      <c r="H22" s="2" t="s">
        <v>1676</v>
      </c>
      <c r="I22" s="2" t="s">
        <v>36</v>
      </c>
      <c r="J22" s="3" t="s">
        <v>1675</v>
      </c>
      <c r="K22" s="2" t="s">
        <v>1681</v>
      </c>
      <c r="M22" s="2">
        <f>IF(J22="1000+", 1000, (LEFT(J22,FIND("-",J22)-1)+RIGHT(J22,LEN(J22)-FIND("-",J22)))/2)</f>
        <v>12.5</v>
      </c>
      <c r="N22" s="2">
        <f>ROUND(E22 * 0.7+F22 * 0.2+G22 * 0.1,2)</f>
        <v>72.599999999999994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29</v>
      </c>
      <c r="Q22" s="2">
        <f>ROUND(
  SIGN(P22)*
  IF(ABS(P22)&lt;=10,ABS(P22)*0.5,
     IF(ABS(P22)&lt;=15,5+(ABS(P22)-10)*(1.67/5),
        6.67+(ABS(P22)-15)*0.333)),
2)</f>
        <v>11.33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1978</v>
      </c>
      <c r="E24" s="6">
        <v>82</v>
      </c>
      <c r="F24" s="2">
        <v>55</v>
      </c>
      <c r="G24" s="2">
        <v>25</v>
      </c>
      <c r="H24" s="2" t="s">
        <v>1993</v>
      </c>
      <c r="I24" s="2" t="s">
        <v>36</v>
      </c>
      <c r="J24" s="3" t="s">
        <v>1574</v>
      </c>
      <c r="K24" s="2" t="s">
        <v>1817</v>
      </c>
      <c r="M24" s="2">
        <f>IF(J24="1000+", 1000, (LEFT(J24,FIND("-",J24)-1)+RIGHT(J24,LEN(J24)-FIND("-",J24)))/2)</f>
        <v>12.5</v>
      </c>
      <c r="N24" s="2">
        <f>ROUND(E24 * 0.7+F24 * 0.2+G24 * 0.1,2)</f>
        <v>70.900000000000006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32</v>
      </c>
      <c r="Q24" s="2">
        <f>ROUND(
  SIGN(P24)*
  IF(ABS(P24)&lt;=10,ABS(P24)*0.5,
     IF(ABS(P24)&lt;=15,5+(ABS(P24)-10)*(1.67/5),
        6.67+(ABS(P24)-15)*0.333)),
2)</f>
        <v>12.33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82.7</v>
      </c>
      <c r="D25" s="2" t="s">
        <v>2015</v>
      </c>
      <c r="E25" s="6">
        <v>82</v>
      </c>
      <c r="F25" s="5">
        <v>70</v>
      </c>
      <c r="G25" s="5">
        <v>78</v>
      </c>
      <c r="H25" s="2" t="s">
        <v>1256</v>
      </c>
      <c r="I25" s="2" t="s">
        <v>1258</v>
      </c>
      <c r="J25" s="3" t="s">
        <v>1301</v>
      </c>
      <c r="K25" s="2" t="s">
        <v>1277</v>
      </c>
      <c r="M25" s="2">
        <f>IF(J25="1000+", 1000, (LEFT(J25,FIND("-",J25)-1)+RIGHT(J25,LEN(J25)-FIND("-",J25)))/2)</f>
        <v>115</v>
      </c>
      <c r="N25" s="2">
        <f>ROUND(E25 * 0.7+F25 * 0.2+G25 * 0.1,2)</f>
        <v>79.2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75</v>
      </c>
      <c r="P25" s="2">
        <f>E25 - O25</f>
        <v>7</v>
      </c>
      <c r="Q25" s="2">
        <f>ROUND(
  SIGN(P25)*
  IF(ABS(P25)&lt;=10,ABS(P25)*0.5,
     IF(ABS(P25)&lt;=15,5+(ABS(P25)-10)*(1.67/5),
        6.67+(ABS(P25)-15)*0.333)),
2)</f>
        <v>3.5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1254</v>
      </c>
      <c r="E26" s="6">
        <v>80</v>
      </c>
      <c r="F26" s="7">
        <v>65</v>
      </c>
      <c r="G26" s="7">
        <v>60</v>
      </c>
      <c r="H26" s="11" t="s">
        <v>1256</v>
      </c>
      <c r="I26" s="11" t="s">
        <v>1259</v>
      </c>
      <c r="J26" s="19" t="s">
        <v>1263</v>
      </c>
      <c r="K26" s="2" t="s">
        <v>1899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82.44</v>
      </c>
      <c r="D28" s="2" t="s">
        <v>2007</v>
      </c>
      <c r="E28" s="6">
        <v>82</v>
      </c>
      <c r="F28" s="7">
        <v>67</v>
      </c>
      <c r="G28" s="2">
        <v>53</v>
      </c>
      <c r="H28" s="2" t="s">
        <v>1450</v>
      </c>
      <c r="I28" s="2" t="s">
        <v>1300</v>
      </c>
      <c r="J28" s="3" t="s">
        <v>1302</v>
      </c>
      <c r="K28" s="2" t="s">
        <v>2005</v>
      </c>
      <c r="M28" s="2">
        <f>IF(J28="1000+", 1000, (LEFT(J28,FIND("-",J28)-1)+RIGHT(J28,LEN(J28)-FIND("-",J28)))/2)</f>
        <v>60</v>
      </c>
      <c r="N28" s="2">
        <f>ROUND(E28 * 0.7+F28 * 0.2+G28 * 0.1,2)</f>
        <v>76.099999999999994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14</v>
      </c>
      <c r="Q28" s="2">
        <f>ROUND(
  SIGN(P28)*
  IF(ABS(P28)&lt;=10,ABS(P28)*0.5,
     IF(ABS(P28)&lt;=15,5+(ABS(P28)-10)*(1.67/5),
        6.67+(ABS(P28)-15)*0.333)),
2)</f>
        <v>6.34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63</v>
      </c>
      <c r="E29" s="6">
        <v>84</v>
      </c>
      <c r="F29" s="6">
        <v>83</v>
      </c>
      <c r="G29" s="6">
        <v>85</v>
      </c>
      <c r="H29" s="2" t="s">
        <v>64</v>
      </c>
      <c r="I29" s="2" t="s">
        <v>13</v>
      </c>
      <c r="J29" s="3" t="s">
        <v>65</v>
      </c>
      <c r="K29" s="2" t="s">
        <v>66</v>
      </c>
      <c r="M29" s="2">
        <f>IF(J29="1000+", 1000, (LEFT(J29,FIND("-",J29)-1)+RIGHT(J29,LEN(J29)-FIND("-",J29)))/2)</f>
        <v>250</v>
      </c>
      <c r="N29" s="2">
        <f>ROUND(E29 * 0.7+F29 * 0.2+G29 * 0.1,2)</f>
        <v>83.9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87</v>
      </c>
      <c r="P29" s="2">
        <f>E29 - O29</f>
        <v>-3</v>
      </c>
      <c r="Q29" s="2">
        <f>ROUND(
  SIGN(P29)*
  IF(ABS(P29)&lt;=10,ABS(P29)*0.5,
     IF(ABS(P29)&lt;=15,5+(ABS(P29)-10)*(1.67/5),
        6.67+(ABS(P29)-15)*0.333)),
2)</f>
        <v>-1.5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39</v>
      </c>
      <c r="E30" s="6">
        <v>83</v>
      </c>
      <c r="F30" s="4">
        <v>94</v>
      </c>
      <c r="G30" s="4">
        <v>90</v>
      </c>
      <c r="H30" s="2" t="s">
        <v>40</v>
      </c>
      <c r="I30" s="2" t="s">
        <v>41</v>
      </c>
      <c r="J30" s="3" t="s">
        <v>42</v>
      </c>
      <c r="K30" s="2" t="s">
        <v>43</v>
      </c>
      <c r="M30" s="2">
        <f>IF(J30="1000+", 1000, (LEFT(J30,FIND("-",J30)-1)+RIGHT(J30,LEN(J30)-FIND("-",J30)))/2)</f>
        <v>600</v>
      </c>
      <c r="N30" s="2">
        <f>ROUND(E30 * 0.7+F30 * 0.2+G30 * 0.1,2)</f>
        <v>85.9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90</v>
      </c>
      <c r="P30" s="2">
        <f>E30 - O30</f>
        <v>-7</v>
      </c>
      <c r="Q30" s="2">
        <f>ROUND(
  SIGN(P30)*
  IF(ABS(P30)&lt;=10,ABS(P30)*0.5,
     IF(ABS(P30)&lt;=15,5+(ABS(P30)-10)*(1.67/5),
        6.67+(ABS(P30)-15)*0.333)),
2)</f>
        <v>-3.5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82.24</v>
      </c>
      <c r="D31" s="2" t="s">
        <v>1956</v>
      </c>
      <c r="E31" s="6">
        <v>82</v>
      </c>
      <c r="F31" s="7">
        <v>63</v>
      </c>
      <c r="G31" s="2">
        <v>59</v>
      </c>
      <c r="H31" s="2" t="s">
        <v>31</v>
      </c>
      <c r="I31" s="2" t="s">
        <v>1385</v>
      </c>
      <c r="J31" s="3" t="s">
        <v>1302</v>
      </c>
      <c r="K31" s="2" t="s">
        <v>1957</v>
      </c>
      <c r="M31" s="2">
        <f>IF(J31="1000+", 1000, (LEFT(J31,FIND("-",J31)-1)+RIGHT(J31,LEN(J31)-FIND("-",J31)))/2)</f>
        <v>60</v>
      </c>
      <c r="N31" s="2">
        <f>ROUND(E31 * 0.7+F31 * 0.2+G31 * 0.1,2)</f>
        <v>75.900000000000006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68</v>
      </c>
      <c r="P31" s="2">
        <f>E31 - O31</f>
        <v>14</v>
      </c>
      <c r="Q31" s="2">
        <f>ROUND(
  SIGN(P31)*
  IF(ABS(P31)&lt;=10,ABS(P31)*0.5,
     IF(ABS(P31)&lt;=15,5+(ABS(P31)-10)*(1.67/5),
        6.67+(ABS(P31)-15)*0.333)),
2)</f>
        <v>6.34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</v>
      </c>
      <c r="D32" s="2" t="s">
        <v>1692</v>
      </c>
      <c r="E32" s="5">
        <v>78</v>
      </c>
      <c r="F32" s="7">
        <v>60</v>
      </c>
      <c r="G32" s="2">
        <v>46</v>
      </c>
      <c r="H32" s="2" t="s">
        <v>1693</v>
      </c>
      <c r="I32" s="2" t="s">
        <v>36</v>
      </c>
      <c r="J32" s="3" t="s">
        <v>1702</v>
      </c>
      <c r="K32" s="2" t="s">
        <v>1704</v>
      </c>
      <c r="M32" s="2">
        <f>IF(J32="1000+", 1000, (LEFT(J32,FIND("-",J32)-1)+RIGHT(J32,LEN(J32)-FIND("-",J32)))/2)</f>
        <v>12.5</v>
      </c>
      <c r="N32" s="2">
        <f>ROUND(E32 * 0.7+F32 * 0.2+G32 * 0.1,2)</f>
        <v>71.2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50</v>
      </c>
      <c r="P32" s="2">
        <f>E32 - O32</f>
        <v>28</v>
      </c>
      <c r="Q32" s="2">
        <f>ROUND(
  SIGN(P32)*
  IF(ABS(P32)&lt;=10,ABS(P32)*0.5,
     IF(ABS(P32)&lt;=15,5+(ABS(P32)-10)*(1.67/5),
        6.67+(ABS(P32)-15)*0.333)),
2)</f>
        <v>11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</v>
      </c>
      <c r="D33" s="2" t="s">
        <v>1499</v>
      </c>
      <c r="E33" s="6">
        <v>83</v>
      </c>
      <c r="F33" s="7">
        <v>64</v>
      </c>
      <c r="G33" s="2">
        <v>51</v>
      </c>
      <c r="H33" s="2" t="s">
        <v>1518</v>
      </c>
      <c r="I33" s="2" t="s">
        <v>1525</v>
      </c>
      <c r="J33" s="3" t="s">
        <v>1537</v>
      </c>
      <c r="K33" s="2" t="s">
        <v>1531</v>
      </c>
      <c r="M33" s="2">
        <f>IF(J33="1000+", 1000, (LEFT(J33,FIND("-",J33)-1)+RIGHT(J33,LEN(J33)-FIND("-",J33)))/2)</f>
        <v>75</v>
      </c>
      <c r="N33" s="2">
        <f>ROUND(E33 * 0.7+F33 * 0.2+G33 * 0.1,2)</f>
        <v>76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70</v>
      </c>
      <c r="P33" s="2">
        <f>E33 - O33</f>
        <v>13</v>
      </c>
      <c r="Q33" s="2">
        <f>ROUND(
  SIGN(P33)*
  IF(ABS(P33)&lt;=10,ABS(P33)*0.5,
     IF(ABS(P33)&lt;=15,5+(ABS(P33)-10)*(1.67/5),
        6.67+(ABS(P33)-15)*0.333)),
2)</f>
        <v>6</v>
      </c>
    </row>
    <row r="34" spans="1:17" ht="34.5" customHeight="1" x14ac:dyDescent="0.3">
      <c r="B34" s="2">
        <v>33</v>
      </c>
      <c r="C34" s="15">
        <f>ROUND(MAX(MIN(N34 + Q34, 100), 0), 2)</f>
        <v>81.900000000000006</v>
      </c>
      <c r="D34" s="2" t="s">
        <v>74</v>
      </c>
      <c r="E34" s="6">
        <v>85</v>
      </c>
      <c r="F34" s="5">
        <v>70</v>
      </c>
      <c r="G34" s="7">
        <v>69</v>
      </c>
      <c r="H34" s="2" t="s">
        <v>75</v>
      </c>
      <c r="I34" s="2" t="s">
        <v>17</v>
      </c>
      <c r="J34" s="3" t="s">
        <v>28</v>
      </c>
      <c r="K34" s="2" t="s">
        <v>76</v>
      </c>
      <c r="M34" s="2">
        <f>IF(J34="1000+", 1000, (LEFT(J34,FIND("-",J34)-1)+RIGHT(J34,LEN(J34)-FIND("-",J34)))/2)</f>
        <v>200</v>
      </c>
      <c r="N34" s="2">
        <f>ROUND(E34 * 0.7+F34 * 0.2+G34 * 0.1,2)</f>
        <v>80.400000000000006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82</v>
      </c>
      <c r="P34" s="2">
        <f>E34 - O34</f>
        <v>3</v>
      </c>
      <c r="Q34" s="2">
        <f>ROUND(
  SIGN(P34)*
  IF(ABS(P34)&lt;=10,ABS(P34)*0.5,
     IF(ABS(P34)&lt;=15,5+(ABS(P34)-10)*(1.67/5),
        6.67+(ABS(P34)-15)*0.333)),
2)</f>
        <v>1.5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81.84</v>
      </c>
      <c r="D35" s="2" t="s">
        <v>1996</v>
      </c>
      <c r="E35" s="5">
        <v>77</v>
      </c>
      <c r="F35" s="5">
        <v>77</v>
      </c>
      <c r="G35" s="2">
        <v>52</v>
      </c>
      <c r="H35" s="2" t="s">
        <v>1256</v>
      </c>
      <c r="I35" s="2" t="s">
        <v>1288</v>
      </c>
      <c r="J35" s="3" t="s">
        <v>1261</v>
      </c>
      <c r="K35" s="2" t="s">
        <v>1999</v>
      </c>
      <c r="M35" s="2">
        <f>IF(J35="1000+", 1000, (LEFT(J35,FIND("-",J35)-1)+RIGHT(J35,LEN(J35)-FIND("-",J35)))/2)</f>
        <v>20</v>
      </c>
      <c r="N35" s="2">
        <f>ROUND(E35 * 0.7+F35 * 0.2+G35 * 0.1,2)</f>
        <v>74.5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60</v>
      </c>
      <c r="P35" s="2">
        <f>E35 - O35</f>
        <v>17</v>
      </c>
      <c r="Q35" s="2">
        <f>ROUND(
  SIGN(P35)*
  IF(ABS(P35)&lt;=10,ABS(P35)*0.5,
     IF(ABS(P35)&lt;=15,5+(ABS(P35)-10)*(1.67/5),
        6.67+(ABS(P35)-15)*0.333)),
2)</f>
        <v>7.34</v>
      </c>
    </row>
    <row r="36" spans="1:17" ht="34.5" customHeight="1" x14ac:dyDescent="0.3">
      <c r="B36" s="2">
        <v>35</v>
      </c>
      <c r="C36" s="15">
        <f>ROUND(MAX(MIN(N36 + Q36, 100), 0), 2)</f>
        <v>81.77</v>
      </c>
      <c r="D36" s="2" t="s">
        <v>126</v>
      </c>
      <c r="E36" s="5">
        <v>79</v>
      </c>
      <c r="F36" s="7">
        <v>60</v>
      </c>
      <c r="G36" s="2">
        <v>48</v>
      </c>
      <c r="H36" s="2" t="s">
        <v>127</v>
      </c>
      <c r="I36" s="2" t="s">
        <v>36</v>
      </c>
      <c r="J36" s="3" t="s">
        <v>37</v>
      </c>
      <c r="K36" s="2" t="s">
        <v>128</v>
      </c>
      <c r="M36" s="2">
        <f>IF(J36="1000+", 1000, (LEFT(J36,FIND("-",J36)-1)+RIGHT(J36,LEN(J36)-FIND("-",J36)))/2)</f>
        <v>15</v>
      </c>
      <c r="N36" s="2">
        <f>ROUND(E36 * 0.7+F36 * 0.2+G36 * 0.1,2)</f>
        <v>72.099999999999994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55</v>
      </c>
      <c r="P36" s="2">
        <f>E36 - O36</f>
        <v>24</v>
      </c>
      <c r="Q36" s="2">
        <f>ROUND(
  SIGN(P36)*
  IF(ABS(P36)&lt;=10,ABS(P36)*0.5,
     IF(ABS(P36)&lt;=15,5+(ABS(P36)-10)*(1.67/5),
        6.67+(ABS(P36)-15)*0.333)),
2)</f>
        <v>9.67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81.73</v>
      </c>
      <c r="D37" s="2" t="s">
        <v>1977</v>
      </c>
      <c r="E37" s="5">
        <v>79</v>
      </c>
      <c r="F37" s="2">
        <v>59</v>
      </c>
      <c r="G37" s="2">
        <v>33</v>
      </c>
      <c r="H37" s="2" t="s">
        <v>1993</v>
      </c>
      <c r="I37" s="2" t="s">
        <v>36</v>
      </c>
      <c r="J37" s="3" t="s">
        <v>1574</v>
      </c>
      <c r="K37" s="2" t="s">
        <v>1817</v>
      </c>
      <c r="M37" s="2">
        <f>IF(J37="1000+", 1000, (LEFT(J37,FIND("-",J37)-1)+RIGHT(J37,LEN(J37)-FIND("-",J37)))/2)</f>
        <v>12.5</v>
      </c>
      <c r="N37" s="2">
        <f>ROUND(E37 * 0.7+F37 * 0.2+G37 * 0.1,2)</f>
        <v>70.400000000000006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50</v>
      </c>
      <c r="P37" s="2">
        <f>E37 - O37</f>
        <v>29</v>
      </c>
      <c r="Q37" s="2">
        <f>ROUND(
  SIGN(P37)*
  IF(ABS(P37)&lt;=10,ABS(P37)*0.5,
     IF(ABS(P37)&lt;=15,5+(ABS(P37)-10)*(1.67/5),
        6.67+(ABS(P37)-15)*0.333)),
2)</f>
        <v>11.33</v>
      </c>
    </row>
    <row r="38" spans="1:17" ht="34.5" customHeight="1" x14ac:dyDescent="0.3">
      <c r="B38" s="2">
        <v>37</v>
      </c>
      <c r="C38" s="15">
        <f>ROUND(MAX(MIN(N38 + Q38, 100), 0), 2)</f>
        <v>81.64</v>
      </c>
      <c r="D38" s="2" t="s">
        <v>123</v>
      </c>
      <c r="E38" s="6">
        <v>82</v>
      </c>
      <c r="F38" s="7">
        <v>64</v>
      </c>
      <c r="G38" s="2">
        <v>51</v>
      </c>
      <c r="H38" s="2" t="s">
        <v>61</v>
      </c>
      <c r="I38" s="2" t="s">
        <v>22</v>
      </c>
      <c r="J38" s="3" t="s">
        <v>23</v>
      </c>
      <c r="M38" s="2">
        <f>IF(J38="1000+", 1000, (LEFT(J38,FIND("-",J38)-1)+RIGHT(J38,LEN(J38)-FIND("-",J38)))/2)</f>
        <v>60</v>
      </c>
      <c r="N38" s="2">
        <f>ROUND(E38 * 0.7+F38 * 0.2+G38 * 0.1,2)</f>
        <v>75.3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68</v>
      </c>
      <c r="P38" s="2">
        <f>E38 - O38</f>
        <v>14</v>
      </c>
      <c r="Q38" s="2">
        <f>ROUND(
  SIGN(P38)*
  IF(ABS(P38)&lt;=10,ABS(P38)*0.5,
     IF(ABS(P38)&lt;=15,5+(ABS(P38)-10)*(1.67/5),
        6.67+(ABS(P38)-15)*0.333)),
2)</f>
        <v>6.34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81.400000000000006</v>
      </c>
      <c r="D39" s="2" t="s">
        <v>1808</v>
      </c>
      <c r="E39" s="6">
        <v>84</v>
      </c>
      <c r="F39" s="2">
        <v>52</v>
      </c>
      <c r="G39" s="2">
        <v>42</v>
      </c>
      <c r="H39" s="2" t="s">
        <v>1256</v>
      </c>
      <c r="I39" s="2" t="s">
        <v>1300</v>
      </c>
      <c r="J39" s="3" t="s">
        <v>1262</v>
      </c>
      <c r="K39" s="2" t="s">
        <v>1809</v>
      </c>
      <c r="M39" s="2">
        <f>IF(J39="1000+", 1000, (LEFT(J39,FIND("-",J39)-1)+RIGHT(J39,LEN(J39)-FIND("-",J39)))/2)</f>
        <v>45</v>
      </c>
      <c r="N39" s="2">
        <f>ROUND(E39 * 0.7+F39 * 0.2+G39 * 0.1,2)</f>
        <v>73.400000000000006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65</v>
      </c>
      <c r="P39" s="2">
        <f>E39 - O39</f>
        <v>19</v>
      </c>
      <c r="Q39" s="2">
        <f>ROUND(
  SIGN(P39)*
  IF(ABS(P39)&lt;=10,ABS(P39)*0.5,
     IF(ABS(P39)&lt;=15,5+(ABS(P39)-10)*(1.67/5),
        6.67+(ABS(P39)-15)*0.333)),
2)</f>
        <v>8</v>
      </c>
    </row>
    <row r="40" spans="1:17" ht="34.5" customHeight="1" x14ac:dyDescent="0.3">
      <c r="B40" s="2">
        <v>39</v>
      </c>
      <c r="C40" s="15">
        <f>ROUND(MAX(MIN(N40 + Q40, 100), 0), 2)</f>
        <v>81.3</v>
      </c>
      <c r="D40" s="2" t="s">
        <v>97</v>
      </c>
      <c r="E40" s="6">
        <v>84</v>
      </c>
      <c r="F40" s="6">
        <v>86</v>
      </c>
      <c r="G40" s="6">
        <v>83</v>
      </c>
      <c r="H40" s="2" t="s">
        <v>87</v>
      </c>
      <c r="I40" s="2" t="s">
        <v>27</v>
      </c>
      <c r="J40" s="3" t="s">
        <v>42</v>
      </c>
      <c r="K40" s="2" t="s">
        <v>98</v>
      </c>
      <c r="M40" s="2">
        <f>IF(J40="1000+", 1000, (LEFT(J40,FIND("-",J40)-1)+RIGHT(J40,LEN(J40)-FIND("-",J40)))/2)</f>
        <v>600</v>
      </c>
      <c r="N40" s="2">
        <f>ROUND(E40 * 0.7+F40 * 0.2+G40 * 0.1,2)</f>
        <v>84.3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81.27</v>
      </c>
      <c r="D41" s="11" t="s">
        <v>1307</v>
      </c>
      <c r="E41" s="6">
        <v>80</v>
      </c>
      <c r="F41" s="7">
        <v>62</v>
      </c>
      <c r="G41" s="2">
        <v>52</v>
      </c>
      <c r="H41" s="11" t="s">
        <v>1256</v>
      </c>
      <c r="I41" s="11" t="s">
        <v>1288</v>
      </c>
      <c r="J41" s="19" t="s">
        <v>1263</v>
      </c>
      <c r="K41" s="11" t="s">
        <v>1312</v>
      </c>
      <c r="M41" s="2">
        <f>IF(J41="1000+", 1000, (LEFT(J41,FIND("-",J41)-1)+RIGHT(J41,LEN(J41)-FIND("-",J41)))/2)</f>
        <v>30</v>
      </c>
      <c r="N41" s="2">
        <f>ROUND(E41 * 0.7+F41 * 0.2+G41 * 0.1,2)</f>
        <v>73.599999999999994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62</v>
      </c>
      <c r="P41" s="2">
        <f>E41 - O41</f>
        <v>18</v>
      </c>
      <c r="Q41" s="2">
        <f>ROUND(
  SIGN(P41)*
  IF(ABS(P41)&lt;=10,ABS(P41)*0.5,
     IF(ABS(P41)&lt;=15,5+(ABS(P41)-10)*(1.67/5),
        6.67+(ABS(P41)-15)*0.333)),
2)</f>
        <v>7.67</v>
      </c>
    </row>
    <row r="42" spans="1:17" ht="34.5" customHeight="1" x14ac:dyDescent="0.3">
      <c r="B42" s="2">
        <v>41</v>
      </c>
      <c r="C42" s="15">
        <f>ROUND(MAX(MIN(N42 + Q42, 100), 0), 2)</f>
        <v>81.2</v>
      </c>
      <c r="D42" s="2" t="s">
        <v>84</v>
      </c>
      <c r="E42" s="6">
        <v>83</v>
      </c>
      <c r="F42" s="4">
        <v>96</v>
      </c>
      <c r="G42" s="5">
        <v>74</v>
      </c>
      <c r="H42" s="2" t="s">
        <v>85</v>
      </c>
      <c r="I42" s="2" t="s">
        <v>79</v>
      </c>
      <c r="J42" s="3" t="s">
        <v>42</v>
      </c>
      <c r="K42" s="2" t="s">
        <v>80</v>
      </c>
      <c r="M42" s="2">
        <f>IF(J42="1000+", 1000, (LEFT(J42,FIND("-",J42)-1)+RIGHT(J42,LEN(J42)-FIND("-",J42)))/2)</f>
        <v>600</v>
      </c>
      <c r="N42" s="2">
        <f>ROUND(E42 * 0.7+F42 * 0.2+G42 * 0.1,2)</f>
        <v>84.7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-7</v>
      </c>
      <c r="Q42" s="2">
        <f>ROUND(
  SIGN(P42)*
  IF(ABS(P42)&lt;=10,ABS(P42)*0.5,
     IF(ABS(P42)&lt;=15,5+(ABS(P42)-10)*(1.67/5),
        6.67+(ABS(P42)-15)*0.333)),
2)</f>
        <v>-3.5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81.17</v>
      </c>
      <c r="D43" s="2" t="s">
        <v>1415</v>
      </c>
      <c r="E43" s="6">
        <v>85</v>
      </c>
      <c r="F43" s="2">
        <v>49</v>
      </c>
      <c r="G43" s="2">
        <v>52</v>
      </c>
      <c r="H43" s="2" t="s">
        <v>1421</v>
      </c>
      <c r="I43" s="2" t="s">
        <v>36</v>
      </c>
      <c r="J43" s="3" t="s">
        <v>1431</v>
      </c>
      <c r="K43" s="2" t="s">
        <v>1439</v>
      </c>
      <c r="M43" s="2">
        <f>IF(J43="1000+", 1000, (LEFT(J43,FIND("-",J43)-1)+RIGHT(J43,LEN(J43)-FIND("-",J43)))/2)</f>
        <v>75</v>
      </c>
      <c r="N43" s="2">
        <f>ROUND(E43 * 0.7+F43 * 0.2+G43 * 0.1,2)</f>
        <v>74.5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70</v>
      </c>
      <c r="P43" s="2">
        <f>E43 - O43</f>
        <v>15</v>
      </c>
      <c r="Q43" s="2">
        <f>ROUND(
  SIGN(P43)*
  IF(ABS(P43)&lt;=10,ABS(P43)*0.5,
     IF(ABS(P43)&lt;=15,5+(ABS(P43)-10)*(1.67/5),
        6.67+(ABS(P43)-15)*0.333)),
2)</f>
        <v>6.67</v>
      </c>
    </row>
    <row r="44" spans="1:17" ht="34.5" customHeight="1" x14ac:dyDescent="0.3">
      <c r="B44" s="2">
        <v>43</v>
      </c>
      <c r="C44" s="15">
        <f>ROUND(MAX(MIN(N44 + Q44, 100), 0), 2)</f>
        <v>81.099999999999994</v>
      </c>
      <c r="D44" s="2" t="s">
        <v>116</v>
      </c>
      <c r="E44" s="6">
        <v>84</v>
      </c>
      <c r="F44" s="6">
        <v>87</v>
      </c>
      <c r="G44" s="5">
        <v>79</v>
      </c>
      <c r="H44" s="2" t="s">
        <v>87</v>
      </c>
      <c r="I44" s="2" t="s">
        <v>27</v>
      </c>
      <c r="J44" s="3" t="s">
        <v>42</v>
      </c>
      <c r="K44" s="2" t="s">
        <v>98</v>
      </c>
      <c r="M44" s="2">
        <f>IF(J44="1000+", 1000, (LEFT(J44,FIND("-",J44)-1)+RIGHT(J44,LEN(J44)-FIND("-",J44)))/2)</f>
        <v>600</v>
      </c>
      <c r="N44" s="2">
        <f>ROUND(E44 * 0.7+F44 * 0.2+G44 * 0.1,2)</f>
        <v>84.1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-6</v>
      </c>
      <c r="Q44" s="2">
        <f>ROUND(
  SIGN(P44)*
  IF(ABS(P44)&lt;=10,ABS(P44)*0.5,
     IF(ABS(P44)&lt;=15,5+(ABS(P44)-10)*(1.67/5),
        6.67+(ABS(P44)-15)*0.333)),
2)</f>
        <v>-3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81.099999999999994</v>
      </c>
      <c r="D45" s="2" t="s">
        <v>1998</v>
      </c>
      <c r="E45" s="6">
        <v>81</v>
      </c>
      <c r="F45" s="2">
        <v>54</v>
      </c>
      <c r="G45" s="2">
        <v>56</v>
      </c>
      <c r="H45" s="2" t="s">
        <v>1256</v>
      </c>
      <c r="I45" s="2" t="s">
        <v>1288</v>
      </c>
      <c r="J45" s="3" t="s">
        <v>1263</v>
      </c>
      <c r="K45" s="2" t="s">
        <v>2000</v>
      </c>
      <c r="M45" s="2">
        <f>IF(J45="1000+", 1000, (LEFT(J45,FIND("-",J45)-1)+RIGHT(J45,LEN(J45)-FIND("-",J45)))/2)</f>
        <v>30</v>
      </c>
      <c r="N45" s="2">
        <f>ROUND(E45 * 0.7+F45 * 0.2+G45 * 0.1,2)</f>
        <v>73.099999999999994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62</v>
      </c>
      <c r="P45" s="2">
        <f>E45 - O45</f>
        <v>19</v>
      </c>
      <c r="Q45" s="2">
        <f>ROUND(
  SIGN(P45)*
  IF(ABS(P45)&lt;=10,ABS(P45)*0.5,
     IF(ABS(P45)&lt;=15,5+(ABS(P45)-10)*(1.67/5),
        6.67+(ABS(P45)-15)*0.333)),
2)</f>
        <v>8</v>
      </c>
    </row>
    <row r="46" spans="1:17" ht="34.5" customHeight="1" x14ac:dyDescent="0.3">
      <c r="B46" s="2">
        <v>45</v>
      </c>
      <c r="C46" s="15">
        <f>ROUND(MAX(MIN(N46 + Q46, 100), 0), 2)</f>
        <v>81.069999999999993</v>
      </c>
      <c r="D46" s="2" t="s">
        <v>113</v>
      </c>
      <c r="E46" s="6">
        <v>80</v>
      </c>
      <c r="F46" s="7">
        <v>60</v>
      </c>
      <c r="G46" s="5">
        <v>74</v>
      </c>
      <c r="H46" s="2" t="s">
        <v>114</v>
      </c>
      <c r="I46" s="2" t="s">
        <v>17</v>
      </c>
      <c r="J46" s="3" t="s">
        <v>23</v>
      </c>
      <c r="K46" s="2" t="s">
        <v>115</v>
      </c>
      <c r="M46" s="2">
        <f>IF(J46="1000+", 1000, (LEFT(J46,FIND("-",J46)-1)+RIGHT(J46,LEN(J46)-FIND("-",J46)))/2)</f>
        <v>60</v>
      </c>
      <c r="N46" s="2">
        <f>ROUND(E46 * 0.7+F46 * 0.2+G46 * 0.1,2)</f>
        <v>75.400000000000006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12</v>
      </c>
      <c r="Q46" s="2">
        <f>ROUND(
  SIGN(P46)*
  IF(ABS(P46)&lt;=10,ABS(P46)*0.5,
     IF(ABS(P46)&lt;=15,5+(ABS(P46)-10)*(1.67/5),
        6.67+(ABS(P46)-15)*0.333)),
2)</f>
        <v>5.67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</v>
      </c>
      <c r="D47" s="2" t="s">
        <v>1794</v>
      </c>
      <c r="E47" s="6">
        <v>84</v>
      </c>
      <c r="F47" s="6">
        <v>88</v>
      </c>
      <c r="G47" s="5">
        <v>76</v>
      </c>
      <c r="H47" s="2" t="s">
        <v>1257</v>
      </c>
      <c r="I47" s="2" t="s">
        <v>1258</v>
      </c>
      <c r="J47" s="3" t="s">
        <v>1539</v>
      </c>
      <c r="K47" s="2" t="s">
        <v>1795</v>
      </c>
      <c r="M47" s="2">
        <f>IF(J47="1000+", 1000, (LEFT(J47,FIND("-",J47)-1)+RIGHT(J47,LEN(J47)-FIND("-",J47)))/2)</f>
        <v>600</v>
      </c>
      <c r="N47" s="2">
        <f>ROUND(E47 * 0.7+F47 * 0.2+G47 * 0.1,2)</f>
        <v>84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-6</v>
      </c>
      <c r="Q47" s="2">
        <f>ROUND(
  SIGN(P47)*
  IF(ABS(P47)&lt;=10,ABS(P47)*0.5,
     IF(ABS(P47)&lt;=15,5+(ABS(P47)-10)*(1.67/5),
        6.67+(ABS(P47)-15)*0.333)),
2)</f>
        <v>-3</v>
      </c>
    </row>
    <row r="48" spans="1:17" ht="34.5" customHeight="1" x14ac:dyDescent="0.3">
      <c r="B48" s="2">
        <v>47</v>
      </c>
      <c r="C48" s="15">
        <f>ROUND(MAX(MIN(N48 + Q48, 100), 0), 2)</f>
        <v>80.7</v>
      </c>
      <c r="D48" s="2" t="s">
        <v>77</v>
      </c>
      <c r="E48" s="6">
        <v>82</v>
      </c>
      <c r="F48" s="4">
        <v>91</v>
      </c>
      <c r="G48" s="7">
        <v>66</v>
      </c>
      <c r="H48" s="2" t="s">
        <v>78</v>
      </c>
      <c r="I48" s="2" t="s">
        <v>79</v>
      </c>
      <c r="J48" s="3" t="s">
        <v>14</v>
      </c>
      <c r="K48" s="2" t="s">
        <v>80</v>
      </c>
      <c r="M48" s="2">
        <f>IF(J48="1000+", 1000, (LEFT(J48,FIND("-",J48)-1)+RIGHT(J48,LEN(J48)-FIND("-",J48)))/2)</f>
        <v>225</v>
      </c>
      <c r="N48" s="2">
        <f>ROUND(E48 * 0.7+F48 * 0.2+G48 * 0.1,2)</f>
        <v>82.2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85</v>
      </c>
      <c r="P48" s="2">
        <f>E48 - O48</f>
        <v>-3</v>
      </c>
      <c r="Q48" s="2">
        <f>ROUND(
  SIGN(P48)*
  IF(ABS(P48)&lt;=10,ABS(P48)*0.5,
     IF(ABS(P48)&lt;=15,5+(ABS(P48)-10)*(1.67/5),
        6.67+(ABS(P48)-15)*0.333)),
2)</f>
        <v>-1.5</v>
      </c>
    </row>
    <row r="49" spans="1:17" ht="34.5" customHeight="1" x14ac:dyDescent="0.3">
      <c r="B49" s="2">
        <v>48</v>
      </c>
      <c r="C49" s="15">
        <f>ROUND(MAX(MIN(N49 + Q49, 100), 0), 2)</f>
        <v>80.599999999999994</v>
      </c>
      <c r="D49" s="2" t="s">
        <v>70</v>
      </c>
      <c r="E49" s="9">
        <v>75</v>
      </c>
      <c r="F49" s="6">
        <v>89</v>
      </c>
      <c r="G49" s="7">
        <v>68</v>
      </c>
      <c r="H49" s="2" t="s">
        <v>71</v>
      </c>
      <c r="I49" s="2" t="s">
        <v>72</v>
      </c>
      <c r="J49" s="3" t="s">
        <v>23</v>
      </c>
      <c r="K49" s="2" t="s">
        <v>73</v>
      </c>
      <c r="M49" s="2">
        <f>IF(J49="1000+", 1000, (LEFT(J49,FIND("-",J49)-1)+RIGHT(J49,LEN(J49)-FIND("-",J49)))/2)</f>
        <v>60</v>
      </c>
      <c r="N49" s="2">
        <f>ROUND(E49 * 0.7+F49 * 0.2+G49 * 0.1,2)</f>
        <v>77.099999999999994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7</v>
      </c>
      <c r="Q49" s="2">
        <f>ROUND(
  SIGN(P49)*
  IF(ABS(P49)&lt;=10,ABS(P49)*0.5,
     IF(ABS(P49)&lt;=15,5+(ABS(P49)-10)*(1.67/5),
        6.67+(ABS(P49)-15)*0.333)),
2)</f>
        <v>3.5</v>
      </c>
    </row>
    <row r="50" spans="1:17" ht="34.5" customHeight="1" x14ac:dyDescent="0.3">
      <c r="B50" s="2">
        <v>49</v>
      </c>
      <c r="C50" s="15">
        <f>ROUND(MAX(MIN(N50 + Q50, 100), 0), 2)</f>
        <v>80.53</v>
      </c>
      <c r="D50" s="2" t="s">
        <v>90</v>
      </c>
      <c r="E50" s="5">
        <v>76</v>
      </c>
      <c r="F50" s="7">
        <v>60</v>
      </c>
      <c r="G50" s="2">
        <v>50</v>
      </c>
      <c r="H50" s="2" t="s">
        <v>91</v>
      </c>
      <c r="I50" s="2" t="s">
        <v>36</v>
      </c>
      <c r="J50" s="3" t="s">
        <v>92</v>
      </c>
      <c r="K50" s="2" t="s">
        <v>93</v>
      </c>
      <c r="M50" s="2">
        <f>IF(J50="1000+", 1000, (LEFT(J50,FIND("-",J50)-1)+RIGHT(J50,LEN(J50)-FIND("-",J50)))/2)</f>
        <v>12.5</v>
      </c>
      <c r="N50" s="2">
        <f>ROUND(E50 * 0.7+F50 * 0.2+G50 * 0.1,2)</f>
        <v>70.2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50</v>
      </c>
      <c r="P50" s="2">
        <f>E50 - O50</f>
        <v>26</v>
      </c>
      <c r="Q50" s="2">
        <f>ROUND(
  SIGN(P50)*
  IF(ABS(P50)&lt;=10,ABS(P50)*0.5,
     IF(ABS(P50)&lt;=15,5+(ABS(P50)-10)*(1.67/5),
        6.67+(ABS(P50)-15)*0.333)),
2)</f>
        <v>10.33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80.5</v>
      </c>
      <c r="D51" s="11" t="s">
        <v>1274</v>
      </c>
      <c r="E51" s="6">
        <v>80</v>
      </c>
      <c r="F51" s="5">
        <v>72</v>
      </c>
      <c r="G51" s="7">
        <v>61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76.5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8</v>
      </c>
      <c r="Q51" s="2">
        <f>ROUND(
  SIGN(P51)*
  IF(ABS(P51)&lt;=10,ABS(P51)*0.5,
     IF(ABS(P51)&lt;=15,5+(ABS(P51)-10)*(1.67/5),
        6.67+(ABS(P51)-15)*0.333)),
2)</f>
        <v>4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2" t="s">
        <v>2033</v>
      </c>
      <c r="E52" s="6">
        <v>81</v>
      </c>
      <c r="F52" s="7">
        <v>62</v>
      </c>
      <c r="G52" s="2">
        <v>54</v>
      </c>
      <c r="H52" s="2" t="s">
        <v>1257</v>
      </c>
      <c r="I52" s="2" t="s">
        <v>22</v>
      </c>
      <c r="J52" s="3" t="s">
        <v>1302</v>
      </c>
      <c r="K52" s="2" t="s">
        <v>2034</v>
      </c>
      <c r="M52" s="2">
        <f>IF(J52="1000+", 1000, (LEFT(J52,FIND("-",J52)-1)+RIGHT(J52,LEN(J52)-FIND("-",J52)))/2)</f>
        <v>60</v>
      </c>
      <c r="N52" s="2">
        <f>ROUND(E52 * 0.7+F52 * 0.2+G52 * 0.1,2)</f>
        <v>74.5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13</v>
      </c>
      <c r="Q52" s="2">
        <f>ROUND(
  SIGN(P52)*
  IF(ABS(P52)&lt;=10,ABS(P52)*0.5,
     IF(ABS(P52)&lt;=15,5+(ABS(P52)-10)*(1.67/5),
        6.67+(ABS(P52)-15)*0.333)),
2)</f>
        <v>6</v>
      </c>
    </row>
    <row r="53" spans="1:17" ht="34.5" customHeight="1" x14ac:dyDescent="0.3">
      <c r="B53" s="2">
        <v>52</v>
      </c>
      <c r="C53" s="15">
        <f>ROUND(MAX(MIN(N53 + Q53, 100), 0), 2)</f>
        <v>80.47</v>
      </c>
      <c r="D53" s="2" t="s">
        <v>159</v>
      </c>
      <c r="E53" s="6">
        <v>83</v>
      </c>
      <c r="F53" s="2">
        <v>55</v>
      </c>
      <c r="G53" s="2">
        <v>47</v>
      </c>
      <c r="H53" s="2" t="s">
        <v>61</v>
      </c>
      <c r="I53" s="2" t="s">
        <v>22</v>
      </c>
      <c r="J53" s="3" t="s">
        <v>160</v>
      </c>
      <c r="K53" s="2" t="s">
        <v>161</v>
      </c>
      <c r="M53" s="2">
        <f>IF(J53="1000+", 1000, (LEFT(J53,FIND("-",J53)-1)+RIGHT(J53,LEN(J53)-FIND("-",J53)))/2)</f>
        <v>60</v>
      </c>
      <c r="N53" s="2">
        <f>ROUND(E53 * 0.7+F53 * 0.2+G53 * 0.1,2)</f>
        <v>73.8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15</v>
      </c>
      <c r="Q53" s="2">
        <f>ROUND(
  SIGN(P53)*
  IF(ABS(P53)&lt;=10,ABS(P53)*0.5,
     IF(ABS(P53)&lt;=15,5+(ABS(P53)-10)*(1.67/5),
        6.67+(ABS(P53)-15)*0.333)),
2)</f>
        <v>6.67</v>
      </c>
    </row>
    <row r="54" spans="1:17" ht="34.5" customHeight="1" x14ac:dyDescent="0.3">
      <c r="B54" s="2">
        <v>53</v>
      </c>
      <c r="C54" s="15">
        <f>ROUND(MAX(MIN(N54 + Q54, 100), 0), 2)</f>
        <v>80.430000000000007</v>
      </c>
      <c r="D54" s="2" t="s">
        <v>150</v>
      </c>
      <c r="E54" s="5">
        <v>78</v>
      </c>
      <c r="F54" s="7">
        <v>60</v>
      </c>
      <c r="G54" s="2">
        <v>45</v>
      </c>
      <c r="H54" s="2" t="s">
        <v>127</v>
      </c>
      <c r="I54" s="2" t="s">
        <v>36</v>
      </c>
      <c r="J54" s="3" t="s">
        <v>37</v>
      </c>
      <c r="K54" s="2" t="s">
        <v>128</v>
      </c>
      <c r="M54" s="2">
        <f>IF(J54="1000+", 1000, (LEFT(J54,FIND("-",J54)-1)+RIGHT(J54,LEN(J54)-FIND("-",J54)))/2)</f>
        <v>15</v>
      </c>
      <c r="N54" s="2">
        <f>ROUND(E54 * 0.7+F54 * 0.2+G54 * 0.1,2)</f>
        <v>71.099999999999994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23</v>
      </c>
      <c r="Q54" s="2">
        <f>ROUND(
  SIGN(P54)*
  IF(ABS(P54)&lt;=10,ABS(P54)*0.5,
     IF(ABS(P54)&lt;=15,5+(ABS(P54)-10)*(1.67/5),
        6.67+(ABS(P54)-15)*0.333)),
2)</f>
        <v>9.33</v>
      </c>
    </row>
    <row r="55" spans="1:17" ht="34.5" customHeight="1" x14ac:dyDescent="0.3">
      <c r="B55" s="2">
        <v>54</v>
      </c>
      <c r="C55" s="15">
        <f>ROUND(MAX(MIN(N55 + Q55, 100), 0), 2)</f>
        <v>80.400000000000006</v>
      </c>
      <c r="D55" s="2" t="s">
        <v>167</v>
      </c>
      <c r="E55" s="6">
        <v>81</v>
      </c>
      <c r="F55" s="7">
        <v>63</v>
      </c>
      <c r="G55" s="2">
        <v>51</v>
      </c>
      <c r="H55" s="2" t="s">
        <v>87</v>
      </c>
      <c r="I55" s="2" t="s">
        <v>72</v>
      </c>
      <c r="J55" s="3" t="s">
        <v>23</v>
      </c>
      <c r="M55" s="2">
        <f>IF(J55="1000+", 1000, (LEFT(J55,FIND("-",J55)-1)+RIGHT(J55,LEN(J55)-FIND("-",J55)))/2)</f>
        <v>60</v>
      </c>
      <c r="N55" s="2">
        <f>ROUND(E55 * 0.7+F55 * 0.2+G55 * 0.1,2)</f>
        <v>74.400000000000006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13</v>
      </c>
      <c r="Q55" s="2">
        <f>ROUND(
  SIGN(P55)*
  IF(ABS(P55)&lt;=10,ABS(P55)*0.5,
     IF(ABS(P55)&lt;=15,5+(ABS(P55)-10)*(1.67/5),
        6.67+(ABS(P55)-15)*0.333)),
2)</f>
        <v>6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1271</v>
      </c>
      <c r="E57" s="6">
        <v>81</v>
      </c>
      <c r="F57" s="7">
        <v>69</v>
      </c>
      <c r="G57" s="2">
        <v>53</v>
      </c>
      <c r="H57" s="11" t="s">
        <v>1256</v>
      </c>
      <c r="I57" s="11" t="s">
        <v>1276</v>
      </c>
      <c r="J57" s="19" t="s">
        <v>1279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80.099999999999994</v>
      </c>
      <c r="D58" s="2" t="s">
        <v>2015</v>
      </c>
      <c r="E58" s="6">
        <v>80</v>
      </c>
      <c r="F58" s="5">
        <v>70</v>
      </c>
      <c r="G58" s="5">
        <v>76</v>
      </c>
      <c r="H58" s="2" t="s">
        <v>1256</v>
      </c>
      <c r="I58" s="2" t="s">
        <v>1258</v>
      </c>
      <c r="J58" s="3" t="s">
        <v>1301</v>
      </c>
      <c r="M58" s="2">
        <f>IF(J58="1000+", 1000, (LEFT(J58,FIND("-",J58)-1)+RIGHT(J58,LEN(J58)-FIND("-",J58)))/2)</f>
        <v>115</v>
      </c>
      <c r="N58" s="2">
        <f>ROUND(E58 * 0.7+F58 * 0.2+G58 * 0.1,2)</f>
        <v>77.599999999999994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75</v>
      </c>
      <c r="P58" s="2">
        <f>E58 - O58</f>
        <v>5</v>
      </c>
      <c r="Q58" s="2">
        <f>ROUND(
  SIGN(P58)*
  IF(ABS(P58)&lt;=10,ABS(P58)*0.5,
     IF(ABS(P58)&lt;=15,5+(ABS(P58)-10)*(1.67/5),
        6.67+(ABS(P58)-15)*0.333)),
2)</f>
        <v>2.5</v>
      </c>
    </row>
    <row r="59" spans="1:17" ht="34.5" customHeight="1" x14ac:dyDescent="0.3">
      <c r="B59" s="2">
        <v>58</v>
      </c>
      <c r="C59" s="15">
        <f>ROUND(MAX(MIN(N59 + Q59, 100), 0), 2)</f>
        <v>80</v>
      </c>
      <c r="D59" s="2" t="s">
        <v>151</v>
      </c>
      <c r="E59" s="5">
        <v>77</v>
      </c>
      <c r="F59" s="7">
        <v>63</v>
      </c>
      <c r="G59" s="2">
        <v>45</v>
      </c>
      <c r="H59" s="2" t="s">
        <v>127</v>
      </c>
      <c r="I59" s="2" t="s">
        <v>36</v>
      </c>
      <c r="J59" s="3" t="s">
        <v>37</v>
      </c>
      <c r="K59" s="2" t="s">
        <v>128</v>
      </c>
      <c r="M59" s="2">
        <f>IF(J59="1000+", 1000, (LEFT(J59,FIND("-",J59)-1)+RIGHT(J59,LEN(J59)-FIND("-",J59)))/2)</f>
        <v>15</v>
      </c>
      <c r="N59" s="2">
        <f>ROUND(E59 * 0.7+F59 * 0.2+G59 * 0.1,2)</f>
        <v>71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55</v>
      </c>
      <c r="P59" s="2">
        <f>E59 - O59</f>
        <v>22</v>
      </c>
      <c r="Q59" s="2">
        <f>ROUND(
  SIGN(P59)*
  IF(ABS(P59)&lt;=10,ABS(P59)*0.5,
     IF(ABS(P59)&lt;=15,5+(ABS(P59)-10)*(1.67/5),
        6.67+(ABS(P59)-15)*0.333)),
2)</f>
        <v>9</v>
      </c>
    </row>
    <row r="60" spans="1:17" ht="34.5" customHeight="1" x14ac:dyDescent="0.3">
      <c r="B60" s="2">
        <v>59</v>
      </c>
      <c r="C60" s="15">
        <v>80</v>
      </c>
      <c r="D60" s="10" t="s">
        <v>117</v>
      </c>
      <c r="E60" s="6">
        <v>80</v>
      </c>
      <c r="F60" s="7">
        <v>60</v>
      </c>
      <c r="G60" s="6">
        <v>80</v>
      </c>
      <c r="H60" s="2" t="s">
        <v>118</v>
      </c>
      <c r="I60" s="2" t="s">
        <v>119</v>
      </c>
      <c r="J60" s="3" t="s">
        <v>120</v>
      </c>
      <c r="M60" s="2">
        <f>IF(J60="1000+", 1000, (LEFT(J60,FIND("-",J60)-1)+RIGHT(J60,LEN(J60)-FIND("-",J60)))/2)</f>
        <v>60</v>
      </c>
      <c r="N60" s="2">
        <f>ROUND(E60 * 0.7+F60 * 0.2+G60 * 0.1,2)</f>
        <v>76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79.8</v>
      </c>
      <c r="D61" s="2" t="s">
        <v>137</v>
      </c>
      <c r="E61" s="6">
        <v>85</v>
      </c>
      <c r="F61" s="7">
        <v>68</v>
      </c>
      <c r="G61" s="2">
        <v>52</v>
      </c>
      <c r="H61" s="2" t="s">
        <v>138</v>
      </c>
      <c r="I61" s="2" t="s">
        <v>27</v>
      </c>
      <c r="J61" s="3" t="s">
        <v>28</v>
      </c>
      <c r="K61" s="2" t="s">
        <v>27</v>
      </c>
      <c r="M61" s="2">
        <f>IF(J61="1000+", 1000, (LEFT(J61,FIND("-",J61)-1)+RIGHT(J61,LEN(J61)-FIND("-",J61)))/2)</f>
        <v>200</v>
      </c>
      <c r="N61" s="2">
        <f>ROUND(E61 * 0.7+F61 * 0.2+G61 * 0.1,2)</f>
        <v>78.3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82</v>
      </c>
      <c r="P61" s="2">
        <f>E61 - O61</f>
        <v>3</v>
      </c>
      <c r="Q61" s="2">
        <f>ROUND(
  SIGN(P61)*
  IF(ABS(P61)&lt;=10,ABS(P61)*0.5,
     IF(ABS(P61)&lt;=15,5+(ABS(P61)-10)*(1.67/5),
        6.67+(ABS(P61)-15)*0.333)),
2)</f>
        <v>1.5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79.739999999999995</v>
      </c>
      <c r="D62" s="2" t="s">
        <v>1376</v>
      </c>
      <c r="E62" s="6">
        <v>82</v>
      </c>
      <c r="F62" s="2">
        <v>55</v>
      </c>
      <c r="G62" s="2">
        <v>50</v>
      </c>
      <c r="H62" s="2" t="s">
        <v>1382</v>
      </c>
      <c r="I62" s="2" t="s">
        <v>1388</v>
      </c>
      <c r="J62" s="3" t="s">
        <v>1393</v>
      </c>
      <c r="K62" s="2" t="s">
        <v>1379</v>
      </c>
      <c r="M62" s="2">
        <f>IF(J62="1000+", 1000, (LEFT(J62,FIND("-",J62)-1)+RIGHT(J62,LEN(J62)-FIND("-",J62)))/2)</f>
        <v>60</v>
      </c>
      <c r="N62" s="2">
        <f>ROUND(E62 * 0.7+F62 * 0.2+G62 * 0.1,2)</f>
        <v>73.400000000000006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68</v>
      </c>
      <c r="P62" s="2">
        <f>E62 - O62</f>
        <v>14</v>
      </c>
      <c r="Q62" s="2">
        <f>ROUND(
  SIGN(P62)*
  IF(ABS(P62)&lt;=10,ABS(P62)*0.5,
     IF(ABS(P62)&lt;=15,5+(ABS(P62)-10)*(1.67/5),
        6.67+(ABS(P62)-15)*0.333)),
2)</f>
        <v>6.34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</v>
      </c>
      <c r="D63" s="2" t="s">
        <v>2003</v>
      </c>
      <c r="E63" s="5">
        <v>78</v>
      </c>
      <c r="F63" s="7">
        <v>64</v>
      </c>
      <c r="G63" s="2">
        <v>53</v>
      </c>
      <c r="H63" s="2" t="s">
        <v>1256</v>
      </c>
      <c r="I63" s="2" t="s">
        <v>1300</v>
      </c>
      <c r="J63" s="3" t="s">
        <v>1263</v>
      </c>
      <c r="K63" s="2" t="s">
        <v>1531</v>
      </c>
      <c r="M63" s="2">
        <f>IF(J63="1000+", 1000, (LEFT(J63,FIND("-",J63)-1)+RIGHT(J63,LEN(J63)-FIND("-",J63)))/2)</f>
        <v>30</v>
      </c>
      <c r="N63" s="2">
        <f>ROUND(E63 * 0.7+F63 * 0.2+G63 * 0.1,2)</f>
        <v>72.7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16">
        <f>ROUND(MAX(MIN(N64 + Q64, 100), 0), 2)</f>
        <v>79.67</v>
      </c>
      <c r="D64" s="2" t="s">
        <v>131</v>
      </c>
      <c r="E64" s="5">
        <v>78</v>
      </c>
      <c r="F64" s="7">
        <v>66</v>
      </c>
      <c r="G64" s="2">
        <v>42</v>
      </c>
      <c r="H64" s="2" t="s">
        <v>31</v>
      </c>
      <c r="I64" s="2" t="s">
        <v>36</v>
      </c>
      <c r="J64" s="3" t="s">
        <v>132</v>
      </c>
      <c r="K64" s="2" t="s">
        <v>133</v>
      </c>
      <c r="M64" s="2">
        <f>IF(J64="1000+", 1000, (LEFT(J64,FIND("-",J64)-1)+RIGHT(J64,LEN(J64)-FIND("-",J64)))/2)</f>
        <v>20</v>
      </c>
      <c r="N64" s="2">
        <f>ROUND(E64 * 0.7+F64 * 0.2+G64 * 0.1,2)</f>
        <v>72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18</v>
      </c>
      <c r="Q64" s="2">
        <f>ROUND(
  SIGN(P64)*
  IF(ABS(P64)&lt;=10,ABS(P64)*0.5,
     IF(ABS(P64)&lt;=15,5+(ABS(P64)-10)*(1.67/5),
        6.67+(ABS(P64)-15)*0.333)),
2)</f>
        <v>7.67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79.599999999999994</v>
      </c>
      <c r="D65" s="2" t="s">
        <v>1973</v>
      </c>
      <c r="E65" s="5">
        <v>78</v>
      </c>
      <c r="F65" s="2">
        <v>58</v>
      </c>
      <c r="G65" s="2">
        <v>24</v>
      </c>
      <c r="H65" s="2" t="s">
        <v>1993</v>
      </c>
      <c r="I65" s="2" t="s">
        <v>36</v>
      </c>
      <c r="J65" s="3" t="s">
        <v>1574</v>
      </c>
      <c r="K65" s="2" t="s">
        <v>1817</v>
      </c>
      <c r="M65" s="2">
        <f>IF(J65="1000+", 1000, (LEFT(J65,FIND("-",J65)-1)+RIGHT(J65,LEN(J65)-FIND("-",J65)))/2)</f>
        <v>12.5</v>
      </c>
      <c r="N65" s="2">
        <f>ROUND(E65 * 0.7+F65 * 0.2+G65 * 0.1,2)</f>
        <v>68.599999999999994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50</v>
      </c>
      <c r="P65" s="2">
        <f>E65 - O65</f>
        <v>28</v>
      </c>
      <c r="Q65" s="2">
        <f>ROUND(
  SIGN(P65)*
  IF(ABS(P65)&lt;=10,ABS(P65)*0.5,
     IF(ABS(P65)&lt;=15,5+(ABS(P65)-10)*(1.67/5),
        6.67+(ABS(P65)-15)*0.333)),
2)</f>
        <v>11</v>
      </c>
    </row>
    <row r="66" spans="1:17" ht="34.5" customHeight="1" x14ac:dyDescent="0.3">
      <c r="B66" s="2">
        <v>65</v>
      </c>
      <c r="C66" s="16">
        <f>ROUND(MAX(MIN(N66 + Q66, 100), 0), 2)</f>
        <v>79.569999999999993</v>
      </c>
      <c r="D66" s="2" t="s">
        <v>144</v>
      </c>
      <c r="E66" s="5">
        <v>77</v>
      </c>
      <c r="F66" s="7">
        <v>62</v>
      </c>
      <c r="G66" s="7">
        <v>66</v>
      </c>
      <c r="H66" s="2" t="s">
        <v>145</v>
      </c>
      <c r="I66" s="2" t="s">
        <v>13</v>
      </c>
      <c r="J66" s="3" t="s">
        <v>146</v>
      </c>
      <c r="K66" s="2" t="s">
        <v>147</v>
      </c>
      <c r="M66" s="2">
        <f>IF(J66="1000+", 1000, (LEFT(J66,FIND("-",J66)-1)+RIGHT(J66,LEN(J66)-FIND("-",J66)))/2)</f>
        <v>30</v>
      </c>
      <c r="N66" s="2">
        <f>ROUND(E66 * 0.7+F66 * 0.2+G66 * 0.1,2)</f>
        <v>72.900000000000006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15</v>
      </c>
      <c r="Q66" s="2">
        <f>ROUND(
  SIGN(P66)*
  IF(ABS(P66)&lt;=10,ABS(P66)*0.5,
     IF(ABS(P66)&lt;=15,5+(ABS(P66)-10)*(1.67/5),
        6.67+(ABS(P66)-15)*0.333)),
2)</f>
        <v>6.67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79.400000000000006</v>
      </c>
      <c r="D67" s="2" t="s">
        <v>1893</v>
      </c>
      <c r="E67" s="6">
        <v>81</v>
      </c>
      <c r="F67" s="2">
        <v>48</v>
      </c>
      <c r="G67" s="2">
        <v>51</v>
      </c>
      <c r="H67" s="2" t="s">
        <v>1421</v>
      </c>
      <c r="I67" s="2" t="s">
        <v>1259</v>
      </c>
      <c r="J67" s="3" t="s">
        <v>1263</v>
      </c>
      <c r="K67" s="2" t="s">
        <v>1438</v>
      </c>
      <c r="M67" s="2">
        <f>IF(J67="1000+", 1000, (LEFT(J67,FIND("-",J67)-1)+RIGHT(J67,LEN(J67)-FIND("-",J67)))/2)</f>
        <v>30</v>
      </c>
      <c r="N67" s="2">
        <f>ROUND(E67 * 0.7+F67 * 0.2+G67 * 0.1,2)</f>
        <v>71.400000000000006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62</v>
      </c>
      <c r="P67" s="2">
        <f>E67 - O67</f>
        <v>19</v>
      </c>
      <c r="Q67" s="2">
        <f>ROUND(
  SIGN(P67)*
  IF(ABS(P67)&lt;=10,ABS(P67)*0.5,
     IF(ABS(P67)&lt;=15,5+(ABS(P67)-10)*(1.67/5),
        6.67+(ABS(P67)-15)*0.333)),
2)</f>
        <v>8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79.33</v>
      </c>
      <c r="D68" s="2" t="s">
        <v>1891</v>
      </c>
      <c r="E68" s="6">
        <v>81</v>
      </c>
      <c r="F68" s="7">
        <v>60</v>
      </c>
      <c r="G68" s="2">
        <v>53</v>
      </c>
      <c r="H68" s="2" t="s">
        <v>1421</v>
      </c>
      <c r="I68" s="2" t="s">
        <v>36</v>
      </c>
      <c r="J68" s="3" t="s">
        <v>1264</v>
      </c>
      <c r="K68" s="2" t="s">
        <v>1439</v>
      </c>
      <c r="M68" s="2">
        <f>IF(J68="1000+", 1000, (LEFT(J68,FIND("-",J68)-1)+RIGHT(J68,LEN(J68)-FIND("-",J68)))/2)</f>
        <v>75</v>
      </c>
      <c r="N68" s="2">
        <f>ROUND(E68 * 0.7+F68 * 0.2+G68 * 0.1,2)</f>
        <v>74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70</v>
      </c>
      <c r="P68" s="2">
        <f>E68 - O68</f>
        <v>11</v>
      </c>
      <c r="Q68" s="2">
        <f>ROUND(
  SIGN(P68)*
  IF(ABS(P68)&lt;=10,ABS(P68)*0.5,
     IF(ABS(P68)&lt;=15,5+(ABS(P68)-10)*(1.67/5),
        6.67+(ABS(P68)-15)*0.333)),
2)</f>
        <v>5.33</v>
      </c>
    </row>
    <row r="69" spans="1:17" ht="34.5" customHeight="1" x14ac:dyDescent="0.3">
      <c r="B69" s="2">
        <v>68</v>
      </c>
      <c r="C69" s="16">
        <f>ROUND(MAX(MIN(N69 + Q69, 100), 0), 2)</f>
        <v>79.27</v>
      </c>
      <c r="D69" s="2" t="s">
        <v>168</v>
      </c>
      <c r="E69" s="6">
        <v>80</v>
      </c>
      <c r="F69" s="7">
        <v>62</v>
      </c>
      <c r="G69" s="2">
        <v>52</v>
      </c>
      <c r="H69" s="2" t="s">
        <v>85</v>
      </c>
      <c r="I69" s="2" t="s">
        <v>22</v>
      </c>
      <c r="J69" s="3" t="s">
        <v>23</v>
      </c>
      <c r="K69" s="2" t="s">
        <v>169</v>
      </c>
      <c r="M69" s="2">
        <f>IF(J69="1000+", 1000, (LEFT(J69,FIND("-",J69)-1)+RIGHT(J69,LEN(J69)-FIND("-",J69)))/2)</f>
        <v>60</v>
      </c>
      <c r="N69" s="2">
        <f>ROUND(E69 * 0.7+F69 * 0.2+G69 * 0.1,2)</f>
        <v>73.599999999999994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68</v>
      </c>
      <c r="P69" s="2">
        <f>E69 - O69</f>
        <v>12</v>
      </c>
      <c r="Q69" s="2">
        <f>ROUND(
  SIGN(P69)*
  IF(ABS(P69)&lt;=10,ABS(P69)*0.5,
     IF(ABS(P69)&lt;=15,5+(ABS(P69)-10)*(1.67/5),
        6.67+(ABS(P69)-15)*0.333)),
2)</f>
        <v>5.67</v>
      </c>
    </row>
    <row r="70" spans="1:17" ht="34.5" customHeight="1" x14ac:dyDescent="0.3">
      <c r="B70" s="2">
        <v>69</v>
      </c>
      <c r="C70" s="16">
        <f>ROUND(MAX(MIN(N70 + Q70, 100), 0), 2)</f>
        <v>79.099999999999994</v>
      </c>
      <c r="D70" s="2" t="s">
        <v>268</v>
      </c>
      <c r="E70" s="6">
        <v>85</v>
      </c>
      <c r="F70" s="2">
        <v>53</v>
      </c>
      <c r="G70" s="2">
        <v>40</v>
      </c>
      <c r="H70" s="2" t="s">
        <v>71</v>
      </c>
      <c r="I70" s="2" t="s">
        <v>218</v>
      </c>
      <c r="J70" s="3" t="s">
        <v>140</v>
      </c>
      <c r="K70" s="2" t="s">
        <v>1684</v>
      </c>
      <c r="M70" s="2">
        <f>IF(J70="1000+", 1000, (LEFT(J70,FIND("-",J70)-1)+RIGHT(J70,LEN(J70)-FIND("-",J70)))/2)</f>
        <v>115</v>
      </c>
      <c r="N70" s="2">
        <f>ROUND(E70 * 0.7+F70 * 0.2+G70 * 0.1,2)</f>
        <v>74.099999999999994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75</v>
      </c>
      <c r="P70" s="2">
        <f>E70 - O70</f>
        <v>10</v>
      </c>
      <c r="Q70" s="2">
        <f>ROUND(
  SIGN(P70)*
  IF(ABS(P70)&lt;=10,ABS(P70)*0.5,
     IF(ABS(P70)&lt;=15,5+(ABS(P70)-10)*(1.67/5),
        6.67+(ABS(P70)-15)*0.333)),
2)</f>
        <v>5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79.03</v>
      </c>
      <c r="D71" s="2" t="s">
        <v>1464</v>
      </c>
      <c r="E71" s="6">
        <v>81</v>
      </c>
      <c r="F71" s="2">
        <v>52</v>
      </c>
      <c r="G71" s="7">
        <v>66</v>
      </c>
      <c r="H71" s="2" t="s">
        <v>1474</v>
      </c>
      <c r="I71" s="2" t="s">
        <v>1476</v>
      </c>
      <c r="J71" s="3" t="s">
        <v>1480</v>
      </c>
      <c r="K71" s="2" t="s">
        <v>1469</v>
      </c>
      <c r="M71" s="2">
        <f>IF(J71="1000+", 1000, (LEFT(J71,FIND("-",J71)-1)+RIGHT(J71,LEN(J71)-FIND("-",J71)))/2)</f>
        <v>75</v>
      </c>
      <c r="N71" s="2">
        <f>ROUND(E71 * 0.7+F71 * 0.2+G71 * 0.1,2)</f>
        <v>73.7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70</v>
      </c>
      <c r="P71" s="2">
        <f>E71 - O71</f>
        <v>11</v>
      </c>
      <c r="Q71" s="2">
        <f>ROUND(
  SIGN(P71)*
  IF(ABS(P71)&lt;=10,ABS(P71)*0.5,
     IF(ABS(P71)&lt;=15,5+(ABS(P71)-10)*(1.67/5),
        6.67+(ABS(P71)-15)*0.333)),
2)</f>
        <v>5.33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79</v>
      </c>
      <c r="D72" s="2" t="s">
        <v>1815</v>
      </c>
      <c r="E72" s="5">
        <v>79</v>
      </c>
      <c r="F72" s="2">
        <v>55</v>
      </c>
      <c r="G72" s="2">
        <v>47</v>
      </c>
      <c r="H72" s="2" t="s">
        <v>1256</v>
      </c>
      <c r="I72" s="2" t="s">
        <v>36</v>
      </c>
      <c r="J72" s="3" t="s">
        <v>1261</v>
      </c>
      <c r="K72" s="2" t="s">
        <v>1817</v>
      </c>
      <c r="M72" s="2">
        <f>IF(J72="1000+", 1000, (LEFT(J72,FIND("-",J72)-1)+RIGHT(J72,LEN(J72)-FIND("-",J72)))/2)</f>
        <v>20</v>
      </c>
      <c r="N72" s="2">
        <f>ROUND(E72 * 0.7+F72 * 0.2+G72 * 0.1,2)</f>
        <v>71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19</v>
      </c>
      <c r="Q72" s="2">
        <f>ROUND(
  SIGN(P72)*
  IF(ABS(P72)&lt;=10,ABS(P72)*0.5,
     IF(ABS(P72)&lt;=15,5+(ABS(P72)-10)*(1.67/5),
        6.67+(ABS(P72)-15)*0.333)),
2)</f>
        <v>8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78.87</v>
      </c>
      <c r="D73" s="2" t="s">
        <v>1921</v>
      </c>
      <c r="E73" s="5">
        <v>72</v>
      </c>
      <c r="F73" s="5">
        <v>78</v>
      </c>
      <c r="G73" s="5">
        <v>72</v>
      </c>
      <c r="H73" s="2" t="s">
        <v>1483</v>
      </c>
      <c r="I73" s="2" t="s">
        <v>36</v>
      </c>
      <c r="J73" s="3" t="s">
        <v>1261</v>
      </c>
      <c r="M73" s="2">
        <f>IF(J73="1000+", 1000, (LEFT(J73,FIND("-",J73)-1)+RIGHT(J73,LEN(J73)-FIND("-",J73)))/2)</f>
        <v>20</v>
      </c>
      <c r="N73" s="2">
        <f>ROUND(E73 * 0.7+F73 * 0.2+G73 * 0.1,2)</f>
        <v>73.2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12</v>
      </c>
      <c r="Q73" s="2">
        <f>ROUND(
  SIGN(P73)*
  IF(ABS(P73)&lt;=10,ABS(P73)*0.5,
     IF(ABS(P73)&lt;=15,5+(ABS(P73)-10)*(1.67/5),
        6.67+(ABS(P73)-15)*0.333)),
2)</f>
        <v>5.67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78.8</v>
      </c>
      <c r="D74" s="2" t="s">
        <v>1914</v>
      </c>
      <c r="E74" s="5">
        <v>78</v>
      </c>
      <c r="F74" s="7">
        <v>65</v>
      </c>
      <c r="G74" s="5">
        <v>72</v>
      </c>
      <c r="H74" s="2" t="s">
        <v>1256</v>
      </c>
      <c r="I74" s="2" t="s">
        <v>1568</v>
      </c>
      <c r="J74" s="3" t="s">
        <v>1264</v>
      </c>
      <c r="M74" s="2">
        <f>IF(J74="1000+", 1000, (LEFT(J74,FIND("-",J74)-1)+RIGHT(J74,LEN(J74)-FIND("-",J74)))/2)</f>
        <v>75</v>
      </c>
      <c r="N74" s="2">
        <f>ROUND(E74 * 0.7+F74 * 0.2+G74 * 0.1,2)</f>
        <v>74.8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8</v>
      </c>
      <c r="Q74" s="2">
        <f>ROUND(
  SIGN(P74)*
  IF(ABS(P74)&lt;=10,ABS(P74)*0.5,
     IF(ABS(P74)&lt;=15,5+(ABS(P74)-10)*(1.67/5),
        6.67+(ABS(P74)-15)*0.333)),
2)</f>
        <v>4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78.77</v>
      </c>
      <c r="D75" s="2" t="s">
        <v>1984</v>
      </c>
      <c r="E75" s="5">
        <v>77</v>
      </c>
      <c r="F75" s="2">
        <v>58</v>
      </c>
      <c r="G75" s="2">
        <v>26</v>
      </c>
      <c r="H75" s="2" t="s">
        <v>1994</v>
      </c>
      <c r="I75" s="2" t="s">
        <v>36</v>
      </c>
      <c r="J75" s="3" t="s">
        <v>1574</v>
      </c>
      <c r="M75" s="2">
        <f>IF(J75="1000+", 1000, (LEFT(J75,FIND("-",J75)-1)+RIGHT(J75,LEN(J75)-FIND("-",J75)))/2)</f>
        <v>12.5</v>
      </c>
      <c r="N75" s="2">
        <f>ROUND(E75 * 0.7+F75 * 0.2+G75 * 0.1,2)</f>
        <v>68.099999999999994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50</v>
      </c>
      <c r="P75" s="2">
        <f>E75 - O75</f>
        <v>27</v>
      </c>
      <c r="Q75" s="2">
        <f>ROUND(
  SIGN(P75)*
  IF(ABS(P75)&lt;=10,ABS(P75)*0.5,
     IF(ABS(P75)&lt;=15,5+(ABS(P75)-10)*(1.67/5),
        6.67+(ABS(P75)-15)*0.333)),
2)</f>
        <v>10.67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78.7</v>
      </c>
      <c r="D76" s="2" t="s">
        <v>1756</v>
      </c>
      <c r="E76" s="5">
        <v>78</v>
      </c>
      <c r="F76" s="7">
        <v>61</v>
      </c>
      <c r="G76" s="2">
        <v>49</v>
      </c>
      <c r="H76" s="2" t="s">
        <v>1760</v>
      </c>
      <c r="I76" s="2" t="s">
        <v>36</v>
      </c>
      <c r="J76" s="3" t="s">
        <v>1774</v>
      </c>
      <c r="K76" s="2" t="s">
        <v>1757</v>
      </c>
      <c r="M76" s="2">
        <f>IF(J76="1000+", 1000, (LEFT(J76,FIND("-",J76)-1)+RIGHT(J76,LEN(J76)-FIND("-",J76)))/2)</f>
        <v>30</v>
      </c>
      <c r="N76" s="2">
        <f>ROUND(E76 * 0.7+F76 * 0.2+G76 * 0.1,2)</f>
        <v>71.7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16</v>
      </c>
      <c r="Q76" s="2">
        <f>ROUND(
  SIGN(P76)*
  IF(ABS(P76)&lt;=10,ABS(P76)*0.5,
     IF(ABS(P76)&lt;=15,5+(ABS(P76)-10)*(1.67/5),
        6.67+(ABS(P76)-15)*0.333)),
2)</f>
        <v>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78.67</v>
      </c>
      <c r="D77" s="11" t="s">
        <v>1251</v>
      </c>
      <c r="E77" s="5">
        <v>77</v>
      </c>
      <c r="F77" s="7">
        <v>67</v>
      </c>
      <c r="G77" s="2">
        <v>47</v>
      </c>
      <c r="H77" s="11" t="s">
        <v>1256</v>
      </c>
      <c r="I77" s="2" t="s">
        <v>36</v>
      </c>
      <c r="J77" s="19" t="s">
        <v>1263</v>
      </c>
      <c r="K77" s="11" t="s">
        <v>1267</v>
      </c>
      <c r="M77" s="2">
        <f>IF(J77="1000+", 1000, (LEFT(J77,FIND("-",J77)-1)+RIGHT(J77,LEN(J77)-FIND("-",J77)))/2)</f>
        <v>30</v>
      </c>
      <c r="N77" s="2">
        <f>ROUND(E77 * 0.7+F77 * 0.2+G77 * 0.1,2)</f>
        <v>72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15</v>
      </c>
      <c r="Q77" s="2">
        <f>ROUND(
  SIGN(P77)*
  IF(ABS(P77)&lt;=10,ABS(P77)*0.5,
     IF(ABS(P77)&lt;=15,5+(ABS(P77)-10)*(1.67/5),
        6.67+(ABS(P77)-15)*0.333)),
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78.599999999999994</v>
      </c>
      <c r="D78" s="2" t="s">
        <v>1989</v>
      </c>
      <c r="E78" s="6">
        <v>80</v>
      </c>
      <c r="F78" s="7">
        <v>60</v>
      </c>
      <c r="G78" s="7">
        <v>66</v>
      </c>
      <c r="H78" s="2" t="s">
        <v>1994</v>
      </c>
      <c r="I78" s="2" t="s">
        <v>1258</v>
      </c>
      <c r="J78" s="3" t="s">
        <v>1279</v>
      </c>
      <c r="K78" s="2" t="s">
        <v>1992</v>
      </c>
      <c r="M78" s="2">
        <f>IF(J78="1000+", 1000, (LEFT(J78,FIND("-",J78)-1)+RIGHT(J78,LEN(J78)-FIND("-",J78)))/2)</f>
        <v>105</v>
      </c>
      <c r="N78" s="2">
        <f>ROUND(E78 * 0.7+F78 * 0.2+G78 * 0.1,2)</f>
        <v>74.599999999999994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72</v>
      </c>
      <c r="P78" s="2">
        <f>E78 - O78</f>
        <v>8</v>
      </c>
      <c r="Q78" s="2">
        <f>ROUND(
  SIGN(P78)*
  IF(ABS(P78)&lt;=10,ABS(P78)*0.5,
     IF(ABS(P78)&lt;=15,5+(ABS(P78)-10)*(1.67/5),
        6.67+(ABS(P78)-15)*0.333)),
2)</f>
        <v>4</v>
      </c>
    </row>
    <row r="79" spans="1:17" ht="34.5" customHeight="1" x14ac:dyDescent="0.3">
      <c r="B79" s="2">
        <v>78</v>
      </c>
      <c r="C79" s="16">
        <f>ROUND(MAX(MIN(N79 + Q79, 100), 0), 2)</f>
        <v>78.540000000000006</v>
      </c>
      <c r="D79" s="2" t="s">
        <v>196</v>
      </c>
      <c r="E79" s="6">
        <v>82</v>
      </c>
      <c r="F79" s="2">
        <v>54</v>
      </c>
      <c r="G79" s="2">
        <v>30</v>
      </c>
      <c r="H79" s="2" t="s">
        <v>197</v>
      </c>
      <c r="I79" s="2" t="s">
        <v>72</v>
      </c>
      <c r="J79" s="3" t="s">
        <v>32</v>
      </c>
      <c r="K79" s="2" t="s">
        <v>198</v>
      </c>
      <c r="M79" s="2">
        <f>IF(J79="1000+", 1000, (LEFT(J79,FIND("-",J79)-1)+RIGHT(J79,LEN(J79)-FIND("-",J79)))/2)</f>
        <v>45</v>
      </c>
      <c r="N79" s="2">
        <f>ROUND(E79 * 0.7+F79 * 0.2+G79 * 0.1,2)</f>
        <v>71.2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65</v>
      </c>
      <c r="P79" s="2">
        <f>E79 - O79</f>
        <v>17</v>
      </c>
      <c r="Q79" s="2">
        <f>ROUND(
  SIGN(P79)*
  IF(ABS(P79)&lt;=10,ABS(P79)*0.5,
     IF(ABS(P79)&lt;=15,5+(ABS(P79)-10)*(1.67/5),
        6.67+(ABS(P79)-15)*0.333)),
2)</f>
        <v>7.34</v>
      </c>
    </row>
    <row r="80" spans="1:17" ht="34.5" customHeight="1" x14ac:dyDescent="0.3">
      <c r="B80" s="2">
        <v>79</v>
      </c>
      <c r="C80" s="16">
        <f>ROUND(MAX(MIN(N80 + Q80, 100), 0), 2)</f>
        <v>78.540000000000006</v>
      </c>
      <c r="D80" s="2" t="s">
        <v>195</v>
      </c>
      <c r="E80" s="5">
        <v>77</v>
      </c>
      <c r="F80" s="7">
        <v>60</v>
      </c>
      <c r="G80" s="2">
        <v>53</v>
      </c>
      <c r="H80" s="2" t="s">
        <v>31</v>
      </c>
      <c r="I80" s="2" t="s">
        <v>36</v>
      </c>
      <c r="J80" s="3" t="s">
        <v>132</v>
      </c>
      <c r="M80" s="2">
        <f>IF(J80="1000+", 1000, (LEFT(J80,FIND("-",J80)-1)+RIGHT(J80,LEN(J80)-FIND("-",J80)))/2)</f>
        <v>20</v>
      </c>
      <c r="N80" s="2">
        <f>ROUND(E80 * 0.7+F80 * 0.2+G80 * 0.1,2)</f>
        <v>71.2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60</v>
      </c>
      <c r="P80" s="2">
        <f>E80 - O80</f>
        <v>17</v>
      </c>
      <c r="Q80" s="2">
        <f>ROUND(
  SIGN(P80)*
  IF(ABS(P80)&lt;=10,ABS(P80)*0.5,
     IF(ABS(P80)&lt;=15,5+(ABS(P80)-10)*(1.67/5),
        6.67+(ABS(P80)-15)*0.333)),
2)</f>
        <v>7.34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1609</v>
      </c>
      <c r="E81" s="5">
        <v>79</v>
      </c>
      <c r="F81" s="2">
        <v>55</v>
      </c>
      <c r="G81" s="2">
        <v>42</v>
      </c>
      <c r="H81" s="2" t="s">
        <v>1617</v>
      </c>
      <c r="I81" s="2" t="s">
        <v>36</v>
      </c>
      <c r="J81" s="3" t="s">
        <v>1623</v>
      </c>
      <c r="K81" s="2" t="s">
        <v>1629</v>
      </c>
      <c r="M81" s="2">
        <f>IF(J81="1000+", 1000, (LEFT(J81,FIND("-",J81)-1)+RIGHT(J81,LEN(J81)-FIND("-",J81)))/2)</f>
        <v>20</v>
      </c>
      <c r="N81" s="2">
        <f>ROUND(E81 * 0.7+F81 * 0.2+G81 * 0.1,2)</f>
        <v>70.5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19</v>
      </c>
      <c r="Q81" s="2">
        <f>ROUND(
  SIGN(P81)*
  IF(ABS(P81)&lt;=10,ABS(P81)*0.5,
     IF(ABS(P81)&lt;=15,5+(ABS(P81)-10)*(1.67/5),
        6.67+(ABS(P81)-15)*0.333)),
2)</f>
        <v>8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78.5</v>
      </c>
      <c r="D82" s="2" t="s">
        <v>1631</v>
      </c>
      <c r="E82" s="5">
        <v>78</v>
      </c>
      <c r="F82" s="2">
        <v>58</v>
      </c>
      <c r="G82" s="2">
        <v>53</v>
      </c>
      <c r="H82" s="2" t="s">
        <v>1644</v>
      </c>
      <c r="I82" s="2" t="s">
        <v>36</v>
      </c>
      <c r="J82" s="3" t="s">
        <v>1654</v>
      </c>
      <c r="K82" s="2" t="s">
        <v>1661</v>
      </c>
      <c r="M82" s="2">
        <f>IF(J82="1000+", 1000, (LEFT(J82,FIND("-",J82)-1)+RIGHT(J82,LEN(J82)-FIND("-",J82)))/2)</f>
        <v>30</v>
      </c>
      <c r="N82" s="2">
        <f>ROUND(E82 * 0.7+F82 * 0.2+G82 * 0.1,2)</f>
        <v>71.5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>E82 - O82</f>
        <v>16</v>
      </c>
      <c r="Q82" s="2">
        <f>ROUND(
  SIGN(P82)*
  IF(ABS(P82)&lt;=10,ABS(P82)*0.5,
     IF(ABS(P82)&lt;=15,5+(ABS(P82)-10)*(1.67/5),
        6.67+(ABS(P82)-15)*0.333)),
2)</f>
        <v>7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78.5</v>
      </c>
      <c r="D83" s="2" t="s">
        <v>1969</v>
      </c>
      <c r="E83" s="6">
        <v>80</v>
      </c>
      <c r="F83" s="5">
        <v>76</v>
      </c>
      <c r="G83" s="5">
        <v>73</v>
      </c>
      <c r="H83" s="2" t="s">
        <v>1256</v>
      </c>
      <c r="I83" s="2" t="s">
        <v>1258</v>
      </c>
      <c r="J83" s="3" t="s">
        <v>1260</v>
      </c>
      <c r="K83" s="2" t="s">
        <v>1971</v>
      </c>
      <c r="M83" s="2">
        <f>IF(J83="1000+", 1000, (LEFT(J83,FIND("-",J83)-1)+RIGHT(J83,LEN(J83)-FIND("-",J83)))/2)</f>
        <v>150</v>
      </c>
      <c r="N83" s="2">
        <f>ROUND(E83 * 0.7+F83 * 0.2+G83 * 0.1,2)</f>
        <v>78.5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80</v>
      </c>
      <c r="P83" s="2">
        <f>E83 - O83</f>
        <v>0</v>
      </c>
      <c r="Q83" s="2">
        <f>ROUND(
  SIGN(P83)*
  IF(ABS(P83)&lt;=10,ABS(P83)*0.5,
     IF(ABS(P83)&lt;=15,5+(ABS(P83)-10)*(1.67/5),
        6.67+(ABS(P83)-15)*0.333)),
2)</f>
        <v>0</v>
      </c>
    </row>
    <row r="84" spans="1:17" ht="34.5" customHeight="1" x14ac:dyDescent="0.3">
      <c r="B84" s="2">
        <v>83</v>
      </c>
      <c r="C84" s="16">
        <f>ROUND(MAX(MIN(N84 + Q84, 100), 0), 2)</f>
        <v>78.430000000000007</v>
      </c>
      <c r="D84" s="2" t="s">
        <v>124</v>
      </c>
      <c r="E84" s="5">
        <v>78</v>
      </c>
      <c r="F84" s="2">
        <v>50</v>
      </c>
      <c r="G84" s="2">
        <v>45</v>
      </c>
      <c r="H84" s="2" t="s">
        <v>31</v>
      </c>
      <c r="I84" s="2" t="s">
        <v>36</v>
      </c>
      <c r="J84" s="3" t="s">
        <v>37</v>
      </c>
      <c r="K84" s="2" t="s">
        <v>125</v>
      </c>
      <c r="M84" s="2">
        <f>IF(J84="1000+", 1000, (LEFT(J84,FIND("-",J84)-1)+RIGHT(J84,LEN(J84)-FIND("-",J84)))/2)</f>
        <v>15</v>
      </c>
      <c r="N84" s="2">
        <f>ROUND(E84 * 0.7+F84 * 0.2+G84 * 0.1,2)</f>
        <v>69.099999999999994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23</v>
      </c>
      <c r="Q84" s="2">
        <f>ROUND(
  SIGN(P84)*
  IF(ABS(P84)&lt;=10,ABS(P84)*0.5,
     IF(ABS(P84)&lt;=15,5+(ABS(P84)-10)*(1.67/5),
        6.67+(ABS(P84)-15)*0.333)),
2)</f>
        <v>9.33</v>
      </c>
    </row>
    <row r="85" spans="1:17" ht="34.5" customHeight="1" x14ac:dyDescent="0.3">
      <c r="B85" s="2">
        <v>84</v>
      </c>
      <c r="C85" s="16">
        <f>ROUND(MAX(MIN(N85 + Q85, 100), 0), 2)</f>
        <v>78.34</v>
      </c>
      <c r="D85" s="2" t="s">
        <v>129</v>
      </c>
      <c r="E85" s="5">
        <v>75</v>
      </c>
      <c r="F85" s="5">
        <v>70</v>
      </c>
      <c r="G85" s="2">
        <v>35</v>
      </c>
      <c r="H85" s="2" t="s">
        <v>31</v>
      </c>
      <c r="I85" s="2" t="s">
        <v>36</v>
      </c>
      <c r="J85" s="3" t="s">
        <v>37</v>
      </c>
      <c r="K85" s="2" t="s">
        <v>130</v>
      </c>
      <c r="M85" s="2">
        <f>IF(J85="1000+", 1000, (LEFT(J85,FIND("-",J85)-1)+RIGHT(J85,LEN(J85)-FIND("-",J85)))/2)</f>
        <v>15</v>
      </c>
      <c r="N85" s="2">
        <f>ROUND(E85 * 0.7+F85 * 0.2+G85 * 0.1,2)</f>
        <v>70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20</v>
      </c>
      <c r="Q85" s="2">
        <f>ROUND(
  SIGN(P85)*
  IF(ABS(P85)&lt;=10,ABS(P85)*0.5,
     IF(ABS(P85)&lt;=15,5+(ABS(P85)-10)*(1.67/5),
        6.67+(ABS(P85)-15)*0.333)),
2)</f>
        <v>8.34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78.23</v>
      </c>
      <c r="D86" s="2" t="s">
        <v>1826</v>
      </c>
      <c r="E86" s="5">
        <v>78</v>
      </c>
      <c r="F86" s="2">
        <v>48</v>
      </c>
      <c r="G86" s="2">
        <v>47</v>
      </c>
      <c r="H86" s="2" t="s">
        <v>1256</v>
      </c>
      <c r="I86" s="2" t="s">
        <v>36</v>
      </c>
      <c r="J86" s="3" t="s">
        <v>1266</v>
      </c>
      <c r="K86" s="2" t="s">
        <v>1827</v>
      </c>
      <c r="M86" s="2">
        <f>IF(J86="1000+", 1000, (LEFT(J86,FIND("-",J86)-1)+RIGHT(J86,LEN(J86)-FIND("-",J86)))/2)</f>
        <v>15</v>
      </c>
      <c r="N86" s="2">
        <f>ROUND(E86 * 0.7+F86 * 0.2+G86 * 0.1,2)</f>
        <v>68.900000000000006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55</v>
      </c>
      <c r="P86" s="2">
        <f>E86 - O86</f>
        <v>23</v>
      </c>
      <c r="Q86" s="2">
        <f>ROUND(
  SIGN(P86)*
  IF(ABS(P86)&lt;=10,ABS(P86)*0.5,
     IF(ABS(P86)&lt;=15,5+(ABS(P86)-10)*(1.67/5),
        6.67+(ABS(P86)-15)*0.333)),
2)</f>
        <v>9.33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78.14</v>
      </c>
      <c r="D87" s="2" t="s">
        <v>1449</v>
      </c>
      <c r="E87" s="5">
        <v>79</v>
      </c>
      <c r="F87" s="2">
        <v>55</v>
      </c>
      <c r="G87" s="2">
        <v>45</v>
      </c>
      <c r="H87" s="2" t="s">
        <v>1443</v>
      </c>
      <c r="I87" s="2" t="s">
        <v>1452</v>
      </c>
      <c r="J87" s="3" t="s">
        <v>1457</v>
      </c>
      <c r="K87" s="2" t="s">
        <v>1458</v>
      </c>
      <c r="M87" s="2">
        <f>IF(J87="1000+", 1000, (LEFT(J87,FIND("-",J87)-1)+RIGHT(J87,LEN(J87)-FIND("-",J87)))/2)</f>
        <v>30</v>
      </c>
      <c r="N87" s="2">
        <f>ROUND(E87 * 0.7+F87 * 0.2+G87 * 0.1,2)</f>
        <v>70.8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62</v>
      </c>
      <c r="P87" s="2">
        <f>E87 - O87</f>
        <v>17</v>
      </c>
      <c r="Q87" s="2">
        <f>ROUND(
  SIGN(P87)*
  IF(ABS(P87)&lt;=10,ABS(P87)*0.5,
     IF(ABS(P87)&lt;=15,5+(ABS(P87)-10)*(1.67/5),
        6.67+(ABS(P87)-15)*0.333)),
2)</f>
        <v>7.34</v>
      </c>
    </row>
    <row r="88" spans="1:17" ht="34.5" customHeight="1" x14ac:dyDescent="0.3">
      <c r="B88" s="2">
        <v>87</v>
      </c>
      <c r="C88" s="16">
        <f>ROUND(MAX(MIN(N88 + Q88, 100), 0), 2)</f>
        <v>78.099999999999994</v>
      </c>
      <c r="D88" s="2" t="s">
        <v>200</v>
      </c>
      <c r="E88" s="5">
        <v>79</v>
      </c>
      <c r="F88" s="7">
        <v>60</v>
      </c>
      <c r="G88" s="7">
        <v>63</v>
      </c>
      <c r="H88" s="2" t="s">
        <v>135</v>
      </c>
      <c r="I88" s="2" t="s">
        <v>201</v>
      </c>
      <c r="J88" s="3" t="s">
        <v>18</v>
      </c>
      <c r="M88" s="2">
        <f>IF(J88="1000+", 1000, (LEFT(J88,FIND("-",J88)-1)+RIGHT(J88,LEN(J88)-FIND("-",J88)))/2)</f>
        <v>75</v>
      </c>
      <c r="N88" s="2">
        <f>ROUND(E88 * 0.7+F88 * 0.2+G88 * 0.1,2)</f>
        <v>73.599999999999994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70</v>
      </c>
      <c r="P88" s="2">
        <f>E88 - O88</f>
        <v>9</v>
      </c>
      <c r="Q88" s="2">
        <f>ROUND(
  SIGN(P88)*
  IF(ABS(P88)&lt;=10,ABS(P88)*0.5,
     IF(ABS(P88)&lt;=15,5+(ABS(P88)-10)*(1.67/5),
        6.67+(ABS(P88)-15)*0.333)),
2)</f>
        <v>4.5</v>
      </c>
    </row>
    <row r="89" spans="1:17" ht="34.5" customHeight="1" x14ac:dyDescent="0.3">
      <c r="B89" s="2">
        <v>88</v>
      </c>
      <c r="C89" s="16">
        <f>ROUND(MAX(MIN(N89 + Q89, 100), 0), 2)</f>
        <v>78.099999999999994</v>
      </c>
      <c r="D89" s="2" t="s">
        <v>180</v>
      </c>
      <c r="E89" s="5">
        <v>77</v>
      </c>
      <c r="F89" s="2">
        <v>59</v>
      </c>
      <c r="G89" s="2">
        <v>34</v>
      </c>
      <c r="H89" s="2" t="s">
        <v>91</v>
      </c>
      <c r="I89" s="2" t="s">
        <v>36</v>
      </c>
      <c r="J89" s="3" t="s">
        <v>37</v>
      </c>
      <c r="K89" s="2" t="s">
        <v>181</v>
      </c>
      <c r="M89" s="2">
        <f>IF(J89="1000+", 1000, (LEFT(J89,FIND("-",J89)-1)+RIGHT(J89,LEN(J89)-FIND("-",J89)))/2)</f>
        <v>15</v>
      </c>
      <c r="N89" s="2">
        <f>ROUND(E89 * 0.7+F89 * 0.2+G89 * 0.1,2)</f>
        <v>69.099999999999994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55</v>
      </c>
      <c r="P89" s="2">
        <f>E89 - O89</f>
        <v>22</v>
      </c>
      <c r="Q89" s="2">
        <f>ROUND(
  SIGN(P89)*
  IF(ABS(P89)&lt;=10,ABS(P89)*0.5,
     IF(ABS(P89)&lt;=15,5+(ABS(P89)-10)*(1.67/5),
        6.67+(ABS(P89)-15)*0.333)),
2)</f>
        <v>9</v>
      </c>
    </row>
    <row r="90" spans="1:17" ht="34.5" customHeight="1" x14ac:dyDescent="0.3">
      <c r="B90" s="2">
        <v>89</v>
      </c>
      <c r="C90" s="16">
        <f>ROUND(MAX(MIN(N90 + Q90, 100), 0), 2)</f>
        <v>78.069999999999993</v>
      </c>
      <c r="D90" s="2" t="s">
        <v>1489</v>
      </c>
      <c r="E90" s="5">
        <v>77</v>
      </c>
      <c r="F90" s="2">
        <v>59</v>
      </c>
      <c r="G90" s="2">
        <v>57</v>
      </c>
      <c r="H90" s="2" t="s">
        <v>48</v>
      </c>
      <c r="I90" s="2" t="s">
        <v>218</v>
      </c>
      <c r="J90" s="3" t="s">
        <v>146</v>
      </c>
      <c r="K90" s="2" t="s">
        <v>1490</v>
      </c>
      <c r="M90" s="2">
        <f>IF(J90="1000+", 1000, (LEFT(J90,FIND("-",J90)-1)+RIGHT(J90,LEN(J90)-FIND("-",J90)))/2)</f>
        <v>30</v>
      </c>
      <c r="N90" s="2">
        <f>ROUND(E90 * 0.7+F90 * 0.2+G90 * 0.1,2)</f>
        <v>71.400000000000006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62</v>
      </c>
      <c r="P90" s="2">
        <f>E90 - O90</f>
        <v>15</v>
      </c>
      <c r="Q90" s="2">
        <f>ROUND(
  SIGN(P90)*
  IF(ABS(P90)&lt;=10,ABS(P90)*0.5,
     IF(ABS(P90)&lt;=15,5+(ABS(P90)-10)*(1.67/5),
        6.67+(ABS(P90)-15)*0.333)),
2)</f>
        <v>6.67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78</v>
      </c>
      <c r="D91" s="2" t="s">
        <v>1941</v>
      </c>
      <c r="E91" s="5">
        <v>76</v>
      </c>
      <c r="F91" s="7">
        <v>63</v>
      </c>
      <c r="G91" s="2">
        <v>52</v>
      </c>
      <c r="H91" s="2" t="s">
        <v>1483</v>
      </c>
      <c r="I91" s="2" t="s">
        <v>36</v>
      </c>
      <c r="J91" s="3" t="s">
        <v>1261</v>
      </c>
      <c r="K91" s="2" t="s">
        <v>1942</v>
      </c>
      <c r="M91" s="2">
        <f>IF(J91="1000+", 1000, (LEFT(J91,FIND("-",J91)-1)+RIGHT(J91,LEN(J91)-FIND("-",J91)))/2)</f>
        <v>20</v>
      </c>
      <c r="N91" s="2">
        <f>ROUND(E91 * 0.7+F91 * 0.2+G91 * 0.1,2)</f>
        <v>71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60</v>
      </c>
      <c r="P91" s="2">
        <f>E91 - O91</f>
        <v>16</v>
      </c>
      <c r="Q91" s="2">
        <f>ROUND(
  SIGN(P91)*
  IF(ABS(P91)&lt;=10,ABS(P91)*0.5,
     IF(ABS(P91)&lt;=15,5+(ABS(P91)-10)*(1.67/5),
        6.67+(ABS(P91)-15)*0.333)),
2)</f>
        <v>7</v>
      </c>
    </row>
    <row r="92" spans="1:17" ht="34.5" customHeight="1" x14ac:dyDescent="0.3">
      <c r="B92" s="2">
        <v>91</v>
      </c>
      <c r="C92" s="16">
        <f>ROUND(MAX(MIN(N92 + Q92, 100), 0), 2)</f>
        <v>77.900000000000006</v>
      </c>
      <c r="D92" s="2" t="s">
        <v>248</v>
      </c>
      <c r="E92" s="5">
        <v>77</v>
      </c>
      <c r="F92" s="2">
        <v>57</v>
      </c>
      <c r="G92" s="2">
        <v>36</v>
      </c>
      <c r="H92" s="2" t="s">
        <v>91</v>
      </c>
      <c r="I92" s="2" t="s">
        <v>36</v>
      </c>
      <c r="J92" s="3" t="s">
        <v>37</v>
      </c>
      <c r="K92" s="2" t="s">
        <v>249</v>
      </c>
      <c r="M92" s="2">
        <f>IF(J92="1000+", 1000, (LEFT(J92,FIND("-",J92)-1)+RIGHT(J92,LEN(J92)-FIND("-",J92)))/2)</f>
        <v>15</v>
      </c>
      <c r="N92" s="2">
        <f>ROUND(E92 * 0.7+F92 * 0.2+G92 * 0.1,2)</f>
        <v>68.900000000000006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55</v>
      </c>
      <c r="P92" s="2">
        <f>E92 - O92</f>
        <v>22</v>
      </c>
      <c r="Q92" s="2">
        <f>ROUND(
  SIGN(P92)*
  IF(ABS(P92)&lt;=10,ABS(P92)*0.5,
     IF(ABS(P92)&lt;=15,5+(ABS(P92)-10)*(1.67/5),
        6.67+(ABS(P92)-15)*0.333)),
2)</f>
        <v>9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77.900000000000006</v>
      </c>
      <c r="D93" s="2" t="s">
        <v>1929</v>
      </c>
      <c r="E93" s="5">
        <v>79</v>
      </c>
      <c r="F93" s="5">
        <v>77</v>
      </c>
      <c r="G93" s="2">
        <v>52</v>
      </c>
      <c r="H93" s="2" t="s">
        <v>1257</v>
      </c>
      <c r="I93" s="2" t="s">
        <v>1527</v>
      </c>
      <c r="J93" s="3" t="s">
        <v>1301</v>
      </c>
      <c r="K93" s="2" t="s">
        <v>1931</v>
      </c>
      <c r="M93" s="2">
        <f>IF(J93="1000+", 1000, (LEFT(J93,FIND("-",J93)-1)+RIGHT(J93,LEN(J93)-FIND("-",J93)))/2)</f>
        <v>115</v>
      </c>
      <c r="N93" s="2">
        <f>ROUND(E93 * 0.7+F93 * 0.2+G93 * 0.1,2)</f>
        <v>75.900000000000006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75</v>
      </c>
      <c r="P93" s="2">
        <f>E93 - O93</f>
        <v>4</v>
      </c>
      <c r="Q93" s="2">
        <f>ROUND(
  SIGN(P93)*
  IF(ABS(P93)&lt;=10,ABS(P93)*0.5,
     IF(ABS(P93)&lt;=15,5+(ABS(P93)-10)*(1.67/5),
        6.67+(ABS(P93)-15)*0.333)),
2)</f>
        <v>2</v>
      </c>
    </row>
    <row r="94" spans="1:17" ht="34.5" customHeight="1" x14ac:dyDescent="0.3">
      <c r="B94" s="2">
        <v>93</v>
      </c>
      <c r="C94" s="16">
        <f>ROUND(MAX(MIN(N94 + Q94, 100), 0), 2)</f>
        <v>77.8</v>
      </c>
      <c r="D94" s="2" t="s">
        <v>230</v>
      </c>
      <c r="E94" s="5">
        <v>78</v>
      </c>
      <c r="F94" s="7">
        <v>65</v>
      </c>
      <c r="G94" s="7">
        <v>62</v>
      </c>
      <c r="H94" s="2" t="s">
        <v>104</v>
      </c>
      <c r="I94" s="2" t="s">
        <v>22</v>
      </c>
      <c r="J94" s="3" t="s">
        <v>18</v>
      </c>
      <c r="K94" s="2" t="s">
        <v>231</v>
      </c>
      <c r="M94" s="2">
        <f>IF(J94="1000+", 1000, (LEFT(J94,FIND("-",J94)-1)+RIGHT(J94,LEN(J94)-FIND("-",J94)))/2)</f>
        <v>75</v>
      </c>
      <c r="N94" s="2">
        <f>ROUND(E94 * 0.7+F94 * 0.2+G94 * 0.1,2)</f>
        <v>73.8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70</v>
      </c>
      <c r="P94" s="2">
        <f>E94 - O94</f>
        <v>8</v>
      </c>
      <c r="Q94" s="2">
        <f>ROUND(
  SIGN(P94)*
  IF(ABS(P94)&lt;=10,ABS(P94)*0.5,
     IF(ABS(P94)&lt;=15,5+(ABS(P94)-10)*(1.67/5),
        6.67+(ABS(P94)-15)*0.333)),
2)</f>
        <v>4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77.77</v>
      </c>
      <c r="D95" s="2" t="s">
        <v>1932</v>
      </c>
      <c r="E95" s="5">
        <v>78</v>
      </c>
      <c r="F95" s="7">
        <v>60</v>
      </c>
      <c r="G95" s="2">
        <v>35</v>
      </c>
      <c r="H95" s="2" t="s">
        <v>1944</v>
      </c>
      <c r="I95" s="2" t="s">
        <v>36</v>
      </c>
      <c r="J95" s="3" t="s">
        <v>1261</v>
      </c>
      <c r="K95" s="2" t="s">
        <v>1933</v>
      </c>
      <c r="M95" s="2">
        <f>IF(J95="1000+", 1000, (LEFT(J95,FIND("-",J95)-1)+RIGHT(J95,LEN(J95)-FIND("-",J95)))/2)</f>
        <v>20</v>
      </c>
      <c r="N95" s="2">
        <f>ROUND(E95 * 0.7+F95 * 0.2+G95 * 0.1,2)</f>
        <v>70.099999999999994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60</v>
      </c>
      <c r="P95" s="2">
        <f>E95 - O95</f>
        <v>18</v>
      </c>
      <c r="Q95" s="2">
        <f>ROUND(
  SIGN(P95)*
  IF(ABS(P95)&lt;=10,ABS(P95)*0.5,
     IF(ABS(P95)&lt;=15,5+(ABS(P95)-10)*(1.67/5),
        6.67+(ABS(P95)-15)*0.333)),
2)</f>
        <v>7.67</v>
      </c>
    </row>
    <row r="96" spans="1:17" ht="34.5" customHeight="1" x14ac:dyDescent="0.3">
      <c r="B96" s="2">
        <v>95</v>
      </c>
      <c r="C96" s="16">
        <f>ROUND(MAX(MIN(N96 + Q96, 100), 0), 2)</f>
        <v>77.73</v>
      </c>
      <c r="D96" s="2" t="s">
        <v>148</v>
      </c>
      <c r="E96" s="5">
        <v>73</v>
      </c>
      <c r="F96" s="6">
        <v>83</v>
      </c>
      <c r="G96" s="2">
        <v>47</v>
      </c>
      <c r="H96" s="2" t="s">
        <v>149</v>
      </c>
      <c r="I96" s="2" t="s">
        <v>17</v>
      </c>
      <c r="J96" s="3" t="s">
        <v>146</v>
      </c>
      <c r="M96" s="2">
        <f>IF(J96="1000+", 1000, (LEFT(J96,FIND("-",J96)-1)+RIGHT(J96,LEN(J96)-FIND("-",J96)))/2)</f>
        <v>30</v>
      </c>
      <c r="N96" s="2">
        <f>ROUND(E96 * 0.7+F96 * 0.2+G96 * 0.1,2)</f>
        <v>72.400000000000006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62</v>
      </c>
      <c r="P96" s="2">
        <f>E96 - O96</f>
        <v>11</v>
      </c>
      <c r="Q96" s="2">
        <f>ROUND(
  SIGN(P96)*
  IF(ABS(P96)&lt;=10,ABS(P96)*0.5,
     IF(ABS(P96)&lt;=15,5+(ABS(P96)-10)*(1.67/5),
        6.67+(ABS(P96)-15)*0.333)),
2)</f>
        <v>5.33</v>
      </c>
    </row>
    <row r="97" spans="1:17" ht="34.5" customHeight="1" x14ac:dyDescent="0.3">
      <c r="A97" s="2">
        <v>2026</v>
      </c>
      <c r="B97" s="2">
        <v>96</v>
      </c>
      <c r="C97" s="16">
        <f>ROUND(MAX(MIN(N97 + Q97, 100), 0), 2)</f>
        <v>77.67</v>
      </c>
      <c r="D97" s="2" t="s">
        <v>1558</v>
      </c>
      <c r="E97" s="5">
        <v>77</v>
      </c>
      <c r="F97" s="7">
        <v>62</v>
      </c>
      <c r="G97" s="2">
        <v>57</v>
      </c>
      <c r="H97" s="2" t="s">
        <v>1565</v>
      </c>
      <c r="I97" s="2" t="s">
        <v>1568</v>
      </c>
      <c r="J97" s="3" t="s">
        <v>1569</v>
      </c>
      <c r="K97" s="2" t="s">
        <v>1562</v>
      </c>
      <c r="M97" s="2">
        <f>IF(J97="1000+", 1000, (LEFT(J97,FIND("-",J97)-1)+RIGHT(J97,LEN(J97)-FIND("-",J97)))/2)</f>
        <v>45</v>
      </c>
      <c r="N97" s="2">
        <f>ROUND(E97 * 0.7+F97 * 0.2+G97 * 0.1,2)</f>
        <v>72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65</v>
      </c>
      <c r="P97" s="2">
        <f>E97 - O97</f>
        <v>12</v>
      </c>
      <c r="Q97" s="2">
        <f>ROUND(
  SIGN(P97)*
  IF(ABS(P97)&lt;=10,ABS(P97)*0.5,
     IF(ABS(P97)&lt;=15,5+(ABS(P97)-10)*(1.67/5),
        6.67+(ABS(P97)-15)*0.333)),
2)</f>
        <v>5.67</v>
      </c>
    </row>
    <row r="98" spans="1:17" ht="34.5" customHeight="1" x14ac:dyDescent="0.3">
      <c r="B98" s="2">
        <v>97</v>
      </c>
      <c r="C98" s="16">
        <f>ROUND(MAX(MIN(N98 + Q98, 100), 0), 2)</f>
        <v>77.5</v>
      </c>
      <c r="D98" s="2" t="s">
        <v>270</v>
      </c>
      <c r="E98" s="6">
        <v>81</v>
      </c>
      <c r="F98" s="7">
        <v>61</v>
      </c>
      <c r="G98" s="2">
        <v>56</v>
      </c>
      <c r="H98" s="2" t="s">
        <v>85</v>
      </c>
      <c r="I98" s="2" t="s">
        <v>36</v>
      </c>
      <c r="J98" s="3" t="s">
        <v>140</v>
      </c>
      <c r="K98" s="2" t="s">
        <v>271</v>
      </c>
      <c r="M98" s="2">
        <f>IF(J98="1000+", 1000, (LEFT(J98,FIND("-",J98)-1)+RIGHT(J98,LEN(J98)-FIND("-",J98)))/2)</f>
        <v>115</v>
      </c>
      <c r="N98" s="2">
        <f>ROUND(E98 * 0.7+F98 * 0.2+G98 * 0.1,2)</f>
        <v>74.5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75</v>
      </c>
      <c r="P98" s="2">
        <f>E98 - O98</f>
        <v>6</v>
      </c>
      <c r="Q98" s="2">
        <f>ROUND(
  SIGN(P98)*
  IF(ABS(P98)&lt;=10,ABS(P98)*0.5,
     IF(ABS(P98)&lt;=15,5+(ABS(P98)-10)*(1.67/5),
        6.67+(ABS(P98)-15)*0.333)),
2)</f>
        <v>3</v>
      </c>
    </row>
    <row r="99" spans="1:17" ht="34.5" customHeight="1" x14ac:dyDescent="0.3">
      <c r="B99" s="2">
        <v>98</v>
      </c>
      <c r="C99" s="16">
        <f>ROUND(MAX(MIN(N99 + Q99, 100), 0), 2)</f>
        <v>77.5</v>
      </c>
      <c r="D99" s="2" t="s">
        <v>182</v>
      </c>
      <c r="E99" s="6">
        <v>80</v>
      </c>
      <c r="F99" s="4">
        <v>90</v>
      </c>
      <c r="G99" s="6">
        <v>85</v>
      </c>
      <c r="H99" s="2" t="s">
        <v>48</v>
      </c>
      <c r="I99" s="2" t="s">
        <v>183</v>
      </c>
      <c r="J99" s="3" t="s">
        <v>42</v>
      </c>
      <c r="M99" s="2">
        <f>IF(J99="1000+", 1000, (LEFT(J99,FIND("-",J99)-1)+RIGHT(J99,LEN(J99)-FIND("-",J99)))/2)</f>
        <v>600</v>
      </c>
      <c r="N99" s="2">
        <f>ROUND(E99 * 0.7+F99 * 0.2+G99 * 0.1,2)</f>
        <v>82.5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90</v>
      </c>
      <c r="P99" s="2">
        <f>E99 - O99</f>
        <v>-10</v>
      </c>
      <c r="Q99" s="2">
        <f>ROUND(
  SIGN(P99)*
  IF(ABS(P99)&lt;=10,ABS(P99)*0.5,
     IF(ABS(P99)&lt;=15,5+(ABS(P99)-10)*(1.67/5),
        6.67+(ABS(P99)-15)*0.333)),
2)</f>
        <v>-5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77.400000000000006</v>
      </c>
      <c r="D100" s="2" t="s">
        <v>1922</v>
      </c>
      <c r="E100" s="5">
        <v>78</v>
      </c>
      <c r="F100" s="7">
        <v>63</v>
      </c>
      <c r="G100" s="2">
        <v>52</v>
      </c>
      <c r="H100" s="2" t="s">
        <v>1483</v>
      </c>
      <c r="I100" s="2" t="s">
        <v>1259</v>
      </c>
      <c r="J100" s="3" t="s">
        <v>1302</v>
      </c>
      <c r="K100" s="2" t="s">
        <v>1923</v>
      </c>
      <c r="M100" s="2">
        <f>IF(J100="1000+", 1000, (LEFT(J100,FIND("-",J100)-1)+RIGHT(J100,LEN(J100)-FIND("-",J100)))/2)</f>
        <v>60</v>
      </c>
      <c r="N100" s="2">
        <f>ROUND(E100 * 0.7+F100 * 0.2+G100 * 0.1,2)</f>
        <v>72.400000000000006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68</v>
      </c>
      <c r="P100" s="2">
        <f>E100 - O100</f>
        <v>10</v>
      </c>
      <c r="Q100" s="2">
        <f>ROUND(
  SIGN(P100)*
  IF(ABS(P100)&lt;=10,ABS(P100)*0.5,
     IF(ABS(P100)&lt;=15,5+(ABS(P100)-10)*(1.67/5),
        6.67+(ABS(P100)-15)*0.333)),
2)</f>
        <v>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77.400000000000006</v>
      </c>
      <c r="D101" s="2" t="s">
        <v>1752</v>
      </c>
      <c r="E101" s="6">
        <v>80</v>
      </c>
      <c r="F101" s="7">
        <v>62</v>
      </c>
      <c r="G101" s="2">
        <v>50</v>
      </c>
      <c r="H101" s="2" t="s">
        <v>1760</v>
      </c>
      <c r="I101" s="2" t="s">
        <v>1764</v>
      </c>
      <c r="J101" s="3" t="s">
        <v>1775</v>
      </c>
      <c r="K101" s="2" t="s">
        <v>1759</v>
      </c>
      <c r="M101" s="2">
        <f>IF(J101="1000+", 1000, (LEFT(J101,FIND("-",J101)-1)+RIGHT(J101,LEN(J101)-FIND("-",J101)))/2)</f>
        <v>105</v>
      </c>
      <c r="N101" s="2">
        <f>ROUND(E101 * 0.7+F101 * 0.2+G101 * 0.1,2)</f>
        <v>73.400000000000006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72</v>
      </c>
      <c r="P101" s="2">
        <f>E101 - O101</f>
        <v>8</v>
      </c>
      <c r="Q101" s="2">
        <f>ROUND(
  SIGN(P101)*
  IF(ABS(P101)&lt;=10,ABS(P101)*0.5,
     IF(ABS(P101)&lt;=15,5+(ABS(P101)-10)*(1.67/5),
        6.67+(ABS(P101)-15)*0.333)),
2)</f>
        <v>4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77.400000000000006</v>
      </c>
      <c r="D102" s="2" t="s">
        <v>1605</v>
      </c>
      <c r="E102" s="5">
        <v>77</v>
      </c>
      <c r="F102" s="7">
        <v>65</v>
      </c>
      <c r="G102" s="5">
        <v>70</v>
      </c>
      <c r="H102" s="2" t="s">
        <v>1615</v>
      </c>
      <c r="I102" s="2" t="s">
        <v>1619</v>
      </c>
      <c r="J102" s="3" t="s">
        <v>1625</v>
      </c>
      <c r="M102" s="2">
        <f>IF(J102="1000+", 1000, (LEFT(J102,FIND("-",J102)-1)+RIGHT(J102,LEN(J102)-FIND("-",J102)))/2)</f>
        <v>75</v>
      </c>
      <c r="N102" s="2">
        <f>ROUND(E102 * 0.7+F102 * 0.2+G102 * 0.1,2)</f>
        <v>73.900000000000006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70</v>
      </c>
      <c r="P102" s="2">
        <f>E102 - O102</f>
        <v>7</v>
      </c>
      <c r="Q102" s="2">
        <f>ROUND(
  SIGN(P102)*
  IF(ABS(P102)&lt;=10,ABS(P102)*0.5,
     IF(ABS(P102)&lt;=15,5+(ABS(P102)-10)*(1.67/5),
        6.67+(ABS(P102)-15)*0.333)),
2)</f>
        <v>3.5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77.34</v>
      </c>
      <c r="D103" s="2" t="s">
        <v>1779</v>
      </c>
      <c r="E103" s="5">
        <v>76</v>
      </c>
      <c r="F103" s="7">
        <v>61</v>
      </c>
      <c r="G103" s="2">
        <v>56</v>
      </c>
      <c r="H103" s="2" t="s">
        <v>1256</v>
      </c>
      <c r="I103" s="2" t="s">
        <v>1259</v>
      </c>
      <c r="J103" s="3" t="s">
        <v>1263</v>
      </c>
      <c r="M103" s="2">
        <f>IF(J103="1000+", 1000, (LEFT(J103,FIND("-",J103)-1)+RIGHT(J103,LEN(J103)-FIND("-",J103)))/2)</f>
        <v>30</v>
      </c>
      <c r="N103" s="2">
        <f>ROUND(E103 * 0.7+F103 * 0.2+G103 * 0.1,2)</f>
        <v>71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62</v>
      </c>
      <c r="P103" s="2">
        <f>E103 - O103</f>
        <v>14</v>
      </c>
      <c r="Q103" s="2">
        <f>ROUND(
  SIGN(P103)*
  IF(ABS(P103)&lt;=10,ABS(P103)*0.5,
     IF(ABS(P103)&lt;=15,5+(ABS(P103)-10)*(1.67/5),
        6.67+(ABS(P103)-15)*0.333)),
2)</f>
        <v>6.34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77.34</v>
      </c>
      <c r="D104" s="2" t="s">
        <v>1420</v>
      </c>
      <c r="E104" s="5">
        <v>76</v>
      </c>
      <c r="F104" s="7">
        <v>60</v>
      </c>
      <c r="G104" s="2">
        <v>58</v>
      </c>
      <c r="H104" s="2" t="s">
        <v>1421</v>
      </c>
      <c r="I104" s="2" t="s">
        <v>1422</v>
      </c>
      <c r="J104" s="3" t="s">
        <v>1428</v>
      </c>
      <c r="M104" s="2">
        <f>IF(J104="1000+", 1000, (LEFT(J104,FIND("-",J104)-1)+RIGHT(J104,LEN(J104)-FIND("-",J104)))/2)</f>
        <v>30</v>
      </c>
      <c r="N104" s="2">
        <f>ROUND(E104 * 0.7+F104 * 0.2+G104 * 0.1,2)</f>
        <v>71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62</v>
      </c>
      <c r="P104" s="2">
        <f>E104 - O104</f>
        <v>14</v>
      </c>
      <c r="Q104" s="2">
        <f>ROUND(
  SIGN(P104)*
  IF(ABS(P104)&lt;=10,ABS(P104)*0.5,
     IF(ABS(P104)&lt;=15,5+(ABS(P104)-10)*(1.67/5),
        6.67+(ABS(P104)-15)*0.333)),
2)</f>
        <v>6.34</v>
      </c>
    </row>
    <row r="105" spans="1:17" ht="34.5" customHeight="1" x14ac:dyDescent="0.3">
      <c r="B105" s="2">
        <v>104</v>
      </c>
      <c r="C105" s="16">
        <f>ROUND(MAX(MIN(N105 + Q105, 100), 0), 2)</f>
        <v>77.3</v>
      </c>
      <c r="D105" s="2" t="s">
        <v>192</v>
      </c>
      <c r="E105" s="5">
        <v>76</v>
      </c>
      <c r="F105" s="7">
        <v>60</v>
      </c>
      <c r="G105" s="2">
        <v>51</v>
      </c>
      <c r="H105" s="2" t="s">
        <v>149</v>
      </c>
      <c r="I105" s="2" t="s">
        <v>36</v>
      </c>
      <c r="J105" s="3" t="s">
        <v>132</v>
      </c>
      <c r="K105" s="2" t="s">
        <v>193</v>
      </c>
      <c r="M105" s="2">
        <f>IF(J105="1000+", 1000, (LEFT(J105,FIND("-",J105)-1)+RIGHT(J105,LEN(J105)-FIND("-",J105)))/2)</f>
        <v>20</v>
      </c>
      <c r="N105" s="2">
        <f>ROUND(E105 * 0.7+F105 * 0.2+G105 * 0.1,2)</f>
        <v>70.3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60</v>
      </c>
      <c r="P105" s="2">
        <f>E105 - O105</f>
        <v>16</v>
      </c>
      <c r="Q105" s="2">
        <f>ROUND(
  SIGN(P105)*
  IF(ABS(P105)&lt;=10,ABS(P105)*0.5,
     IF(ABS(P105)&lt;=15,5+(ABS(P105)-10)*(1.67/5),
        6.67+(ABS(P105)-15)*0.333)),
2)</f>
        <v>7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77.099999999999994</v>
      </c>
      <c r="D106" s="2" t="s">
        <v>1581</v>
      </c>
      <c r="E106" s="5">
        <v>76</v>
      </c>
      <c r="F106" s="7">
        <v>60</v>
      </c>
      <c r="G106" s="2">
        <v>49</v>
      </c>
      <c r="H106" s="2" t="s">
        <v>1587</v>
      </c>
      <c r="I106" s="2" t="s">
        <v>36</v>
      </c>
      <c r="J106" s="3" t="s">
        <v>1596</v>
      </c>
      <c r="M106" s="2">
        <f>IF(J106="1000+", 1000, (LEFT(J106,FIND("-",J106)-1)+RIGHT(J106,LEN(J106)-FIND("-",J106)))/2)</f>
        <v>20</v>
      </c>
      <c r="N106" s="2">
        <f>ROUND(E106 * 0.7+F106 * 0.2+G106 * 0.1,2)</f>
        <v>70.099999999999994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60</v>
      </c>
      <c r="P106" s="2">
        <f>E106 - O106</f>
        <v>16</v>
      </c>
      <c r="Q106" s="2">
        <f>ROUND(
  SIGN(P106)*
  IF(ABS(P106)&lt;=10,ABS(P106)*0.5,
     IF(ABS(P106)&lt;=15,5+(ABS(P106)-10)*(1.67/5),
        6.67+(ABS(P106)-15)*0.333)),
2)</f>
        <v>7</v>
      </c>
    </row>
    <row r="107" spans="1:17" ht="34.5" customHeight="1" x14ac:dyDescent="0.3">
      <c r="B107" s="2">
        <v>106</v>
      </c>
      <c r="C107" s="16">
        <f>ROUND(MAX(MIN(N107 + Q107, 100), 0), 2)</f>
        <v>77.069999999999993</v>
      </c>
      <c r="D107" s="2" t="s">
        <v>232</v>
      </c>
      <c r="E107" s="6">
        <v>80</v>
      </c>
      <c r="F107" s="2">
        <v>54</v>
      </c>
      <c r="G107" s="2">
        <v>46</v>
      </c>
      <c r="H107" s="2" t="s">
        <v>224</v>
      </c>
      <c r="I107" s="2" t="s">
        <v>72</v>
      </c>
      <c r="J107" s="3" t="s">
        <v>23</v>
      </c>
      <c r="K107" s="2" t="s">
        <v>233</v>
      </c>
      <c r="M107" s="2">
        <f>IF(J107="1000+", 1000, (LEFT(J107,FIND("-",J107)-1)+RIGHT(J107,LEN(J107)-FIND("-",J107)))/2)</f>
        <v>60</v>
      </c>
      <c r="N107" s="2">
        <f>ROUND(E107 * 0.7+F107 * 0.2+G107 * 0.1,2)</f>
        <v>71.400000000000006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68</v>
      </c>
      <c r="P107" s="2">
        <f>E107 - O107</f>
        <v>12</v>
      </c>
      <c r="Q107" s="2">
        <f>ROUND(
  SIGN(P107)*
  IF(ABS(P107)&lt;=10,ABS(P107)*0.5,
     IF(ABS(P107)&lt;=15,5+(ABS(P107)-10)*(1.67/5),
        6.67+(ABS(P107)-15)*0.333)),
2)</f>
        <v>5.67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77.03</v>
      </c>
      <c r="D108" s="2" t="s">
        <v>2014</v>
      </c>
      <c r="E108" s="5">
        <v>76</v>
      </c>
      <c r="F108" s="2">
        <v>50</v>
      </c>
      <c r="G108" s="2">
        <v>35</v>
      </c>
      <c r="H108" s="2" t="s">
        <v>1617</v>
      </c>
      <c r="I108" s="2" t="s">
        <v>1288</v>
      </c>
      <c r="J108" s="3" t="s">
        <v>1574</v>
      </c>
      <c r="M108" s="2">
        <f>IF(J108="1000+", 1000, (LEFT(J108,FIND("-",J108)-1)+RIGHT(J108,LEN(J108)-FIND("-",J108)))/2)</f>
        <v>12.5</v>
      </c>
      <c r="N108" s="2">
        <f>ROUND(E108 * 0.7+F108 * 0.2+G108 * 0.1,2)</f>
        <v>66.7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50</v>
      </c>
      <c r="P108" s="2">
        <f>E108 - O108</f>
        <v>26</v>
      </c>
      <c r="Q108" s="2">
        <f>ROUND(
  SIGN(P108)*
  IF(ABS(P108)&lt;=10,ABS(P108)*0.5,
     IF(ABS(P108)&lt;=15,5+(ABS(P108)-10)*(1.67/5),
        6.67+(ABS(P108)-15)*0.333)),
2)</f>
        <v>10.33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77</v>
      </c>
      <c r="D109" s="2" t="s">
        <v>1412</v>
      </c>
      <c r="E109" s="5">
        <v>78</v>
      </c>
      <c r="F109" s="2">
        <v>57</v>
      </c>
      <c r="G109" s="2">
        <v>40</v>
      </c>
      <c r="H109" s="2" t="s">
        <v>1421</v>
      </c>
      <c r="I109" s="2" t="s">
        <v>1422</v>
      </c>
      <c r="J109" s="3" t="s">
        <v>1428</v>
      </c>
      <c r="K109" s="2" t="s">
        <v>1437</v>
      </c>
      <c r="M109" s="2">
        <f>IF(J109="1000+", 1000, (LEFT(J109,FIND("-",J109)-1)+RIGHT(J109,LEN(J109)-FIND("-",J109)))/2)</f>
        <v>30</v>
      </c>
      <c r="N109" s="2">
        <f>ROUND(E109 * 0.7+F109 * 0.2+G109 * 0.1,2)</f>
        <v>70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62</v>
      </c>
      <c r="P109" s="2">
        <f>E109 - O109</f>
        <v>16</v>
      </c>
      <c r="Q109" s="2">
        <f>ROUND(
  SIGN(P109)*
  IF(ABS(P109)&lt;=10,ABS(P109)*0.5,
     IF(ABS(P109)&lt;=15,5+(ABS(P109)-10)*(1.67/5),
        6.67+(ABS(P109)-15)*0.333)),
2)</f>
        <v>7</v>
      </c>
    </row>
    <row r="110" spans="1:17" ht="34.5" customHeight="1" x14ac:dyDescent="0.3">
      <c r="B110" s="2">
        <v>109</v>
      </c>
      <c r="C110" s="16">
        <f>ROUND(MAX(MIN(N110 + Q110, 100), 0), 2)</f>
        <v>77</v>
      </c>
      <c r="D110" s="2" t="s">
        <v>176</v>
      </c>
      <c r="E110" s="5">
        <v>77</v>
      </c>
      <c r="F110" s="5">
        <v>72</v>
      </c>
      <c r="G110" s="2">
        <v>52</v>
      </c>
      <c r="H110" s="2" t="s">
        <v>31</v>
      </c>
      <c r="I110" s="2" t="s">
        <v>177</v>
      </c>
      <c r="J110" s="3" t="s">
        <v>18</v>
      </c>
      <c r="K110" s="2" t="s">
        <v>178</v>
      </c>
      <c r="M110" s="2">
        <f>IF(J110="1000+", 1000, (LEFT(J110,FIND("-",J110)-1)+RIGHT(J110,LEN(J110)-FIND("-",J110)))/2)</f>
        <v>75</v>
      </c>
      <c r="N110" s="2">
        <f>ROUND(E110 * 0.7+F110 * 0.2+G110 * 0.1,2)</f>
        <v>73.5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70</v>
      </c>
      <c r="P110" s="2">
        <f>E110 - O110</f>
        <v>7</v>
      </c>
      <c r="Q110" s="2">
        <f>ROUND(
  SIGN(P110)*
  IF(ABS(P110)&lt;=10,ABS(P110)*0.5,
     IF(ABS(P110)&lt;=15,5+(ABS(P110)-10)*(1.67/5),
        6.67+(ABS(P110)-15)*0.333)),
2)</f>
        <v>3.5</v>
      </c>
    </row>
    <row r="111" spans="1:17" ht="34.5" customHeight="1" x14ac:dyDescent="0.3">
      <c r="B111" s="2">
        <v>110</v>
      </c>
      <c r="C111" s="16">
        <f>ROUND(MAX(MIN(N111 + Q111, 100), 0), 2)</f>
        <v>77</v>
      </c>
      <c r="D111" s="2" t="s">
        <v>99</v>
      </c>
      <c r="E111" s="6">
        <v>80</v>
      </c>
      <c r="F111" s="6">
        <v>80</v>
      </c>
      <c r="G111" s="6">
        <v>85</v>
      </c>
      <c r="H111" s="2" t="s">
        <v>31</v>
      </c>
      <c r="I111" s="2" t="s">
        <v>100</v>
      </c>
      <c r="J111" s="3" t="s">
        <v>65</v>
      </c>
      <c r="K111" s="2" t="s">
        <v>101</v>
      </c>
      <c r="M111" s="2">
        <f>IF(J111="1000+", 1000, (LEFT(J111,FIND("-",J111)-1)+RIGHT(J111,LEN(J111)-FIND("-",J111)))/2)</f>
        <v>250</v>
      </c>
      <c r="N111" s="2">
        <f>ROUND(E111 * 0.7+F111 * 0.2+G111 * 0.1,2)</f>
        <v>80.5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87</v>
      </c>
      <c r="P111" s="2">
        <f>E111 - O111</f>
        <v>-7</v>
      </c>
      <c r="Q111" s="2">
        <f>ROUND(
  SIGN(P111)*
  IF(ABS(P111)&lt;=10,ABS(P111)*0.5,
     IF(ABS(P111)&lt;=15,5+(ABS(P111)-10)*(1.67/5),
        6.67+(ABS(P111)-15)*0.333)),
2)</f>
        <v>-3.5</v>
      </c>
    </row>
    <row r="112" spans="1:17" ht="34.5" customHeight="1" x14ac:dyDescent="0.3">
      <c r="B112" s="2">
        <v>111</v>
      </c>
      <c r="C112" s="16">
        <f>ROUND(MAX(MIN(N112 + Q112, 100), 0), 2)</f>
        <v>76.900000000000006</v>
      </c>
      <c r="D112" s="2" t="s">
        <v>210</v>
      </c>
      <c r="E112" s="5">
        <v>78</v>
      </c>
      <c r="F112" s="7">
        <v>60</v>
      </c>
      <c r="G112" s="2">
        <v>53</v>
      </c>
      <c r="H112" s="2" t="s">
        <v>87</v>
      </c>
      <c r="I112" s="2" t="s">
        <v>22</v>
      </c>
      <c r="J112" s="3" t="s">
        <v>23</v>
      </c>
      <c r="K112" s="2" t="s">
        <v>211</v>
      </c>
      <c r="M112" s="2">
        <f>IF(J112="1000+", 1000, (LEFT(J112,FIND("-",J112)-1)+RIGHT(J112,LEN(J112)-FIND("-",J112)))/2)</f>
        <v>60</v>
      </c>
      <c r="N112" s="2">
        <f>ROUND(E112 * 0.7+F112 * 0.2+G112 * 0.1,2)</f>
        <v>71.900000000000006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68</v>
      </c>
      <c r="P112" s="2">
        <f>E112 - O112</f>
        <v>10</v>
      </c>
      <c r="Q112" s="2">
        <f>ROUND(
  SIGN(P112)*
  IF(ABS(P112)&lt;=10,ABS(P112)*0.5,
     IF(ABS(P112)&lt;=15,5+(ABS(P112)-10)*(1.67/5),
        6.67+(ABS(P112)-15)*0.333)),
2)</f>
        <v>5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76.84</v>
      </c>
      <c r="D113" s="11" t="s">
        <v>1270</v>
      </c>
      <c r="E113" s="5">
        <v>77</v>
      </c>
      <c r="F113" s="2">
        <v>52</v>
      </c>
      <c r="G113" s="2">
        <v>52</v>
      </c>
      <c r="H113" s="11" t="s">
        <v>1256</v>
      </c>
      <c r="I113" s="2" t="s">
        <v>36</v>
      </c>
      <c r="J113" s="19" t="s">
        <v>1261</v>
      </c>
      <c r="K113" s="11" t="s">
        <v>1278</v>
      </c>
      <c r="M113" s="2">
        <f>IF(J113="1000+", 1000, (LEFT(J113,FIND("-",J113)-1)+RIGHT(J113,LEN(J113)-FIND("-",J113)))/2)</f>
        <v>20</v>
      </c>
      <c r="N113" s="2">
        <f>ROUND(E113 * 0.7+F113 * 0.2+G113 * 0.1,2)</f>
        <v>69.5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60</v>
      </c>
      <c r="P113" s="2">
        <f>E113 - O113</f>
        <v>17</v>
      </c>
      <c r="Q113" s="2">
        <f>ROUND(
  SIGN(P113)*
  IF(ABS(P113)&lt;=10,ABS(P113)*0.5,
     IF(ABS(P113)&lt;=15,5+(ABS(P113)-10)*(1.67/5),
        6.67+(ABS(P113)-15)*0.333)),
2)</f>
        <v>7.34</v>
      </c>
    </row>
    <row r="114" spans="1:17" ht="34.5" customHeight="1" x14ac:dyDescent="0.3">
      <c r="B114" s="2">
        <v>113</v>
      </c>
      <c r="C114" s="16">
        <f>ROUND(MAX(MIN(N114 + Q114, 100), 0), 2)</f>
        <v>76.7</v>
      </c>
      <c r="D114" s="2" t="s">
        <v>243</v>
      </c>
      <c r="E114" s="6">
        <v>81</v>
      </c>
      <c r="F114" s="7">
        <v>60</v>
      </c>
      <c r="G114" s="2">
        <v>35</v>
      </c>
      <c r="H114" s="2" t="s">
        <v>12</v>
      </c>
      <c r="I114" s="2" t="s">
        <v>17</v>
      </c>
      <c r="J114" s="3" t="s">
        <v>122</v>
      </c>
      <c r="K114" s="2" t="s">
        <v>244</v>
      </c>
      <c r="M114" s="2">
        <f>IF(J114="1000+", 1000, (LEFT(J114,FIND("-",J114)-1)+RIGHT(J114,LEN(J114)-FIND("-",J114)))/2)</f>
        <v>105</v>
      </c>
      <c r="N114" s="2">
        <f>ROUND(E114 * 0.7+F114 * 0.2+G114 * 0.1,2)</f>
        <v>72.2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72</v>
      </c>
      <c r="P114" s="2">
        <f>E114 - O114</f>
        <v>9</v>
      </c>
      <c r="Q114" s="2">
        <f>ROUND(
  SIGN(P114)*
  IF(ABS(P114)&lt;=10,ABS(P114)*0.5,
     IF(ABS(P114)&lt;=15,5+(ABS(P114)-10)*(1.67/5),
        6.67+(ABS(P114)-15)*0.333)),
2)</f>
        <v>4.5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76.63</v>
      </c>
      <c r="D115" s="2" t="s">
        <v>1812</v>
      </c>
      <c r="E115" s="6">
        <v>80</v>
      </c>
      <c r="F115" s="4">
        <v>94</v>
      </c>
      <c r="G115" s="6">
        <v>85</v>
      </c>
      <c r="H115" s="2" t="s">
        <v>1800</v>
      </c>
      <c r="I115" s="2" t="s">
        <v>1732</v>
      </c>
      <c r="J115" s="3" t="s">
        <v>1824</v>
      </c>
      <c r="K115" s="2" t="s">
        <v>1814</v>
      </c>
      <c r="M115" s="2">
        <f>IF(J115="1000+", 1000, (LEFT(J115,FIND("-",J115)-1)+RIGHT(J115,LEN(J115)-FIND("-",J115)))/2)</f>
        <v>1000</v>
      </c>
      <c r="N115" s="2">
        <f>ROUND(E115 * 0.7+F115 * 0.2+G115 * 0.1,2)</f>
        <v>83.3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95</v>
      </c>
      <c r="P115" s="2">
        <f>E115 - O115</f>
        <v>-15</v>
      </c>
      <c r="Q115" s="2">
        <f>ROUND(
  SIGN(P115)*
  IF(ABS(P115)&lt;=10,ABS(P115)*0.5,
     IF(ABS(P115)&lt;=15,5+(ABS(P115)-10)*(1.67/5),
        6.67+(ABS(P115)-15)*0.333)),
2)</f>
        <v>-6.67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76.599999999999994</v>
      </c>
      <c r="D116" s="2" t="s">
        <v>1495</v>
      </c>
      <c r="E116" s="5">
        <v>75</v>
      </c>
      <c r="F116" s="5">
        <v>75</v>
      </c>
      <c r="G116" s="5">
        <v>76</v>
      </c>
      <c r="H116" s="2" t="s">
        <v>1519</v>
      </c>
      <c r="I116" s="2" t="s">
        <v>1524</v>
      </c>
      <c r="J116" s="3" t="s">
        <v>1485</v>
      </c>
      <c r="M116" s="2">
        <f>IF(J116="1000+", 1000, (LEFT(J116,FIND("-",J116)-1)+RIGHT(J116,LEN(J116)-FIND("-",J116)))/2)</f>
        <v>105</v>
      </c>
      <c r="N116" s="2">
        <f>ROUND(E116 * 0.7+F116 * 0.2+G116 * 0.1,2)</f>
        <v>75.099999999999994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72</v>
      </c>
      <c r="P116" s="2">
        <f>E116 - O116</f>
        <v>3</v>
      </c>
      <c r="Q116" s="2">
        <f>ROUND(
  SIGN(P116)*
  IF(ABS(P116)&lt;=10,ABS(P116)*0.5,
     IF(ABS(P116)&lt;=15,5+(ABS(P116)-10)*(1.67/5),
        6.67+(ABS(P116)-15)*0.333)),
2)</f>
        <v>1.5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76.540000000000006</v>
      </c>
      <c r="D117" s="11" t="s">
        <v>1347</v>
      </c>
      <c r="E117" s="5">
        <v>79</v>
      </c>
      <c r="F117" s="2">
        <v>52</v>
      </c>
      <c r="G117" s="2">
        <v>45</v>
      </c>
      <c r="H117" s="11" t="s">
        <v>1256</v>
      </c>
      <c r="I117" s="11" t="s">
        <v>1334</v>
      </c>
      <c r="J117" s="19" t="s">
        <v>1262</v>
      </c>
      <c r="K117" s="11" t="s">
        <v>1351</v>
      </c>
      <c r="M117" s="2">
        <f>IF(J117="1000+", 1000, (LEFT(J117,FIND("-",J117)-1)+RIGHT(J117,LEN(J117)-FIND("-",J117)))/2)</f>
        <v>45</v>
      </c>
      <c r="N117" s="2">
        <f>ROUND(E117 * 0.7+F117 * 0.2+G117 * 0.1,2)</f>
        <v>70.2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65</v>
      </c>
      <c r="P117" s="2">
        <f>E117 - O117</f>
        <v>14</v>
      </c>
      <c r="Q117" s="2">
        <f>ROUND(
  SIGN(P117)*
  IF(ABS(P117)&lt;=10,ABS(P117)*0.5,
     IF(ABS(P117)&lt;=15,5+(ABS(P117)-10)*(1.67/5),
        6.67+(ABS(P117)-15)*0.333)),
2)</f>
        <v>6.34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76.5</v>
      </c>
      <c r="D118" s="2" t="s">
        <v>1411</v>
      </c>
      <c r="E118" s="6">
        <v>81</v>
      </c>
      <c r="F118" s="2">
        <v>56</v>
      </c>
      <c r="G118" s="2">
        <v>56</v>
      </c>
      <c r="H118" s="2" t="s">
        <v>1421</v>
      </c>
      <c r="I118" s="2" t="s">
        <v>1423</v>
      </c>
      <c r="J118" s="3" t="s">
        <v>1433</v>
      </c>
      <c r="K118" s="2" t="s">
        <v>1436</v>
      </c>
      <c r="M118" s="2">
        <f>IF(J118="1000+", 1000, (LEFT(J118,FIND("-",J118)-1)+RIGHT(J118,LEN(J118)-FIND("-",J118)))/2)</f>
        <v>115</v>
      </c>
      <c r="N118" s="2">
        <f>ROUND(E118 * 0.7+F118 * 0.2+G118 * 0.1,2)</f>
        <v>73.5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75</v>
      </c>
      <c r="P118" s="2">
        <f>E118 - O118</f>
        <v>6</v>
      </c>
      <c r="Q118" s="2">
        <f>ROUND(
  SIGN(P118)*
  IF(ABS(P118)&lt;=10,ABS(P118)*0.5,
     IF(ABS(P118)&lt;=15,5+(ABS(P118)-10)*(1.67/5),
        6.67+(ABS(P118)-15)*0.333)),
2)</f>
        <v>3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76.5</v>
      </c>
      <c r="D119" s="2" t="s">
        <v>1461</v>
      </c>
      <c r="E119" s="5">
        <v>76</v>
      </c>
      <c r="F119" s="2">
        <v>58</v>
      </c>
      <c r="G119" s="2">
        <v>47</v>
      </c>
      <c r="H119" s="2" t="s">
        <v>1473</v>
      </c>
      <c r="I119" s="2" t="s">
        <v>36</v>
      </c>
      <c r="J119" s="3" t="s">
        <v>1479</v>
      </c>
      <c r="K119" s="2" t="s">
        <v>1462</v>
      </c>
      <c r="M119" s="2">
        <f>IF(J119="1000+", 1000, (LEFT(J119,FIND("-",J119)-1)+RIGHT(J119,LEN(J119)-FIND("-",J119)))/2)</f>
        <v>20</v>
      </c>
      <c r="N119" s="2">
        <f>ROUND(E119 * 0.7+F119 * 0.2+G119 * 0.1,2)</f>
        <v>69.5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60</v>
      </c>
      <c r="P119" s="2">
        <f>E119 - O119</f>
        <v>16</v>
      </c>
      <c r="Q119" s="2">
        <f>ROUND(
  SIGN(P119)*
  IF(ABS(P119)&lt;=10,ABS(P119)*0.5,
     IF(ABS(P119)&lt;=15,5+(ABS(P119)-10)*(1.67/5),
        6.67+(ABS(P119)-15)*0.333)),
2)</f>
        <v>7</v>
      </c>
    </row>
    <row r="120" spans="1:17" ht="34.5" customHeight="1" x14ac:dyDescent="0.3">
      <c r="B120" s="2">
        <v>119</v>
      </c>
      <c r="C120" s="16">
        <f>ROUND(MAX(MIN(N120 + Q120, 100), 0), 2)</f>
        <v>76.5</v>
      </c>
      <c r="D120" s="2" t="s">
        <v>184</v>
      </c>
      <c r="E120" s="5">
        <v>76</v>
      </c>
      <c r="F120" s="5">
        <v>71</v>
      </c>
      <c r="G120" s="2">
        <v>51</v>
      </c>
      <c r="H120" s="2" t="s">
        <v>185</v>
      </c>
      <c r="I120" s="2" t="s">
        <v>22</v>
      </c>
      <c r="J120" s="3" t="s">
        <v>23</v>
      </c>
      <c r="K120" s="2" t="s">
        <v>186</v>
      </c>
      <c r="M120" s="2">
        <f>IF(J120="1000+", 1000, (LEFT(J120,FIND("-",J120)-1)+RIGHT(J120,LEN(J120)-FIND("-",J120)))/2)</f>
        <v>60</v>
      </c>
      <c r="N120" s="2">
        <f>ROUND(E120 * 0.7+F120 * 0.2+G120 * 0.1,2)</f>
        <v>72.5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68</v>
      </c>
      <c r="P120" s="2">
        <f>E120 - O120</f>
        <v>8</v>
      </c>
      <c r="Q120" s="2">
        <f>ROUND(
  SIGN(P120)*
  IF(ABS(P120)&lt;=10,ABS(P120)*0.5,
     IF(ABS(P120)&lt;=15,5+(ABS(P120)-10)*(1.67/5),
        6.67+(ABS(P120)-15)*0.333)),
2)</f>
        <v>4</v>
      </c>
    </row>
    <row r="121" spans="1:17" ht="34.5" customHeight="1" x14ac:dyDescent="0.3">
      <c r="B121" s="2">
        <v>120</v>
      </c>
      <c r="C121" s="16">
        <f>ROUND(MAX(MIN(N121 + Q121, 100), 0), 2)</f>
        <v>76.5</v>
      </c>
      <c r="D121" s="2" t="s">
        <v>142</v>
      </c>
      <c r="E121" s="5">
        <v>74</v>
      </c>
      <c r="F121" s="5">
        <v>75</v>
      </c>
      <c r="G121" s="5">
        <v>77</v>
      </c>
      <c r="H121" s="2" t="s">
        <v>109</v>
      </c>
      <c r="I121" s="2" t="s">
        <v>17</v>
      </c>
      <c r="J121" s="3" t="s">
        <v>18</v>
      </c>
      <c r="K121" s="2" t="s">
        <v>143</v>
      </c>
      <c r="M121" s="2">
        <f>IF(J121="1000+", 1000, (LEFT(J121,FIND("-",J121)-1)+RIGHT(J121,LEN(J121)-FIND("-",J121)))/2)</f>
        <v>75</v>
      </c>
      <c r="N121" s="2">
        <f>ROUND(E121 * 0.7+F121 * 0.2+G121 * 0.1,2)</f>
        <v>74.5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70</v>
      </c>
      <c r="P121" s="2">
        <f>E121 - O121</f>
        <v>4</v>
      </c>
      <c r="Q121" s="2">
        <f>ROUND(
  SIGN(P121)*
  IF(ABS(P121)&lt;=10,ABS(P121)*0.5,
     IF(ABS(P121)&lt;=15,5+(ABS(P121)-10)*(1.67/5),
        6.67+(ABS(P121)-15)*0.333)),
2)</f>
        <v>2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76.5</v>
      </c>
      <c r="D122" s="2" t="s">
        <v>1505</v>
      </c>
      <c r="E122" s="5">
        <v>78</v>
      </c>
      <c r="F122" s="4">
        <v>90</v>
      </c>
      <c r="G122" s="2">
        <v>59</v>
      </c>
      <c r="H122" s="2" t="s">
        <v>1483</v>
      </c>
      <c r="I122" s="2" t="s">
        <v>1527</v>
      </c>
      <c r="J122" s="3" t="s">
        <v>1488</v>
      </c>
      <c r="K122" s="2" t="s">
        <v>1532</v>
      </c>
      <c r="M122" s="2">
        <f>IF(J122="1000+", 1000, (LEFT(J122,FIND("-",J122)-1)+RIGHT(J122,LEN(J122)-FIND("-",J122)))/2)</f>
        <v>200</v>
      </c>
      <c r="N122" s="2">
        <f>ROUND(E122 * 0.7+F122 * 0.2+G122 * 0.1,2)</f>
        <v>78.5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82</v>
      </c>
      <c r="P122" s="2">
        <f>E122 - O122</f>
        <v>-4</v>
      </c>
      <c r="Q122" s="2">
        <f>ROUND(
  SIGN(P122)*
  IF(ABS(P122)&lt;=10,ABS(P122)*0.5,
     IF(ABS(P122)&lt;=15,5+(ABS(P122)-10)*(1.67/5),
        6.67+(ABS(P122)-15)*0.333)),
2)</f>
        <v>-2</v>
      </c>
    </row>
    <row r="123" spans="1:17" ht="34.5" customHeight="1" x14ac:dyDescent="0.3">
      <c r="B123" s="2">
        <v>122</v>
      </c>
      <c r="C123" s="16">
        <f>ROUND(MAX(MIN(N123 + Q123, 100), 0), 2)</f>
        <v>76.37</v>
      </c>
      <c r="D123" s="2" t="s">
        <v>305</v>
      </c>
      <c r="E123" s="6">
        <v>86</v>
      </c>
      <c r="F123" s="2">
        <v>20</v>
      </c>
      <c r="G123" s="2">
        <v>25</v>
      </c>
      <c r="H123" s="2" t="s">
        <v>64</v>
      </c>
      <c r="I123" s="2" t="s">
        <v>36</v>
      </c>
      <c r="J123" s="3" t="s">
        <v>146</v>
      </c>
      <c r="K123" s="2" t="s">
        <v>306</v>
      </c>
      <c r="M123" s="2">
        <f>IF(J123="1000+", 1000, (LEFT(J123,FIND("-",J123)-1)+RIGHT(J123,LEN(J123)-FIND("-",J123)))/2)</f>
        <v>30</v>
      </c>
      <c r="N123" s="2">
        <f>ROUND(E123 * 0.7+F123 * 0.2+G123 * 0.1,2)</f>
        <v>66.7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62</v>
      </c>
      <c r="P123" s="2">
        <f>E123 - O123</f>
        <v>24</v>
      </c>
      <c r="Q123" s="2">
        <f>ROUND(
  SIGN(P123)*
  IF(ABS(P123)&lt;=10,ABS(P123)*0.5,
     IF(ABS(P123)&lt;=15,5+(ABS(P123)-10)*(1.67/5),
        6.67+(ABS(P123)-15)*0.333)),
2)</f>
        <v>9.67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76.37</v>
      </c>
      <c r="D124" s="2" t="s">
        <v>1549</v>
      </c>
      <c r="E124" s="5">
        <v>78</v>
      </c>
      <c r="F124" s="2">
        <v>53</v>
      </c>
      <c r="G124" s="2">
        <v>35</v>
      </c>
      <c r="H124" s="2" t="s">
        <v>1564</v>
      </c>
      <c r="I124" s="2" t="s">
        <v>36</v>
      </c>
      <c r="J124" s="3" t="s">
        <v>1571</v>
      </c>
      <c r="K124" s="2" t="s">
        <v>1560</v>
      </c>
      <c r="M124" s="2">
        <f>IF(J124="1000+", 1000, (LEFT(J124,FIND("-",J124)-1)+RIGHT(J124,LEN(J124)-FIND("-",J124)))/2)</f>
        <v>20</v>
      </c>
      <c r="N124" s="2">
        <f>ROUND(E124 * 0.7+F124 * 0.2+G124 * 0.1,2)</f>
        <v>68.7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60</v>
      </c>
      <c r="P124" s="2">
        <f>E124 - O124</f>
        <v>18</v>
      </c>
      <c r="Q124" s="2">
        <f>ROUND(
  SIGN(P124)*
  IF(ABS(P124)&lt;=10,ABS(P124)*0.5,
     IF(ABS(P124)&lt;=15,5+(ABS(P124)-10)*(1.67/5),
        6.67+(ABS(P124)-15)*0.333)),
2)</f>
        <v>7.67</v>
      </c>
    </row>
    <row r="125" spans="1:17" ht="34.5" customHeight="1" x14ac:dyDescent="0.3">
      <c r="B125" s="2">
        <v>124</v>
      </c>
      <c r="C125" s="16">
        <f>ROUND(MAX(MIN(N125 + Q125, 100), 0), 2)</f>
        <v>76.3</v>
      </c>
      <c r="D125" s="2" t="s">
        <v>265</v>
      </c>
      <c r="E125" s="6">
        <v>82</v>
      </c>
      <c r="F125" s="2">
        <v>56</v>
      </c>
      <c r="G125" s="2">
        <v>27</v>
      </c>
      <c r="H125" s="2" t="s">
        <v>171</v>
      </c>
      <c r="I125" s="2" t="s">
        <v>36</v>
      </c>
      <c r="J125" s="3" t="s">
        <v>122</v>
      </c>
      <c r="K125" s="2" t="s">
        <v>266</v>
      </c>
      <c r="M125" s="2">
        <f>IF(J125="1000+", 1000, (LEFT(J125,FIND("-",J125)-1)+RIGHT(J125,LEN(J125)-FIND("-",J125)))/2)</f>
        <v>105</v>
      </c>
      <c r="N125" s="2">
        <f>ROUND(E125 * 0.7+F125 * 0.2+G125 * 0.1,2)</f>
        <v>71.3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72</v>
      </c>
      <c r="P125" s="2">
        <f>E125 - O125</f>
        <v>10</v>
      </c>
      <c r="Q125" s="2">
        <f>ROUND(
  SIGN(P125)*
  IF(ABS(P125)&lt;=10,ABS(P125)*0.5,
     IF(ABS(P125)&lt;=15,5+(ABS(P125)-10)*(1.67/5),
        6.67+(ABS(P125)-15)*0.333)),
2)</f>
        <v>5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76.2</v>
      </c>
      <c r="D126" s="2" t="s">
        <v>1413</v>
      </c>
      <c r="E126" s="5">
        <v>78</v>
      </c>
      <c r="F126" s="2">
        <v>52</v>
      </c>
      <c r="G126" s="2">
        <v>42</v>
      </c>
      <c r="H126" s="2" t="s">
        <v>1421</v>
      </c>
      <c r="I126" s="2" t="s">
        <v>1422</v>
      </c>
      <c r="J126" s="3" t="s">
        <v>1428</v>
      </c>
      <c r="K126" s="2" t="s">
        <v>1438</v>
      </c>
      <c r="M126" s="2">
        <f>IF(J126="1000+", 1000, (LEFT(J126,FIND("-",J126)-1)+RIGHT(J126,LEN(J126)-FIND("-",J126)))/2)</f>
        <v>30</v>
      </c>
      <c r="N126" s="2">
        <f>ROUND(E126 * 0.7+F126 * 0.2+G126 * 0.1,2)</f>
        <v>69.2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62</v>
      </c>
      <c r="P126" s="2">
        <f>E126 - O126</f>
        <v>16</v>
      </c>
      <c r="Q126" s="2">
        <f>ROUND(
  SIGN(P126)*
  IF(ABS(P126)&lt;=10,ABS(P126)*0.5,
     IF(ABS(P126)&lt;=15,5+(ABS(P126)-10)*(1.67/5),
        6.67+(ABS(P126)-15)*0.333)),
2)</f>
        <v>7</v>
      </c>
    </row>
    <row r="127" spans="1:17" ht="34.5" customHeight="1" x14ac:dyDescent="0.3">
      <c r="B127" s="2">
        <v>126</v>
      </c>
      <c r="C127" s="16">
        <f>ROUND(MAX(MIN(N127 + Q127, 100), 0), 2)</f>
        <v>76.2</v>
      </c>
      <c r="D127" s="2" t="s">
        <v>162</v>
      </c>
      <c r="E127" s="5">
        <v>74</v>
      </c>
      <c r="F127" s="5">
        <v>72</v>
      </c>
      <c r="G127" s="4">
        <v>90</v>
      </c>
      <c r="H127" s="2" t="s">
        <v>163</v>
      </c>
      <c r="I127" s="2" t="s">
        <v>72</v>
      </c>
      <c r="J127" s="3" t="s">
        <v>122</v>
      </c>
      <c r="M127" s="2">
        <f>IF(J127="1000+", 1000, (LEFT(J127,FIND("-",J127)-1)+RIGHT(J127,LEN(J127)-FIND("-",J127)))/2)</f>
        <v>105</v>
      </c>
      <c r="N127" s="2">
        <f>ROUND(E127 * 0.7+F127 * 0.2+G127 * 0.1,2)</f>
        <v>75.2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72</v>
      </c>
      <c r="P127" s="2">
        <f>E127 - O127</f>
        <v>2</v>
      </c>
      <c r="Q127" s="2">
        <f>ROUND(
  SIGN(P127)*
  IF(ABS(P127)&lt;=10,ABS(P127)*0.5,
     IF(ABS(P127)&lt;=15,5+(ABS(P127)-10)*(1.67/5),
        6.67+(ABS(P127)-15)*0.333)),
2)</f>
        <v>1</v>
      </c>
    </row>
    <row r="128" spans="1:17" ht="34.5" customHeight="1" x14ac:dyDescent="0.3">
      <c r="A128" s="2">
        <v>2026</v>
      </c>
      <c r="B128" s="2">
        <v>127</v>
      </c>
      <c r="C128" s="16">
        <f>ROUND(MAX(MIN(N128 + Q128, 100), 0), 2)</f>
        <v>76.099999999999994</v>
      </c>
      <c r="D128" s="2" t="s">
        <v>1869</v>
      </c>
      <c r="E128" s="6">
        <v>84</v>
      </c>
      <c r="F128" s="7">
        <v>60</v>
      </c>
      <c r="G128" s="2">
        <v>58</v>
      </c>
      <c r="H128" s="2" t="s">
        <v>1895</v>
      </c>
      <c r="I128" s="2" t="s">
        <v>1258</v>
      </c>
      <c r="J128" s="3" t="s">
        <v>1354</v>
      </c>
      <c r="K128" s="2" t="s">
        <v>1873</v>
      </c>
      <c r="M128" s="2">
        <f>IF(J128="1000+", 1000, (LEFT(J128,FIND("-",J128)-1)+RIGHT(J128,LEN(J128)-FIND("-",J128)))/2)</f>
        <v>225</v>
      </c>
      <c r="N128" s="2">
        <f>ROUND(E128 * 0.7+F128 * 0.2+G128 * 0.1,2)</f>
        <v>76.599999999999994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85</v>
      </c>
      <c r="P128" s="2">
        <f>E128 - O128</f>
        <v>-1</v>
      </c>
      <c r="Q128" s="2">
        <f>ROUND(
  SIGN(P128)*
  IF(ABS(P128)&lt;=10,ABS(P128)*0.5,
     IF(ABS(P128)&lt;=15,5+(ABS(P128)-10)*(1.67/5),
        6.67+(ABS(P128)-15)*0.333)),
2)</f>
        <v>-0.5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76</v>
      </c>
      <c r="D129" s="2" t="s">
        <v>1632</v>
      </c>
      <c r="E129" s="5">
        <v>76</v>
      </c>
      <c r="F129" s="2">
        <v>56</v>
      </c>
      <c r="G129" s="2">
        <v>46</v>
      </c>
      <c r="H129" s="2" t="s">
        <v>1644</v>
      </c>
      <c r="I129" s="2" t="s">
        <v>36</v>
      </c>
      <c r="J129" s="3" t="s">
        <v>1655</v>
      </c>
      <c r="K129" s="2" t="s">
        <v>1662</v>
      </c>
      <c r="M129" s="2">
        <f>IF(J129="1000+", 1000, (LEFT(J129,FIND("-",J129)-1)+RIGHT(J129,LEN(J129)-FIND("-",J129)))/2)</f>
        <v>20</v>
      </c>
      <c r="N129" s="2">
        <f>ROUND(E129 * 0.7+F129 * 0.2+G129 * 0.1,2)</f>
        <v>69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60</v>
      </c>
      <c r="P129" s="2">
        <f>E129 - O129</f>
        <v>16</v>
      </c>
      <c r="Q129" s="2">
        <f>ROUND(
  SIGN(P129)*
  IF(ABS(P129)&lt;=10,ABS(P129)*0.5,
     IF(ABS(P129)&lt;=15,5+(ABS(P129)-10)*(1.67/5),
        6.67+(ABS(P129)-15)*0.333)),
2)</f>
        <v>7</v>
      </c>
    </row>
    <row r="130" spans="1:17" ht="34.5" customHeight="1" x14ac:dyDescent="0.3">
      <c r="B130" s="2">
        <v>129</v>
      </c>
      <c r="C130" s="16">
        <f>ROUND(MAX(MIN(N130 + Q130, 100), 0), 2)</f>
        <v>76</v>
      </c>
      <c r="D130" s="2" t="s">
        <v>152</v>
      </c>
      <c r="E130" s="5">
        <v>75</v>
      </c>
      <c r="F130" s="5">
        <v>78</v>
      </c>
      <c r="G130" s="7">
        <v>64</v>
      </c>
      <c r="H130" s="2" t="s">
        <v>153</v>
      </c>
      <c r="I130" s="2" t="s">
        <v>154</v>
      </c>
      <c r="J130" s="3" t="s">
        <v>122</v>
      </c>
      <c r="K130" s="2" t="s">
        <v>155</v>
      </c>
      <c r="M130" s="2">
        <f>IF(J130="1000+", 1000, (LEFT(J130,FIND("-",J130)-1)+RIGHT(J130,LEN(J130)-FIND("-",J130)))/2)</f>
        <v>105</v>
      </c>
      <c r="N130" s="2">
        <f>ROUND(E130 * 0.7+F130 * 0.2+G130 * 0.1,2)</f>
        <v>74.5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72</v>
      </c>
      <c r="P130" s="2">
        <f>E130 - O130</f>
        <v>3</v>
      </c>
      <c r="Q130" s="2">
        <f>ROUND(
  SIGN(P130)*
  IF(ABS(P130)&lt;=10,ABS(P130)*0.5,
     IF(ABS(P130)&lt;=15,5+(ABS(P130)-10)*(1.67/5),
        6.67+(ABS(P130)-15)*0.333)),
2)</f>
        <v>1.5</v>
      </c>
    </row>
    <row r="131" spans="1:17" ht="34.5" customHeight="1" x14ac:dyDescent="0.3">
      <c r="B131" s="2">
        <v>130</v>
      </c>
      <c r="C131" s="16">
        <f>ROUND(MAX(MIN(N131 + Q131, 100), 0), 2)</f>
        <v>76</v>
      </c>
      <c r="D131" s="2" t="s">
        <v>156</v>
      </c>
      <c r="E131" s="5">
        <v>75</v>
      </c>
      <c r="F131" s="5">
        <v>76</v>
      </c>
      <c r="G131" s="7">
        <v>68</v>
      </c>
      <c r="H131" s="2" t="s">
        <v>104</v>
      </c>
      <c r="I131" s="2" t="s">
        <v>157</v>
      </c>
      <c r="J131" s="3" t="s">
        <v>122</v>
      </c>
      <c r="K131" s="2" t="s">
        <v>158</v>
      </c>
      <c r="M131" s="2">
        <f>IF(J131="1000+", 1000, (LEFT(J131,FIND("-",J131)-1)+RIGHT(J131,LEN(J131)-FIND("-",J131)))/2)</f>
        <v>105</v>
      </c>
      <c r="N131" s="2">
        <f>ROUND(E131 * 0.7+F131 * 0.2+G131 * 0.1,2)</f>
        <v>74.5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72</v>
      </c>
      <c r="P131" s="2">
        <f>E131 - O131</f>
        <v>3</v>
      </c>
      <c r="Q131" s="2">
        <f>ROUND(
  SIGN(P131)*
  IF(ABS(P131)&lt;=10,ABS(P131)*0.5,
     IF(ABS(P131)&lt;=15,5+(ABS(P131)-10)*(1.67/5),
        6.67+(ABS(P131)-15)*0.333)),
2)</f>
        <v>1.5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75.97</v>
      </c>
      <c r="D132" s="11" t="s">
        <v>1306</v>
      </c>
      <c r="E132" s="5">
        <v>75</v>
      </c>
      <c r="F132" s="7">
        <v>60</v>
      </c>
      <c r="G132" s="2">
        <v>48</v>
      </c>
      <c r="H132" s="11" t="s">
        <v>1256</v>
      </c>
      <c r="I132" s="11" t="s">
        <v>1288</v>
      </c>
      <c r="J132" s="19" t="s">
        <v>1261</v>
      </c>
      <c r="M132" s="2">
        <f>IF(J132="1000+", 1000, (LEFT(J132,FIND("-",J132)-1)+RIGHT(J132,LEN(J132)-FIND("-",J132)))/2)</f>
        <v>20</v>
      </c>
      <c r="N132" s="2">
        <f>ROUND(E132 * 0.7+F132 * 0.2+G132 * 0.1,2)</f>
        <v>69.3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60</v>
      </c>
      <c r="P132" s="2">
        <f>E132 - O132</f>
        <v>15</v>
      </c>
      <c r="Q132" s="2">
        <f>ROUND(
  SIGN(P132)*
  IF(ABS(P132)&lt;=10,ABS(P132)*0.5,
     IF(ABS(P132)&lt;=15,5+(ABS(P132)-10)*(1.67/5),
        6.67+(ABS(P132)-15)*0.333)),
2)</f>
        <v>6.67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75.94</v>
      </c>
      <c r="D133" s="2" t="s">
        <v>1849</v>
      </c>
      <c r="E133" s="5">
        <v>76</v>
      </c>
      <c r="F133" s="2">
        <v>58</v>
      </c>
      <c r="G133" s="2">
        <v>48</v>
      </c>
      <c r="H133" s="2" t="s">
        <v>1857</v>
      </c>
      <c r="I133" s="2" t="s">
        <v>36</v>
      </c>
      <c r="J133" s="3" t="s">
        <v>1263</v>
      </c>
      <c r="K133" s="2" t="s">
        <v>1664</v>
      </c>
      <c r="M133" s="2">
        <f>IF(J133="1000+", 1000, (LEFT(J133,FIND("-",J133)-1)+RIGHT(J133,LEN(J133)-FIND("-",J133)))/2)</f>
        <v>30</v>
      </c>
      <c r="N133" s="2">
        <f>ROUND(E133 * 0.7+F133 * 0.2+G133 * 0.1,2)</f>
        <v>69.599999999999994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62</v>
      </c>
      <c r="P133" s="2">
        <f>E133 - O133</f>
        <v>14</v>
      </c>
      <c r="Q133" s="2">
        <f>ROUND(
  SIGN(P133)*
  IF(ABS(P133)&lt;=10,ABS(P133)*0.5,
     IF(ABS(P133)&lt;=15,5+(ABS(P133)-10)*(1.67/5),
        6.67+(ABS(P133)-15)*0.333)),
2)</f>
        <v>6.34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75.900000000000006</v>
      </c>
      <c r="D134" s="2" t="s">
        <v>1378</v>
      </c>
      <c r="E134" s="5">
        <v>79</v>
      </c>
      <c r="F134" s="2">
        <v>57</v>
      </c>
      <c r="G134" s="2">
        <v>57</v>
      </c>
      <c r="H134" s="2" t="s">
        <v>1382</v>
      </c>
      <c r="I134" s="2" t="s">
        <v>1383</v>
      </c>
      <c r="J134" s="3" t="s">
        <v>1394</v>
      </c>
      <c r="K134" s="2" t="s">
        <v>1381</v>
      </c>
      <c r="M134" s="2">
        <f>IF(J134="1000+", 1000, (LEFT(J134,FIND("-",J134)-1)+RIGHT(J134,LEN(J134)-FIND("-",J134)))/2)</f>
        <v>105</v>
      </c>
      <c r="N134" s="2">
        <f>ROUND(E134 * 0.7+F134 * 0.2+G134 * 0.1,2)</f>
        <v>72.400000000000006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72</v>
      </c>
      <c r="P134" s="2">
        <f>E134 - O134</f>
        <v>7</v>
      </c>
      <c r="Q134" s="2">
        <f>ROUND(
  SIGN(P134)*
  IF(ABS(P134)&lt;=10,ABS(P134)*0.5,
     IF(ABS(P134)&lt;=15,5+(ABS(P134)-10)*(1.67/5),
        6.67+(ABS(P134)-15)*0.333)),
2)</f>
        <v>3.5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75.87</v>
      </c>
      <c r="D135" s="2" t="s">
        <v>1548</v>
      </c>
      <c r="E135" s="5">
        <v>74</v>
      </c>
      <c r="F135" s="7">
        <v>64</v>
      </c>
      <c r="G135" s="2">
        <v>56</v>
      </c>
      <c r="H135" s="2" t="s">
        <v>1564</v>
      </c>
      <c r="I135" s="2" t="s">
        <v>36</v>
      </c>
      <c r="J135" s="3" t="s">
        <v>1570</v>
      </c>
      <c r="M135" s="2">
        <f>IF(J135="1000+", 1000, (LEFT(J135,FIND("-",J135)-1)+RIGHT(J135,LEN(J135)-FIND("-",J135)))/2)</f>
        <v>30</v>
      </c>
      <c r="N135" s="2">
        <f>ROUND(E135 * 0.7+F135 * 0.2+G135 * 0.1,2)</f>
        <v>70.2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62</v>
      </c>
      <c r="P135" s="2">
        <f>E135 - O135</f>
        <v>12</v>
      </c>
      <c r="Q135" s="2">
        <f>ROUND(
  SIGN(P135)*
  IF(ABS(P135)&lt;=10,ABS(P135)*0.5,
     IF(ABS(P135)&lt;=15,5+(ABS(P135)-10)*(1.67/5),
        6.67+(ABS(P135)-15)*0.333)),
2)</f>
        <v>5.67</v>
      </c>
    </row>
    <row r="136" spans="1:17" ht="34.5" customHeight="1" x14ac:dyDescent="0.3">
      <c r="B136" s="2">
        <v>135</v>
      </c>
      <c r="C136" s="16">
        <f>ROUND(MAX(MIN(N136 + Q136, 100), 0), 2)</f>
        <v>75.8</v>
      </c>
      <c r="D136" s="2" t="s">
        <v>216</v>
      </c>
      <c r="E136" s="5">
        <v>73</v>
      </c>
      <c r="F136" s="5">
        <v>70</v>
      </c>
      <c r="G136" s="7">
        <v>67</v>
      </c>
      <c r="H136" s="2" t="s">
        <v>217</v>
      </c>
      <c r="I136" s="2" t="s">
        <v>218</v>
      </c>
      <c r="J136" s="3" t="s">
        <v>32</v>
      </c>
      <c r="M136" s="2">
        <f>IF(J136="1000+", 1000, (LEFT(J136,FIND("-",J136)-1)+RIGHT(J136,LEN(J136)-FIND("-",J136)))/2)</f>
        <v>45</v>
      </c>
      <c r="N136" s="2">
        <f>ROUND(E136 * 0.7+F136 * 0.2+G136 * 0.1,2)</f>
        <v>71.8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65</v>
      </c>
      <c r="P136" s="2">
        <f>E136 - O136</f>
        <v>8</v>
      </c>
      <c r="Q136" s="2">
        <f>ROUND(
  SIGN(P136)*
  IF(ABS(P136)&lt;=10,ABS(P136)*0.5,
     IF(ABS(P136)&lt;=15,5+(ABS(P136)-10)*(1.67/5),
        6.67+(ABS(P136)-15)*0.333)),
2)</f>
        <v>4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75.8</v>
      </c>
      <c r="D137" s="2" t="s">
        <v>1979</v>
      </c>
      <c r="E137" s="5">
        <v>76</v>
      </c>
      <c r="F137" s="7">
        <v>69</v>
      </c>
      <c r="G137" s="7">
        <v>68</v>
      </c>
      <c r="H137" s="2" t="s">
        <v>1993</v>
      </c>
      <c r="I137" s="2" t="s">
        <v>1258</v>
      </c>
      <c r="J137" s="3" t="s">
        <v>1279</v>
      </c>
      <c r="M137" s="2">
        <f>IF(J137="1000+", 1000, (LEFT(J137,FIND("-",J137)-1)+RIGHT(J137,LEN(J137)-FIND("-",J137)))/2)</f>
        <v>105</v>
      </c>
      <c r="N137" s="2">
        <f>ROUND(E137 * 0.7+F137 * 0.2+G137 * 0.1,2)</f>
        <v>73.8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72</v>
      </c>
      <c r="P137" s="2">
        <f>E137 - O137</f>
        <v>4</v>
      </c>
      <c r="Q137" s="2">
        <f>ROUND(
  SIGN(P137)*
  IF(ABS(P137)&lt;=10,ABS(P137)*0.5,
     IF(ABS(P137)&lt;=15,5+(ABS(P137)-10)*(1.67/5),
        6.67+(ABS(P137)-15)*0.333)),
2)</f>
        <v>2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75.77</v>
      </c>
      <c r="D138" s="2" t="s">
        <v>1613</v>
      </c>
      <c r="E138" s="5">
        <v>75</v>
      </c>
      <c r="F138" s="2">
        <v>54</v>
      </c>
      <c r="G138" s="2">
        <v>58</v>
      </c>
      <c r="H138" s="2" t="s">
        <v>1617</v>
      </c>
      <c r="I138" s="2" t="s">
        <v>36</v>
      </c>
      <c r="J138" s="3" t="s">
        <v>1623</v>
      </c>
      <c r="K138" s="2" t="s">
        <v>1628</v>
      </c>
      <c r="M138" s="2">
        <f>IF(J138="1000+", 1000, (LEFT(J138,FIND("-",J138)-1)+RIGHT(J138,LEN(J138)-FIND("-",J138)))/2)</f>
        <v>20</v>
      </c>
      <c r="N138" s="2">
        <f>ROUND(E138 * 0.7+F138 * 0.2+G138 * 0.1,2)</f>
        <v>69.099999999999994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60</v>
      </c>
      <c r="P138" s="2">
        <f>E138 - O138</f>
        <v>15</v>
      </c>
      <c r="Q138" s="2">
        <f>ROUND(
  SIGN(P138)*
  IF(ABS(P138)&lt;=10,ABS(P138)*0.5,
     IF(ABS(P138)&lt;=15,5+(ABS(P138)-10)*(1.67/5),
        6.67+(ABS(P138)-15)*0.333)),
2)</f>
        <v>6.67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75.7</v>
      </c>
      <c r="D139" s="2" t="s">
        <v>1397</v>
      </c>
      <c r="E139" s="5">
        <v>76</v>
      </c>
      <c r="F139" s="7">
        <v>66</v>
      </c>
      <c r="G139" s="7">
        <v>63</v>
      </c>
      <c r="H139" s="11" t="s">
        <v>1256</v>
      </c>
      <c r="I139" s="11" t="s">
        <v>1258</v>
      </c>
      <c r="J139" s="19" t="s">
        <v>1264</v>
      </c>
      <c r="K139" s="11" t="s">
        <v>1277</v>
      </c>
      <c r="M139" s="2">
        <f>IF(J139="1000+", 1000, (LEFT(J139,FIND("-",J139)-1)+RIGHT(J139,LEN(J139)-FIND("-",J139)))/2)</f>
        <v>75</v>
      </c>
      <c r="N139" s="2">
        <f>ROUND(E139 * 0.7+F139 * 0.2+G139 * 0.1,2)</f>
        <v>72.7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70</v>
      </c>
      <c r="P139" s="2">
        <f>E139 - O139</f>
        <v>6</v>
      </c>
      <c r="Q139" s="2">
        <f>ROUND(
  SIGN(P139)*
  IF(ABS(P139)&lt;=10,ABS(P139)*0.5,
     IF(ABS(P139)&lt;=15,5+(ABS(P139)-10)*(1.67/5),
        6.67+(ABS(P139)-15)*0.333)),
2)</f>
        <v>3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75.7</v>
      </c>
      <c r="D140" s="2" t="s">
        <v>1372</v>
      </c>
      <c r="E140" s="5">
        <v>75</v>
      </c>
      <c r="F140" s="7">
        <v>66</v>
      </c>
      <c r="G140" s="7">
        <v>65</v>
      </c>
      <c r="H140" s="2" t="s">
        <v>1382</v>
      </c>
      <c r="I140" s="2" t="s">
        <v>1385</v>
      </c>
      <c r="J140" s="3" t="s">
        <v>1393</v>
      </c>
      <c r="K140" s="2" t="s">
        <v>1396</v>
      </c>
      <c r="M140" s="2">
        <f>IF(J140="1000+", 1000, (LEFT(J140,FIND("-",J140)-1)+RIGHT(J140,LEN(J140)-FIND("-",J140)))/2)</f>
        <v>60</v>
      </c>
      <c r="N140" s="2">
        <f>ROUND(E140 * 0.7+F140 * 0.2+G140 * 0.1,2)</f>
        <v>72.2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68</v>
      </c>
      <c r="P140" s="2">
        <f>E140 - O140</f>
        <v>7</v>
      </c>
      <c r="Q140" s="2">
        <f>ROUND(
  SIGN(P140)*
  IF(ABS(P140)&lt;=10,ABS(P140)*0.5,
     IF(ABS(P140)&lt;=15,5+(ABS(P140)-10)*(1.67/5),
        6.67+(ABS(P140)-15)*0.333)),
2)</f>
        <v>3.5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75.7</v>
      </c>
      <c r="D141" s="2" t="s">
        <v>1975</v>
      </c>
      <c r="E141" s="5">
        <v>75</v>
      </c>
      <c r="F141" s="2">
        <v>56</v>
      </c>
      <c r="G141" s="2">
        <v>20</v>
      </c>
      <c r="H141" s="2" t="s">
        <v>1993</v>
      </c>
      <c r="I141" s="2" t="s">
        <v>1259</v>
      </c>
      <c r="J141" s="3" t="s">
        <v>1574</v>
      </c>
      <c r="M141" s="2">
        <f>IF(J141="1000+", 1000, (LEFT(J141,FIND("-",J141)-1)+RIGHT(J141,LEN(J141)-FIND("-",J141)))/2)</f>
        <v>12.5</v>
      </c>
      <c r="N141" s="2">
        <f>ROUND(E141 * 0.7+F141 * 0.2+G141 * 0.1,2)</f>
        <v>65.7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50</v>
      </c>
      <c r="P141" s="2">
        <f>E141 - O141</f>
        <v>25</v>
      </c>
      <c r="Q141" s="2">
        <f>ROUND(
  SIGN(P141)*
  IF(ABS(P141)&lt;=10,ABS(P141)*0.5,
     IF(ABS(P141)&lt;=15,5+(ABS(P141)-10)*(1.67/5),
        6.67+(ABS(P141)-15)*0.333)),
2)</f>
        <v>10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75.67</v>
      </c>
      <c r="D142" s="2" t="s">
        <v>1400</v>
      </c>
      <c r="E142" s="5">
        <v>75</v>
      </c>
      <c r="F142" s="2">
        <v>59</v>
      </c>
      <c r="G142" s="2">
        <v>47</v>
      </c>
      <c r="H142" s="2" t="s">
        <v>1409</v>
      </c>
      <c r="I142" s="2" t="s">
        <v>36</v>
      </c>
      <c r="J142" s="3" t="s">
        <v>1429</v>
      </c>
      <c r="M142" s="2">
        <f>IF(J142="1000+", 1000, (LEFT(J142,FIND("-",J142)-1)+RIGHT(J142,LEN(J142)-FIND("-",J142)))/2)</f>
        <v>20</v>
      </c>
      <c r="N142" s="2">
        <f>ROUND(E142 * 0.7+F142 * 0.2+G142 * 0.1,2)</f>
        <v>69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60</v>
      </c>
      <c r="P142" s="2">
        <f>E142 - O142</f>
        <v>15</v>
      </c>
      <c r="Q142" s="2">
        <f>ROUND(
  SIGN(P142)*
  IF(ABS(P142)&lt;=10,ABS(P142)*0.5,
     IF(ABS(P142)&lt;=15,5+(ABS(P142)-10)*(1.67/5),
        6.67+(ABS(P142)-15)*0.333)),
2)</f>
        <v>6.67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75.67</v>
      </c>
      <c r="D143" s="2" t="s">
        <v>1508</v>
      </c>
      <c r="E143" s="5">
        <v>74</v>
      </c>
      <c r="F143" s="7">
        <v>60</v>
      </c>
      <c r="G143" s="7">
        <v>62</v>
      </c>
      <c r="H143" s="2" t="s">
        <v>1520</v>
      </c>
      <c r="I143" s="2" t="s">
        <v>36</v>
      </c>
      <c r="J143" s="3" t="s">
        <v>1534</v>
      </c>
      <c r="M143" s="2">
        <f>IF(J143="1000+", 1000, (LEFT(J143,FIND("-",J143)-1)+RIGHT(J143,LEN(J143)-FIND("-",J143)))/2)</f>
        <v>30</v>
      </c>
      <c r="N143" s="2">
        <f>ROUND(E143 * 0.7+F143 * 0.2+G143 * 0.1,2)</f>
        <v>70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62</v>
      </c>
      <c r="P143" s="2">
        <f>E143 - O143</f>
        <v>12</v>
      </c>
      <c r="Q143" s="2">
        <f>ROUND(
  SIGN(P143)*
  IF(ABS(P143)&lt;=10,ABS(P143)*0.5,
     IF(ABS(P143)&lt;=15,5+(ABS(P143)-10)*(1.67/5),
        6.67+(ABS(P143)-15)*0.333)),
2)</f>
        <v>5.67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75.64</v>
      </c>
      <c r="D144" s="2" t="s">
        <v>1843</v>
      </c>
      <c r="E144" s="5">
        <v>79</v>
      </c>
      <c r="F144" s="2">
        <v>47</v>
      </c>
      <c r="G144" s="2">
        <v>36</v>
      </c>
      <c r="H144" s="2" t="s">
        <v>1856</v>
      </c>
      <c r="I144" s="2" t="s">
        <v>1258</v>
      </c>
      <c r="J144" s="3" t="s">
        <v>1263</v>
      </c>
      <c r="K144" s="2" t="s">
        <v>1277</v>
      </c>
      <c r="M144" s="2">
        <f>IF(J144="1000+", 1000, (LEFT(J144,FIND("-",J144)-1)+RIGHT(J144,LEN(J144)-FIND("-",J144)))/2)</f>
        <v>30</v>
      </c>
      <c r="N144" s="2">
        <f>ROUND(E144 * 0.7+F144 * 0.2+G144 * 0.1,2)</f>
        <v>68.3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62</v>
      </c>
      <c r="P144" s="2">
        <f>E144 - O144</f>
        <v>17</v>
      </c>
      <c r="Q144" s="2">
        <f>ROUND(
  SIGN(P144)*
  IF(ABS(P144)&lt;=10,ABS(P144)*0.5,
     IF(ABS(P144)&lt;=15,5+(ABS(P144)-10)*(1.67/5),
        6.67+(ABS(P144)-15)*0.333)),
2)</f>
        <v>7.34</v>
      </c>
    </row>
    <row r="145" spans="1:17" ht="34.5" customHeight="1" x14ac:dyDescent="0.3">
      <c r="B145" s="2">
        <v>144</v>
      </c>
      <c r="C145" s="16">
        <f>ROUND(MAX(MIN(N145 + Q145, 100), 0), 2)</f>
        <v>75.64</v>
      </c>
      <c r="D145" s="2" t="s">
        <v>283</v>
      </c>
      <c r="E145" s="5">
        <v>72</v>
      </c>
      <c r="F145" s="7">
        <v>63</v>
      </c>
      <c r="G145" s="2">
        <v>53</v>
      </c>
      <c r="H145" s="2" t="s">
        <v>114</v>
      </c>
      <c r="I145" s="2" t="s">
        <v>36</v>
      </c>
      <c r="J145" s="3" t="s">
        <v>37</v>
      </c>
      <c r="M145" s="2">
        <f>IF(J145="1000+", 1000, (LEFT(J145,FIND("-",J145)-1)+RIGHT(J145,LEN(J145)-FIND("-",J145)))/2)</f>
        <v>15</v>
      </c>
      <c r="N145" s="2">
        <f>ROUND(E145 * 0.7+F145 * 0.2+G145 * 0.1,2)</f>
        <v>68.3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55</v>
      </c>
      <c r="P145" s="2">
        <f>E145 - O145</f>
        <v>17</v>
      </c>
      <c r="Q145" s="2">
        <f>ROUND(
  SIGN(P145)*
  IF(ABS(P145)&lt;=10,ABS(P145)*0.5,
     IF(ABS(P145)&lt;=15,5+(ABS(P145)-10)*(1.67/5),
        6.67+(ABS(P145)-15)*0.333)),
2)</f>
        <v>7.34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75.599999999999994</v>
      </c>
      <c r="D146" s="2" t="s">
        <v>1547</v>
      </c>
      <c r="E146" s="5">
        <v>74</v>
      </c>
      <c r="F146" s="5">
        <v>74</v>
      </c>
      <c r="G146" s="7">
        <v>60</v>
      </c>
      <c r="H146" s="2" t="s">
        <v>1564</v>
      </c>
      <c r="I146" s="2" t="s">
        <v>1566</v>
      </c>
      <c r="J146" s="3" t="s">
        <v>1573</v>
      </c>
      <c r="M146" s="2">
        <f>IF(J146="1000+", 1000, (LEFT(J146,FIND("-",J146)-1)+RIGHT(J146,LEN(J146)-FIND("-",J146)))/2)</f>
        <v>60</v>
      </c>
      <c r="N146" s="2">
        <f>ROUND(E146 * 0.7+F146 * 0.2+G146 * 0.1,2)</f>
        <v>72.599999999999994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68</v>
      </c>
      <c r="P146" s="2">
        <f>E146 - O146</f>
        <v>6</v>
      </c>
      <c r="Q146" s="2">
        <f>ROUND(
  SIGN(P146)*
  IF(ABS(P146)&lt;=10,ABS(P146)*0.5,
     IF(ABS(P146)&lt;=15,5+(ABS(P146)-10)*(1.67/5),
        6.67+(ABS(P146)-15)*0.333)),
2)</f>
        <v>3</v>
      </c>
    </row>
    <row r="147" spans="1:17" ht="34.5" customHeight="1" x14ac:dyDescent="0.3">
      <c r="B147" s="2">
        <v>146</v>
      </c>
      <c r="C147" s="16">
        <f>ROUND(MAX(MIN(N147 + Q147, 100), 0), 2)</f>
        <v>75.569999999999993</v>
      </c>
      <c r="D147" s="2" t="s">
        <v>208</v>
      </c>
      <c r="E147" s="5">
        <v>75</v>
      </c>
      <c r="F147" s="2">
        <v>55</v>
      </c>
      <c r="G147" s="2">
        <v>54</v>
      </c>
      <c r="H147" s="2" t="s">
        <v>48</v>
      </c>
      <c r="I147" s="2" t="s">
        <v>36</v>
      </c>
      <c r="J147" s="3" t="s">
        <v>132</v>
      </c>
      <c r="K147" s="2" t="s">
        <v>209</v>
      </c>
      <c r="M147" s="2">
        <f>IF(J147="1000+", 1000, (LEFT(J147,FIND("-",J147)-1)+RIGHT(J147,LEN(J147)-FIND("-",J147)))/2)</f>
        <v>20</v>
      </c>
      <c r="N147" s="2">
        <f>ROUND(E147 * 0.7+F147 * 0.2+G147 * 0.1,2)</f>
        <v>68.900000000000006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60</v>
      </c>
      <c r="P147" s="2">
        <f>E147 - O147</f>
        <v>15</v>
      </c>
      <c r="Q147" s="2">
        <f>ROUND(
  SIGN(P147)*
  IF(ABS(P147)&lt;=10,ABS(P147)*0.5,
     IF(ABS(P147)&lt;=15,5+(ABS(P147)-10)*(1.67/5),
        6.67+(ABS(P147)-15)*0.333)),
2)</f>
        <v>6.67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75.5</v>
      </c>
      <c r="D148" s="2" t="s">
        <v>1612</v>
      </c>
      <c r="E148" s="5">
        <v>77</v>
      </c>
      <c r="F148" s="2">
        <v>52</v>
      </c>
      <c r="G148" s="2">
        <v>22</v>
      </c>
      <c r="H148" s="2" t="s">
        <v>1617</v>
      </c>
      <c r="I148" s="2" t="s">
        <v>36</v>
      </c>
      <c r="J148" s="3" t="s">
        <v>1627</v>
      </c>
      <c r="M148" s="2">
        <f>IF(J148="1000+", 1000, (LEFT(J148,FIND("-",J148)-1)+RIGHT(J148,LEN(J148)-FIND("-",J148)))/2)</f>
        <v>15</v>
      </c>
      <c r="N148" s="2">
        <f>ROUND(E148 * 0.7+F148 * 0.2+G148 * 0.1,2)</f>
        <v>66.5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55</v>
      </c>
      <c r="P148" s="2">
        <f>E148 - O148</f>
        <v>22</v>
      </c>
      <c r="Q148" s="2">
        <f>ROUND(
  SIGN(P148)*
  IF(ABS(P148)&lt;=10,ABS(P148)*0.5,
     IF(ABS(P148)&lt;=15,5+(ABS(P148)-10)*(1.67/5),
        6.67+(ABS(P148)-15)*0.333)),
2)</f>
        <v>9</v>
      </c>
    </row>
    <row r="149" spans="1:17" ht="34.5" customHeight="1" x14ac:dyDescent="0.3">
      <c r="B149" s="2">
        <v>148</v>
      </c>
      <c r="C149" s="16">
        <f>ROUND(MAX(MIN(N149 + Q149, 100), 0), 2)</f>
        <v>75.5</v>
      </c>
      <c r="D149" s="2" t="s">
        <v>189</v>
      </c>
      <c r="E149" s="5">
        <v>79</v>
      </c>
      <c r="F149" s="7">
        <v>69</v>
      </c>
      <c r="G149" s="7">
        <v>69</v>
      </c>
      <c r="H149" s="2" t="s">
        <v>61</v>
      </c>
      <c r="I149" s="2" t="s">
        <v>177</v>
      </c>
      <c r="J149" s="3" t="s">
        <v>88</v>
      </c>
      <c r="M149" s="2">
        <f>IF(J149="1000+", 1000, (LEFT(J149,FIND("-",J149)-1)+RIGHT(J149,LEN(J149)-FIND("-",J149)))/2)</f>
        <v>150</v>
      </c>
      <c r="N149" s="2">
        <f>ROUND(E149 * 0.7+F149 * 0.2+G149 * 0.1,2)</f>
        <v>76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80</v>
      </c>
      <c r="P149" s="2">
        <f>E149 - O149</f>
        <v>-1</v>
      </c>
      <c r="Q149" s="2">
        <f>ROUND(
  SIGN(P149)*
  IF(ABS(P149)&lt;=10,ABS(P149)*0.5,
     IF(ABS(P149)&lt;=15,5+(ABS(P149)-10)*(1.67/5),
        6.67+(ABS(P149)-15)*0.333)),
2)</f>
        <v>-0.5</v>
      </c>
    </row>
    <row r="150" spans="1:17" ht="34.5" customHeight="1" x14ac:dyDescent="0.3">
      <c r="B150" s="2">
        <v>149</v>
      </c>
      <c r="C150" s="16">
        <f>ROUND(MAX(MIN(N150 + Q150, 100), 0), 2)</f>
        <v>75.37</v>
      </c>
      <c r="D150" s="2" t="s">
        <v>214</v>
      </c>
      <c r="E150" s="5">
        <v>72</v>
      </c>
      <c r="F150" s="7">
        <v>65</v>
      </c>
      <c r="G150" s="7">
        <v>63</v>
      </c>
      <c r="H150" s="2" t="s">
        <v>48</v>
      </c>
      <c r="I150" s="2" t="s">
        <v>36</v>
      </c>
      <c r="J150" s="3" t="s">
        <v>132</v>
      </c>
      <c r="K150" s="2" t="s">
        <v>215</v>
      </c>
      <c r="M150" s="2">
        <f>IF(J150="1000+", 1000, (LEFT(J150,FIND("-",J150)-1)+RIGHT(J150,LEN(J150)-FIND("-",J150)))/2)</f>
        <v>20</v>
      </c>
      <c r="N150" s="2">
        <f>ROUND(E150 * 0.7+F150 * 0.2+G150 * 0.1,2)</f>
        <v>69.7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60</v>
      </c>
      <c r="P150" s="2">
        <f>E150 - O150</f>
        <v>12</v>
      </c>
      <c r="Q150" s="2">
        <f>ROUND(
  SIGN(P150)*
  IF(ABS(P150)&lt;=10,ABS(P150)*0.5,
     IF(ABS(P150)&lt;=15,5+(ABS(P150)-10)*(1.67/5),
        6.67+(ABS(P150)-15)*0.333)),
2)</f>
        <v>5.67</v>
      </c>
    </row>
    <row r="151" spans="1:17" ht="34.5" customHeight="1" x14ac:dyDescent="0.3">
      <c r="B151" s="2">
        <v>150</v>
      </c>
      <c r="C151" s="16">
        <f>ROUND(MAX(MIN(N151 + Q151, 100), 0), 2)</f>
        <v>75.3</v>
      </c>
      <c r="D151" s="2" t="s">
        <v>263</v>
      </c>
      <c r="E151" s="5">
        <v>77</v>
      </c>
      <c r="F151" s="7">
        <v>63</v>
      </c>
      <c r="G151" s="2">
        <v>53</v>
      </c>
      <c r="H151" s="2" t="s">
        <v>48</v>
      </c>
      <c r="I151" s="2" t="s">
        <v>68</v>
      </c>
      <c r="J151" s="3" t="s">
        <v>18</v>
      </c>
      <c r="M151" s="2">
        <f>IF(J151="1000+", 1000, (LEFT(J151,FIND("-",J151)-1)+RIGHT(J151,LEN(J151)-FIND("-",J151)))/2)</f>
        <v>75</v>
      </c>
      <c r="N151" s="2">
        <f>ROUND(E151 * 0.7+F151 * 0.2+G151 * 0.1,2)</f>
        <v>71.8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70</v>
      </c>
      <c r="P151" s="2">
        <f>E151 - O151</f>
        <v>7</v>
      </c>
      <c r="Q151" s="2">
        <f>ROUND(
  SIGN(P151)*
  IF(ABS(P151)&lt;=10,ABS(P151)*0.5,
     IF(ABS(P151)&lt;=15,5+(ABS(P151)-10)*(1.67/5),
        6.67+(ABS(P151)-15)*0.333)),
2)</f>
        <v>3.5</v>
      </c>
    </row>
    <row r="152" spans="1:17" ht="34.5" customHeight="1" x14ac:dyDescent="0.3">
      <c r="A152" s="2">
        <v>2026</v>
      </c>
      <c r="B152" s="2">
        <v>151</v>
      </c>
      <c r="C152" s="16">
        <f>ROUND(MAX(MIN(N152 + Q152, 100), 0), 2)</f>
        <v>75.3</v>
      </c>
      <c r="D152" s="2" t="s">
        <v>1690</v>
      </c>
      <c r="E152" s="5">
        <v>75</v>
      </c>
      <c r="F152" s="7">
        <v>62</v>
      </c>
      <c r="G152" s="2">
        <v>54</v>
      </c>
      <c r="H152" s="2" t="s">
        <v>1693</v>
      </c>
      <c r="I152" s="2" t="s">
        <v>36</v>
      </c>
      <c r="J152" s="3" t="s">
        <v>1699</v>
      </c>
      <c r="M152" s="2">
        <f>IF(J152="1000+", 1000, (LEFT(J152,FIND("-",J152)-1)+RIGHT(J152,LEN(J152)-FIND("-",J152)))/2)</f>
        <v>45</v>
      </c>
      <c r="N152" s="2">
        <f>ROUND(E152 * 0.7+F152 * 0.2+G152 * 0.1,2)</f>
        <v>70.3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65</v>
      </c>
      <c r="P152" s="2">
        <f>E152 - O152</f>
        <v>10</v>
      </c>
      <c r="Q152" s="2">
        <f>ROUND(
  SIGN(P152)*
  IF(ABS(P152)&lt;=10,ABS(P152)*0.5,
     IF(ABS(P152)&lt;=15,5+(ABS(P152)-10)*(1.67/5),
        6.67+(ABS(P152)-15)*0.333)),
2)</f>
        <v>5</v>
      </c>
    </row>
    <row r="153" spans="1:17" ht="34.5" customHeight="1" x14ac:dyDescent="0.3">
      <c r="B153" s="2">
        <v>152</v>
      </c>
      <c r="C153" s="16">
        <f>ROUND(MAX(MIN(N153 + Q153, 100), 0), 2)</f>
        <v>75.2</v>
      </c>
      <c r="D153" s="2" t="s">
        <v>105</v>
      </c>
      <c r="E153" s="5">
        <v>77</v>
      </c>
      <c r="F153" s="5">
        <v>75</v>
      </c>
      <c r="G153" s="5">
        <v>78</v>
      </c>
      <c r="H153" s="2" t="s">
        <v>1685</v>
      </c>
      <c r="I153" s="2" t="s">
        <v>106</v>
      </c>
      <c r="J153" s="3" t="s">
        <v>88</v>
      </c>
      <c r="K153" s="2" t="s">
        <v>107</v>
      </c>
      <c r="M153" s="2">
        <f>IF(J153="1000+", 1000, (LEFT(J153,FIND("-",J153)-1)+RIGHT(J153,LEN(J153)-FIND("-",J153)))/2)</f>
        <v>150</v>
      </c>
      <c r="N153" s="2">
        <f>ROUND(E153 * 0.7+F153 * 0.2+G153 * 0.1,2)</f>
        <v>76.7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80</v>
      </c>
      <c r="P153" s="2">
        <f>E153 - O153</f>
        <v>-3</v>
      </c>
      <c r="Q153" s="2">
        <f>ROUND(
  SIGN(P153)*
  IF(ABS(P153)&lt;=10,ABS(P153)*0.5,
     IF(ABS(P153)&lt;=15,5+(ABS(P153)-10)*(1.67/5),
        6.67+(ABS(P153)-15)*0.333)),
2)</f>
        <v>-1.5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75.17</v>
      </c>
      <c r="D154" s="11" t="s">
        <v>1313</v>
      </c>
      <c r="E154" s="5">
        <v>75</v>
      </c>
      <c r="F154" s="2">
        <v>58</v>
      </c>
      <c r="G154" s="2">
        <v>44</v>
      </c>
      <c r="H154" s="11" t="s">
        <v>1256</v>
      </c>
      <c r="I154" s="2" t="s">
        <v>36</v>
      </c>
      <c r="J154" s="3" t="s">
        <v>132</v>
      </c>
      <c r="K154" s="11" t="s">
        <v>1317</v>
      </c>
      <c r="M154" s="2">
        <f>IF(J154="1000+", 1000, (LEFT(J154,FIND("-",J154)-1)+RIGHT(J154,LEN(J154)-FIND("-",J154)))/2)</f>
        <v>20</v>
      </c>
      <c r="N154" s="2">
        <f>ROUND(E154 * 0.7+F154 * 0.2+G154 * 0.1,2)</f>
        <v>68.5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60</v>
      </c>
      <c r="P154" s="2">
        <f>E154 - O154</f>
        <v>15</v>
      </c>
      <c r="Q154" s="2">
        <f>ROUND(
  SIGN(P154)*
  IF(ABS(P154)&lt;=10,ABS(P154)*0.5,
     IF(ABS(P154)&lt;=15,5+(ABS(P154)-10)*(1.67/5),
        6.67+(ABS(P154)-15)*0.333)),
2)</f>
        <v>6.67</v>
      </c>
    </row>
    <row r="155" spans="1:17" ht="34.5" customHeight="1" x14ac:dyDescent="0.3">
      <c r="A155" s="2">
        <v>2026</v>
      </c>
      <c r="B155" s="2">
        <v>154</v>
      </c>
      <c r="C155" s="16">
        <f>ROUND(MAX(MIN(N155 + Q155, 100), 0), 2)</f>
        <v>75.17</v>
      </c>
      <c r="D155" s="2" t="s">
        <v>1517</v>
      </c>
      <c r="E155" s="5">
        <v>73</v>
      </c>
      <c r="F155" s="2">
        <v>56</v>
      </c>
      <c r="G155" s="2">
        <v>52</v>
      </c>
      <c r="H155" s="2" t="s">
        <v>1483</v>
      </c>
      <c r="I155" s="2" t="s">
        <v>36</v>
      </c>
      <c r="J155" s="3" t="s">
        <v>1538</v>
      </c>
      <c r="M155" s="2">
        <f>IF(J155="1000+", 1000, (LEFT(J155,FIND("-",J155)-1)+RIGHT(J155,LEN(J155)-FIND("-",J155)))/2)</f>
        <v>15</v>
      </c>
      <c r="N155" s="2">
        <f>ROUND(E155 * 0.7+F155 * 0.2+G155 * 0.1,2)</f>
        <v>67.5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55</v>
      </c>
      <c r="P155" s="2">
        <f>E155 - O155</f>
        <v>18</v>
      </c>
      <c r="Q155" s="2">
        <f>ROUND(
  SIGN(P155)*
  IF(ABS(P155)&lt;=10,ABS(P155)*0.5,
     IF(ABS(P155)&lt;=15,5+(ABS(P155)-10)*(1.67/5),
        6.67+(ABS(P155)-15)*0.333)),
2)</f>
        <v>7.67</v>
      </c>
    </row>
    <row r="156" spans="1:17" ht="34.5" customHeight="1" x14ac:dyDescent="0.3">
      <c r="B156" s="2">
        <v>155</v>
      </c>
      <c r="C156" s="16">
        <f>ROUND(MAX(MIN(N156 + Q156, 100), 0), 2)</f>
        <v>75.099999999999994</v>
      </c>
      <c r="D156" s="2" t="s">
        <v>220</v>
      </c>
      <c r="E156" s="6">
        <v>80</v>
      </c>
      <c r="F156" s="7">
        <v>66</v>
      </c>
      <c r="G156" s="2">
        <v>59</v>
      </c>
      <c r="H156" s="2" t="s">
        <v>48</v>
      </c>
      <c r="I156" s="2" t="s">
        <v>36</v>
      </c>
      <c r="J156" s="3" t="s">
        <v>88</v>
      </c>
      <c r="M156" s="2">
        <f>IF(J156="1000+", 1000, (LEFT(J156,FIND("-",J156)-1)+RIGHT(J156,LEN(J156)-FIND("-",J156)))/2)</f>
        <v>150</v>
      </c>
      <c r="N156" s="2">
        <f>ROUND(E156 * 0.7+F156 * 0.2+G156 * 0.1,2)</f>
        <v>75.099999999999994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80</v>
      </c>
      <c r="P156" s="2">
        <f>E156 - O156</f>
        <v>0</v>
      </c>
      <c r="Q156" s="2">
        <f>ROUND(
  SIGN(P156)*
  IF(ABS(P156)&lt;=10,ABS(P156)*0.5,
     IF(ABS(P156)&lt;=15,5+(ABS(P156)-10)*(1.67/5),
        6.67+(ABS(P156)-15)*0.333)),
2)</f>
        <v>0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75.099999999999994</v>
      </c>
      <c r="D157" s="2" t="s">
        <v>1465</v>
      </c>
      <c r="E157" s="5">
        <v>77</v>
      </c>
      <c r="F157" s="5">
        <v>74</v>
      </c>
      <c r="G157" s="2">
        <v>54</v>
      </c>
      <c r="H157" s="2" t="s">
        <v>1474</v>
      </c>
      <c r="I157" s="2" t="s">
        <v>1476</v>
      </c>
      <c r="J157" s="3" t="s">
        <v>1481</v>
      </c>
      <c r="K157" s="2" t="s">
        <v>1470</v>
      </c>
      <c r="M157" s="2">
        <f>IF(J157="1000+", 1000, (LEFT(J157,FIND("-",J157)-1)+RIGHT(J157,LEN(J157)-FIND("-",J157)))/2)</f>
        <v>115</v>
      </c>
      <c r="N157" s="2">
        <f>ROUND(E157 * 0.7+F157 * 0.2+G157 * 0.1,2)</f>
        <v>74.099999999999994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75</v>
      </c>
      <c r="P157" s="2">
        <f>E157 - O157</f>
        <v>2</v>
      </c>
      <c r="Q157" s="2">
        <f>ROUND(
  SIGN(P157)*
  IF(ABS(P157)&lt;=10,ABS(P157)*0.5,
     IF(ABS(P157)&lt;=15,5+(ABS(P157)-10)*(1.67/5),
        6.67+(ABS(P157)-15)*0.333)),
2)</f>
        <v>1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75.040000000000006</v>
      </c>
      <c r="D158" s="11" t="s">
        <v>1298</v>
      </c>
      <c r="E158" s="5">
        <v>74</v>
      </c>
      <c r="F158" s="7">
        <v>62</v>
      </c>
      <c r="G158" s="2">
        <v>45</v>
      </c>
      <c r="H158" s="11" t="s">
        <v>1256</v>
      </c>
      <c r="I158" s="11" t="s">
        <v>1288</v>
      </c>
      <c r="J158" s="19" t="s">
        <v>1261</v>
      </c>
      <c r="K158" s="11" t="s">
        <v>1303</v>
      </c>
      <c r="M158" s="2">
        <f>IF(J158="1000+", 1000, (LEFT(J158,FIND("-",J158)-1)+RIGHT(J158,LEN(J158)-FIND("-",J158)))/2)</f>
        <v>20</v>
      </c>
      <c r="N158" s="2">
        <f>ROUND(E158 * 0.7+F158 * 0.2+G158 * 0.1,2)</f>
        <v>68.7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60</v>
      </c>
      <c r="P158" s="2">
        <f>E158 - O158</f>
        <v>14</v>
      </c>
      <c r="Q158" s="2">
        <f>ROUND(
  SIGN(P158)*
  IF(ABS(P158)&lt;=10,ABS(P158)*0.5,
     IF(ABS(P158)&lt;=15,5+(ABS(P158)-10)*(1.67/5),
        6.67+(ABS(P158)-15)*0.333)),
2)</f>
        <v>6.34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75</v>
      </c>
      <c r="D159" s="2" t="s">
        <v>1748</v>
      </c>
      <c r="E159" s="5">
        <v>74</v>
      </c>
      <c r="F159" s="5">
        <v>75</v>
      </c>
      <c r="G159" s="7">
        <v>62</v>
      </c>
      <c r="H159" s="2" t="s">
        <v>1761</v>
      </c>
      <c r="I159" s="2" t="s">
        <v>1767</v>
      </c>
      <c r="J159" s="3" t="s">
        <v>1773</v>
      </c>
      <c r="M159" s="2">
        <f>IF(J159="1000+", 1000, (LEFT(J159,FIND("-",J159)-1)+RIGHT(J159,LEN(J159)-FIND("-",J159)))/2)</f>
        <v>75</v>
      </c>
      <c r="N159" s="2">
        <f>ROUND(E159 * 0.7+F159 * 0.2+G159 * 0.1,2)</f>
        <v>73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70</v>
      </c>
      <c r="P159" s="2">
        <f>E159 - O159</f>
        <v>4</v>
      </c>
      <c r="Q159" s="2">
        <f>ROUND(
  SIGN(P159)*
  IF(ABS(P159)&lt;=10,ABS(P159)*0.5,
     IF(ABS(P159)&lt;=15,5+(ABS(P159)-10)*(1.67/5),
        6.67+(ABS(P159)-15)*0.333)),
2)</f>
        <v>2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74.87</v>
      </c>
      <c r="D160" s="2" t="s">
        <v>1982</v>
      </c>
      <c r="E160" s="5">
        <v>71</v>
      </c>
      <c r="F160" s="2">
        <v>59</v>
      </c>
      <c r="G160" s="2">
        <v>47</v>
      </c>
      <c r="H160" s="2" t="s">
        <v>1994</v>
      </c>
      <c r="I160" s="2" t="s">
        <v>36</v>
      </c>
      <c r="J160" s="3" t="s">
        <v>1574</v>
      </c>
      <c r="M160" s="2">
        <f>IF(J160="1000+", 1000, (LEFT(J160,FIND("-",J160)-1)+RIGHT(J160,LEN(J160)-FIND("-",J160)))/2)</f>
        <v>12.5</v>
      </c>
      <c r="N160" s="2">
        <f>ROUND(E160 * 0.7+F160 * 0.2+G160 * 0.1,2)</f>
        <v>66.2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50</v>
      </c>
      <c r="P160" s="2">
        <f>E160 - O160</f>
        <v>21</v>
      </c>
      <c r="Q160" s="2">
        <f>ROUND(
  SIGN(P160)*
  IF(ABS(P160)&lt;=10,ABS(P160)*0.5,
     IF(ABS(P160)&lt;=15,5+(ABS(P160)-10)*(1.67/5),
        6.67+(ABS(P160)-15)*0.333)),
2)</f>
        <v>8.67</v>
      </c>
    </row>
    <row r="161" spans="1:17" ht="34.5" customHeight="1" x14ac:dyDescent="0.3">
      <c r="B161" s="2">
        <v>160</v>
      </c>
      <c r="C161" s="16">
        <f>ROUND(MAX(MIN(N161 + Q161, 100), 0), 2)</f>
        <v>74.84</v>
      </c>
      <c r="D161" s="2" t="s">
        <v>315</v>
      </c>
      <c r="E161" s="5">
        <v>79</v>
      </c>
      <c r="F161" s="2">
        <v>50</v>
      </c>
      <c r="G161" s="2">
        <v>32</v>
      </c>
      <c r="H161" s="2" t="s">
        <v>48</v>
      </c>
      <c r="I161" s="2" t="s">
        <v>316</v>
      </c>
      <c r="J161" s="3" t="s">
        <v>32</v>
      </c>
      <c r="K161" s="2" t="s">
        <v>317</v>
      </c>
      <c r="M161" s="2">
        <f>IF(J161="1000+", 1000, (LEFT(J161,FIND("-",J161)-1)+RIGHT(J161,LEN(J161)-FIND("-",J161)))/2)</f>
        <v>45</v>
      </c>
      <c r="N161" s="2">
        <f>ROUND(E161 * 0.7+F161 * 0.2+G161 * 0.1,2)</f>
        <v>68.5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65</v>
      </c>
      <c r="P161" s="2">
        <f>E161 - O161</f>
        <v>14</v>
      </c>
      <c r="Q161" s="2">
        <f>ROUND(
  SIGN(P161)*
  IF(ABS(P161)&lt;=10,ABS(P161)*0.5,
     IF(ABS(P161)&lt;=15,5+(ABS(P161)-10)*(1.67/5),
        6.67+(ABS(P161)-15)*0.333)),
2)</f>
        <v>6.34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74.8</v>
      </c>
      <c r="D162" s="2" t="s">
        <v>1864</v>
      </c>
      <c r="E162" s="5">
        <v>78</v>
      </c>
      <c r="F162" s="2">
        <v>52</v>
      </c>
      <c r="G162" s="2">
        <v>38</v>
      </c>
      <c r="H162" s="2" t="s">
        <v>1895</v>
      </c>
      <c r="I162" s="2" t="s">
        <v>1259</v>
      </c>
      <c r="J162" s="3" t="s">
        <v>1262</v>
      </c>
      <c r="K162" s="2" t="s">
        <v>1871</v>
      </c>
      <c r="M162" s="2">
        <f>IF(J162="1000+", 1000, (LEFT(J162,FIND("-",J162)-1)+RIGHT(J162,LEN(J162)-FIND("-",J162)))/2)</f>
        <v>45</v>
      </c>
      <c r="N162" s="2">
        <f>ROUND(E162 * 0.7+F162 * 0.2+G162 * 0.1,2)</f>
        <v>68.8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65</v>
      </c>
      <c r="P162" s="2">
        <f>E162 - O162</f>
        <v>13</v>
      </c>
      <c r="Q162" s="2">
        <f>ROUND(
  SIGN(P162)*
  IF(ABS(P162)&lt;=10,ABS(P162)*0.5,
     IF(ABS(P162)&lt;=15,5+(ABS(P162)-10)*(1.67/5),
        6.67+(ABS(P162)-15)*0.333)),
2)</f>
        <v>6</v>
      </c>
    </row>
    <row r="163" spans="1:17" ht="34.5" customHeight="1" x14ac:dyDescent="0.3">
      <c r="B163" s="2">
        <v>162</v>
      </c>
      <c r="C163" s="16">
        <f>ROUND(MAX(MIN(N163 + Q163, 100), 0), 2)</f>
        <v>74.7</v>
      </c>
      <c r="D163" s="2" t="s">
        <v>134</v>
      </c>
      <c r="E163" s="5">
        <v>76</v>
      </c>
      <c r="F163" s="6">
        <v>85</v>
      </c>
      <c r="G163" s="7">
        <v>65</v>
      </c>
      <c r="H163" s="2" t="s">
        <v>135</v>
      </c>
      <c r="I163" s="2" t="s">
        <v>13</v>
      </c>
      <c r="J163" s="3" t="s">
        <v>88</v>
      </c>
      <c r="K163" s="2" t="s">
        <v>136</v>
      </c>
      <c r="M163" s="2">
        <f>IF(J163="1000+", 1000, (LEFT(J163,FIND("-",J163)-1)+RIGHT(J163,LEN(J163)-FIND("-",J163)))/2)</f>
        <v>150</v>
      </c>
      <c r="N163" s="2">
        <f>ROUND(E163 * 0.7+F163 * 0.2+G163 * 0.1,2)</f>
        <v>76.7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80</v>
      </c>
      <c r="P163" s="2">
        <f>E163 - O163</f>
        <v>-4</v>
      </c>
      <c r="Q163" s="2">
        <f>ROUND(
  SIGN(P163)*
  IF(ABS(P163)&lt;=10,ABS(P163)*0.5,
     IF(ABS(P163)&lt;=15,5+(ABS(P163)-10)*(1.67/5),
        6.67+(ABS(P163)-15)*0.333)),
2)</f>
        <v>-2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74.7</v>
      </c>
      <c r="D164" s="2" t="s">
        <v>1878</v>
      </c>
      <c r="E164" s="5">
        <v>76</v>
      </c>
      <c r="F164" s="7">
        <v>61</v>
      </c>
      <c r="G164" s="2">
        <v>53</v>
      </c>
      <c r="H164" s="2" t="s">
        <v>1896</v>
      </c>
      <c r="I164" s="2" t="s">
        <v>1258</v>
      </c>
      <c r="J164" s="3" t="s">
        <v>1302</v>
      </c>
      <c r="K164" s="2" t="s">
        <v>1879</v>
      </c>
      <c r="M164" s="2">
        <f>IF(J164="1000+", 1000, (LEFT(J164,FIND("-",J164)-1)+RIGHT(J164,LEN(J164)-FIND("-",J164)))/2)</f>
        <v>60</v>
      </c>
      <c r="N164" s="2">
        <f>ROUND(E164 * 0.7+F164 * 0.2+G164 * 0.1,2)</f>
        <v>70.7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68</v>
      </c>
      <c r="P164" s="2">
        <f>E164 - O164</f>
        <v>8</v>
      </c>
      <c r="Q164" s="2">
        <f>ROUND(
  SIGN(P164)*
  IF(ABS(P164)&lt;=10,ABS(P164)*0.5,
     IF(ABS(P164)&lt;=15,5+(ABS(P164)-10)*(1.67/5),
        6.67+(ABS(P164)-15)*0.333)),
2)</f>
        <v>4</v>
      </c>
    </row>
    <row r="165" spans="1:17" ht="34.5" customHeight="1" x14ac:dyDescent="0.3">
      <c r="B165" s="2">
        <v>164</v>
      </c>
      <c r="C165" s="16">
        <f>ROUND(MAX(MIN(N165 + Q165, 100), 0), 2)</f>
        <v>74.599999999999994</v>
      </c>
      <c r="D165" s="2" t="s">
        <v>219</v>
      </c>
      <c r="E165" s="5">
        <v>73</v>
      </c>
      <c r="F165" s="7">
        <v>65</v>
      </c>
      <c r="G165" s="4">
        <v>90</v>
      </c>
      <c r="H165" s="2" t="s">
        <v>26</v>
      </c>
      <c r="I165" s="2" t="s">
        <v>72</v>
      </c>
      <c r="J165" s="3" t="s">
        <v>18</v>
      </c>
      <c r="M165" s="2">
        <f>IF(J165="1000+", 1000, (LEFT(J165,FIND("-",J165)-1)+RIGHT(J165,LEN(J165)-FIND("-",J165)))/2)</f>
        <v>75</v>
      </c>
      <c r="N165" s="2">
        <f>ROUND(E165 * 0.7+F165 * 0.2+G165 * 0.1,2)</f>
        <v>73.099999999999994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70</v>
      </c>
      <c r="P165" s="2">
        <f>E165 - O165</f>
        <v>3</v>
      </c>
      <c r="Q165" s="2">
        <f>ROUND(
  SIGN(P165)*
  IF(ABS(P165)&lt;=10,ABS(P165)*0.5,
     IF(ABS(P165)&lt;=15,5+(ABS(P165)-10)*(1.67/5),
        6.67+(ABS(P165)-15)*0.333)),
2)</f>
        <v>1.5</v>
      </c>
    </row>
    <row r="166" spans="1:17" ht="34.5" customHeight="1" x14ac:dyDescent="0.3">
      <c r="B166" s="2">
        <v>165</v>
      </c>
      <c r="C166" s="16">
        <f>ROUND(MAX(MIN(N166 + Q166, 100), 0), 2)</f>
        <v>74.569999999999993</v>
      </c>
      <c r="D166" s="2" t="s">
        <v>318</v>
      </c>
      <c r="E166" s="5">
        <v>75</v>
      </c>
      <c r="F166" s="2">
        <v>53</v>
      </c>
      <c r="G166" s="2">
        <v>48</v>
      </c>
      <c r="H166" s="2" t="s">
        <v>104</v>
      </c>
      <c r="I166" s="2" t="s">
        <v>36</v>
      </c>
      <c r="J166" s="3" t="s">
        <v>132</v>
      </c>
      <c r="M166" s="2">
        <f>IF(J166="1000+", 1000, (LEFT(J166,FIND("-",J166)-1)+RIGHT(J166,LEN(J166)-FIND("-",J166)))/2)</f>
        <v>20</v>
      </c>
      <c r="N166" s="2">
        <f>ROUND(E166 * 0.7+F166 * 0.2+G166 * 0.1,2)</f>
        <v>67.900000000000006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60</v>
      </c>
      <c r="P166" s="2">
        <f>E166 - O166</f>
        <v>15</v>
      </c>
      <c r="Q166" s="2">
        <f>ROUND(
  SIGN(P166)*
  IF(ABS(P166)&lt;=10,ABS(P166)*0.5,
     IF(ABS(P166)&lt;=15,5+(ABS(P166)-10)*(1.67/5),
        6.67+(ABS(P166)-15)*0.333)),
2)</f>
        <v>6.67</v>
      </c>
    </row>
    <row r="167" spans="1:17" ht="34.5" customHeight="1" x14ac:dyDescent="0.3">
      <c r="B167" s="2">
        <v>166</v>
      </c>
      <c r="C167" s="16">
        <f>ROUND(MAX(MIN(N167 + Q167, 100), 0), 2)</f>
        <v>74.5</v>
      </c>
      <c r="D167" s="2" t="s">
        <v>369</v>
      </c>
      <c r="E167" s="5">
        <v>71</v>
      </c>
      <c r="F167" s="7">
        <v>62</v>
      </c>
      <c r="G167" s="2">
        <v>54</v>
      </c>
      <c r="H167" s="2" t="s">
        <v>31</v>
      </c>
      <c r="I167" s="2" t="s">
        <v>36</v>
      </c>
      <c r="J167" s="3" t="s">
        <v>37</v>
      </c>
      <c r="M167" s="2">
        <f>IF(J167="1000+", 1000, (LEFT(J167,FIND("-",J167)-1)+RIGHT(J167,LEN(J167)-FIND("-",J167)))/2)</f>
        <v>15</v>
      </c>
      <c r="N167" s="2">
        <f>ROUND(E167 * 0.7+F167 * 0.2+G167 * 0.1,2)</f>
        <v>67.5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55</v>
      </c>
      <c r="P167" s="2">
        <f>E167 - O167</f>
        <v>16</v>
      </c>
      <c r="Q167" s="2">
        <f>ROUND(
  SIGN(P167)*
  IF(ABS(P167)&lt;=10,ABS(P167)*0.5,
     IF(ABS(P167)&lt;=15,5+(ABS(P167)-10)*(1.67/5),
        6.67+(ABS(P167)-15)*0.333)),
2)</f>
        <v>7</v>
      </c>
    </row>
    <row r="168" spans="1:17" ht="34.5" customHeight="1" x14ac:dyDescent="0.3">
      <c r="B168" s="2">
        <v>167</v>
      </c>
      <c r="C168" s="16">
        <f>ROUND(MAX(MIN(N168 + Q168, 100), 0), 2)</f>
        <v>74.5</v>
      </c>
      <c r="D168" s="2" t="s">
        <v>221</v>
      </c>
      <c r="E168" s="5">
        <v>74</v>
      </c>
      <c r="F168" s="7">
        <v>65</v>
      </c>
      <c r="G168" s="2">
        <v>52</v>
      </c>
      <c r="H168" s="2" t="s">
        <v>149</v>
      </c>
      <c r="I168" s="2" t="s">
        <v>17</v>
      </c>
      <c r="J168" s="3" t="s">
        <v>32</v>
      </c>
      <c r="K168" s="2" t="s">
        <v>222</v>
      </c>
      <c r="M168" s="2">
        <f>IF(J168="1000+", 1000, (LEFT(J168,FIND("-",J168)-1)+RIGHT(J168,LEN(J168)-FIND("-",J168)))/2)</f>
        <v>45</v>
      </c>
      <c r="N168" s="2">
        <f>ROUND(E168 * 0.7+F168 * 0.2+G168 * 0.1,2)</f>
        <v>70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65</v>
      </c>
      <c r="P168" s="2">
        <f>E168 - O168</f>
        <v>9</v>
      </c>
      <c r="Q168" s="2">
        <f>ROUND(
  SIGN(P168)*
  IF(ABS(P168)&lt;=10,ABS(P168)*0.5,
     IF(ABS(P168)&lt;=15,5+(ABS(P168)-10)*(1.67/5),
        6.67+(ABS(P168)-15)*0.333)),
2)</f>
        <v>4.5</v>
      </c>
    </row>
    <row r="169" spans="1:17" ht="34.5" customHeight="1" x14ac:dyDescent="0.3">
      <c r="B169" s="2">
        <v>168</v>
      </c>
      <c r="C169" s="16">
        <f>ROUND(MAX(MIN(N169 + Q169, 100), 0), 2)</f>
        <v>74.5</v>
      </c>
      <c r="D169" s="2" t="s">
        <v>225</v>
      </c>
      <c r="E169" s="5">
        <v>75</v>
      </c>
      <c r="F169" s="7">
        <v>65</v>
      </c>
      <c r="G169" s="7">
        <v>65</v>
      </c>
      <c r="H169" s="2" t="s">
        <v>48</v>
      </c>
      <c r="I169" s="2" t="s">
        <v>49</v>
      </c>
      <c r="J169" s="3" t="s">
        <v>18</v>
      </c>
      <c r="K169" s="2" t="s">
        <v>226</v>
      </c>
      <c r="M169" s="2">
        <f>IF(J169="1000+", 1000, (LEFT(J169,FIND("-",J169)-1)+RIGHT(J169,LEN(J169)-FIND("-",J169)))/2)</f>
        <v>75</v>
      </c>
      <c r="N169" s="2">
        <f>ROUND(E169 * 0.7+F169 * 0.2+G169 * 0.1,2)</f>
        <v>72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70</v>
      </c>
      <c r="P169" s="2">
        <f>E169 - O169</f>
        <v>5</v>
      </c>
      <c r="Q169" s="2">
        <f>ROUND(
  SIGN(P169)*
  IF(ABS(P169)&lt;=10,ABS(P169)*0.5,
     IF(ABS(P169)&lt;=15,5+(ABS(P169)-10)*(1.67/5),
        6.67+(ABS(P169)-15)*0.333)),
2)</f>
        <v>2.5</v>
      </c>
    </row>
    <row r="170" spans="1:17" ht="34.5" customHeight="1" x14ac:dyDescent="0.3">
      <c r="B170" s="2">
        <v>169</v>
      </c>
      <c r="C170" s="16">
        <f>ROUND(MAX(MIN(N170 + Q170, 100), 0), 2)</f>
        <v>74.400000000000006</v>
      </c>
      <c r="D170" s="2" t="s">
        <v>234</v>
      </c>
      <c r="E170" s="5">
        <v>76</v>
      </c>
      <c r="F170" s="5">
        <v>71</v>
      </c>
      <c r="G170" s="7">
        <v>65</v>
      </c>
      <c r="H170" s="2" t="s">
        <v>31</v>
      </c>
      <c r="I170" s="2" t="s">
        <v>27</v>
      </c>
      <c r="J170" s="3" t="s">
        <v>140</v>
      </c>
      <c r="K170" s="2" t="s">
        <v>235</v>
      </c>
      <c r="M170" s="2">
        <f>IF(J170="1000+", 1000, (LEFT(J170,FIND("-",J170)-1)+RIGHT(J170,LEN(J170)-FIND("-",J170)))/2)</f>
        <v>115</v>
      </c>
      <c r="N170" s="2">
        <f>ROUND(E170 * 0.7+F170 * 0.2+G170 * 0.1,2)</f>
        <v>73.900000000000006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75</v>
      </c>
      <c r="P170" s="2">
        <f>E170 - O170</f>
        <v>1</v>
      </c>
      <c r="Q170" s="2">
        <f>ROUND(
  SIGN(P170)*
  IF(ABS(P170)&lt;=10,ABS(P170)*0.5,
     IF(ABS(P170)&lt;=15,5+(ABS(P170)-10)*(1.67/5),
        6.67+(ABS(P170)-15)*0.333)),
2)</f>
        <v>0.5</v>
      </c>
    </row>
    <row r="171" spans="1:17" ht="34.5" customHeight="1" x14ac:dyDescent="0.3">
      <c r="B171" s="2">
        <v>170</v>
      </c>
      <c r="C171" s="16">
        <f>ROUND(MAX(MIN(N171 + Q171, 100), 0), 2)</f>
        <v>74.33</v>
      </c>
      <c r="D171" s="2" t="s">
        <v>294</v>
      </c>
      <c r="E171" s="5">
        <v>71</v>
      </c>
      <c r="F171" s="7">
        <v>64</v>
      </c>
      <c r="G171" s="7">
        <v>65</v>
      </c>
      <c r="H171" s="2" t="s">
        <v>31</v>
      </c>
      <c r="I171" s="2" t="s">
        <v>36</v>
      </c>
      <c r="J171" s="3" t="s">
        <v>132</v>
      </c>
      <c r="M171" s="2">
        <f>IF(J171="1000+", 1000, (LEFT(J171,FIND("-",J171)-1)+RIGHT(J171,LEN(J171)-FIND("-",J171)))/2)</f>
        <v>20</v>
      </c>
      <c r="N171" s="2">
        <f>ROUND(E171 * 0.7+F171 * 0.2+G171 * 0.1,2)</f>
        <v>69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60</v>
      </c>
      <c r="P171" s="2">
        <f>E171 - O171</f>
        <v>11</v>
      </c>
      <c r="Q171" s="2">
        <f>ROUND(
  SIGN(P171)*
  IF(ABS(P171)&lt;=10,ABS(P171)*0.5,
     IF(ABS(P171)&lt;=15,5+(ABS(P171)-10)*(1.67/5),
        6.67+(ABS(P171)-15)*0.333)),
2)</f>
        <v>5.33</v>
      </c>
    </row>
    <row r="172" spans="1:17" ht="34.5" customHeight="1" x14ac:dyDescent="0.3">
      <c r="B172" s="2">
        <v>171</v>
      </c>
      <c r="C172" s="16">
        <f>ROUND(MAX(MIN(N172 + Q172, 100), 0), 2)</f>
        <v>74.3</v>
      </c>
      <c r="D172" s="2" t="s">
        <v>320</v>
      </c>
      <c r="E172" s="5">
        <v>75</v>
      </c>
      <c r="F172" s="2">
        <v>52</v>
      </c>
      <c r="G172" s="2">
        <v>54</v>
      </c>
      <c r="H172" s="2" t="s">
        <v>104</v>
      </c>
      <c r="I172" s="2" t="s">
        <v>36</v>
      </c>
      <c r="J172" s="3" t="s">
        <v>146</v>
      </c>
      <c r="M172" s="2">
        <f>IF(J172="1000+", 1000, (LEFT(J172,FIND("-",J172)-1)+RIGHT(J172,LEN(J172)-FIND("-",J172)))/2)</f>
        <v>30</v>
      </c>
      <c r="N172" s="2">
        <f>ROUND(E172 * 0.7+F172 * 0.2+G172 * 0.1,2)</f>
        <v>68.3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62</v>
      </c>
      <c r="P172" s="2">
        <f>E172 - O172</f>
        <v>13</v>
      </c>
      <c r="Q172" s="2">
        <f>ROUND(
  SIGN(P172)*
  IF(ABS(P172)&lt;=10,ABS(P172)*0.5,
     IF(ABS(P172)&lt;=15,5+(ABS(P172)-10)*(1.67/5),
        6.67+(ABS(P172)-15)*0.333)),
2)</f>
        <v>6</v>
      </c>
    </row>
    <row r="173" spans="1:17" ht="34.5" customHeight="1" x14ac:dyDescent="0.3">
      <c r="A173" s="2">
        <v>2026</v>
      </c>
      <c r="B173" s="2">
        <v>172</v>
      </c>
      <c r="C173" s="16">
        <f>ROUND(MAX(MIN(N173 + Q173, 100), 0), 2)</f>
        <v>74.2</v>
      </c>
      <c r="D173" s="2" t="s">
        <v>1374</v>
      </c>
      <c r="E173" s="5">
        <v>73</v>
      </c>
      <c r="F173" s="6">
        <v>83</v>
      </c>
      <c r="G173" s="7">
        <v>60</v>
      </c>
      <c r="H173" s="2" t="s">
        <v>1382</v>
      </c>
      <c r="I173" s="2" t="s">
        <v>1705</v>
      </c>
      <c r="J173" s="3" t="s">
        <v>1394</v>
      </c>
      <c r="M173" s="2">
        <f>IF(J173="1000+", 1000, (LEFT(J173,FIND("-",J173)-1)+RIGHT(J173,LEN(J173)-FIND("-",J173)))/2)</f>
        <v>105</v>
      </c>
      <c r="N173" s="2">
        <f>ROUND(E173 * 0.7+F173 * 0.2+G173 * 0.1,2)</f>
        <v>73.7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72</v>
      </c>
      <c r="P173" s="2">
        <f>E173 - O173</f>
        <v>1</v>
      </c>
      <c r="Q173" s="2">
        <f>ROUND(
  SIGN(P173)*
  IF(ABS(P173)&lt;=10,ABS(P173)*0.5,
     IF(ABS(P173)&lt;=15,5+(ABS(P173)-10)*(1.67/5),
        6.67+(ABS(P173)-15)*0.333)),
2)</f>
        <v>0.5</v>
      </c>
    </row>
    <row r="174" spans="1:17" ht="34.5" customHeight="1" x14ac:dyDescent="0.3">
      <c r="B174" s="2">
        <v>173</v>
      </c>
      <c r="C174" s="16">
        <f>ROUND(MAX(MIN(N174 + Q174, 100), 0), 2)</f>
        <v>74.2</v>
      </c>
      <c r="D174" s="2" t="s">
        <v>254</v>
      </c>
      <c r="E174" s="5">
        <v>75</v>
      </c>
      <c r="F174" s="7">
        <v>69</v>
      </c>
      <c r="G174" s="7">
        <v>64</v>
      </c>
      <c r="H174" s="2" t="s">
        <v>31</v>
      </c>
      <c r="I174" s="2" t="s">
        <v>165</v>
      </c>
      <c r="J174" s="3" t="s">
        <v>122</v>
      </c>
      <c r="M174" s="2">
        <f>IF(J174="1000+", 1000, (LEFT(J174,FIND("-",J174)-1)+RIGHT(J174,LEN(J174)-FIND("-",J174)))/2)</f>
        <v>105</v>
      </c>
      <c r="N174" s="2">
        <f>ROUND(E174 * 0.7+F174 * 0.2+G174 * 0.1,2)</f>
        <v>72.7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72</v>
      </c>
      <c r="P174" s="2">
        <f>E174 - O174</f>
        <v>3</v>
      </c>
      <c r="Q174" s="2">
        <f>ROUND(
  SIGN(P174)*
  IF(ABS(P174)&lt;=10,ABS(P174)*0.5,
     IF(ABS(P174)&lt;=15,5+(ABS(P174)-10)*(1.67/5),
        6.67+(ABS(P174)-15)*0.333)),
2)</f>
        <v>1.5</v>
      </c>
    </row>
    <row r="175" spans="1:17" ht="34.5" customHeight="1" x14ac:dyDescent="0.3">
      <c r="B175" s="2">
        <v>174</v>
      </c>
      <c r="C175" s="16">
        <f>ROUND(MAX(MIN(N175 + Q175, 100), 0), 2)</f>
        <v>74.2</v>
      </c>
      <c r="D175" s="2" t="s">
        <v>194</v>
      </c>
      <c r="E175" s="5">
        <v>77</v>
      </c>
      <c r="F175" s="7">
        <v>67</v>
      </c>
      <c r="G175" s="6">
        <v>84</v>
      </c>
      <c r="H175" s="2" t="s">
        <v>71</v>
      </c>
      <c r="I175" s="2" t="s">
        <v>72</v>
      </c>
      <c r="J175" s="3" t="s">
        <v>88</v>
      </c>
      <c r="M175" s="2">
        <f>IF(J175="1000+", 1000, (LEFT(J175,FIND("-",J175)-1)+RIGHT(J175,LEN(J175)-FIND("-",J175)))/2)</f>
        <v>150</v>
      </c>
      <c r="N175" s="2">
        <f>ROUND(E175 * 0.7+F175 * 0.2+G175 * 0.1,2)</f>
        <v>75.7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80</v>
      </c>
      <c r="P175" s="2">
        <f>E175 - O175</f>
        <v>-3</v>
      </c>
      <c r="Q175" s="2">
        <f>ROUND(
  SIGN(P175)*
  IF(ABS(P175)&lt;=10,ABS(P175)*0.5,
     IF(ABS(P175)&lt;=15,5+(ABS(P175)-10)*(1.67/5),
        6.67+(ABS(P175)-15)*0.333)),
2)</f>
        <v>-1.5</v>
      </c>
    </row>
    <row r="176" spans="1:17" ht="34.5" customHeight="1" x14ac:dyDescent="0.3">
      <c r="A176" s="2">
        <v>2026</v>
      </c>
      <c r="B176" s="2">
        <v>175</v>
      </c>
      <c r="C176" s="16">
        <f>ROUND(MAX(MIN(N176 + Q176, 100), 0), 2)</f>
        <v>74.17</v>
      </c>
      <c r="D176" s="2" t="s">
        <v>1556</v>
      </c>
      <c r="E176" s="5">
        <v>73</v>
      </c>
      <c r="F176" s="2">
        <v>56</v>
      </c>
      <c r="G176" s="2">
        <v>42</v>
      </c>
      <c r="H176" s="2" t="s">
        <v>1565</v>
      </c>
      <c r="I176" s="2" t="s">
        <v>36</v>
      </c>
      <c r="J176" s="3" t="s">
        <v>1575</v>
      </c>
      <c r="K176" s="2" t="s">
        <v>1561</v>
      </c>
      <c r="M176" s="2">
        <f>IF(J176="1000+", 1000, (LEFT(J176,FIND("-",J176)-1)+RIGHT(J176,LEN(J176)-FIND("-",J176)))/2)</f>
        <v>15</v>
      </c>
      <c r="N176" s="2">
        <f>ROUND(E176 * 0.7+F176 * 0.2+G176 * 0.1,2)</f>
        <v>66.5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55</v>
      </c>
      <c r="P176" s="2">
        <f>E176 - O176</f>
        <v>18</v>
      </c>
      <c r="Q176" s="2">
        <f>ROUND(
  SIGN(P176)*
  IF(ABS(P176)&lt;=10,ABS(P176)*0.5,
     IF(ABS(P176)&lt;=15,5+(ABS(P176)-10)*(1.67/5),
        6.67+(ABS(P176)-15)*0.333)),
2)</f>
        <v>7.67</v>
      </c>
    </row>
    <row r="177" spans="1:17" ht="34.5" customHeight="1" x14ac:dyDescent="0.3">
      <c r="A177" s="2">
        <v>2026</v>
      </c>
      <c r="B177" s="2">
        <v>176</v>
      </c>
      <c r="C177" s="16">
        <f>ROUND(MAX(MIN(N177 + Q177, 100), 0), 2)</f>
        <v>74.17</v>
      </c>
      <c r="D177" s="2" t="s">
        <v>2031</v>
      </c>
      <c r="E177" s="5">
        <v>77</v>
      </c>
      <c r="F177" s="2">
        <v>53</v>
      </c>
      <c r="G177" s="2">
        <v>40</v>
      </c>
      <c r="H177" s="2" t="s">
        <v>1256</v>
      </c>
      <c r="I177" s="2" t="s">
        <v>22</v>
      </c>
      <c r="J177" s="3" t="s">
        <v>1262</v>
      </c>
      <c r="M177" s="2">
        <f>IF(J177="1000+", 1000, (LEFT(J177,FIND("-",J177)-1)+RIGHT(J177,LEN(J177)-FIND("-",J177)))/2)</f>
        <v>45</v>
      </c>
      <c r="N177" s="2">
        <f>ROUND(E177 * 0.7+F177 * 0.2+G177 * 0.1,2)</f>
        <v>68.5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65</v>
      </c>
      <c r="P177" s="2">
        <f>E177 - O177</f>
        <v>12</v>
      </c>
      <c r="Q177" s="2">
        <f>ROUND(
  SIGN(P177)*
  IF(ABS(P177)&lt;=10,ABS(P177)*0.5,
     IF(ABS(P177)&lt;=15,5+(ABS(P177)-10)*(1.67/5),
        6.67+(ABS(P177)-15)*0.333)),
2)</f>
        <v>5.67</v>
      </c>
    </row>
    <row r="178" spans="1:17" ht="34.5" customHeight="1" x14ac:dyDescent="0.3">
      <c r="B178" s="2">
        <v>177</v>
      </c>
      <c r="C178" s="16">
        <f>ROUND(MAX(MIN(N178 + Q178, 100), 0), 2)</f>
        <v>74.099999999999994</v>
      </c>
      <c r="D178" s="2" t="s">
        <v>202</v>
      </c>
      <c r="E178" s="5">
        <v>72</v>
      </c>
      <c r="F178" s="7">
        <v>67</v>
      </c>
      <c r="G178" s="6">
        <v>83</v>
      </c>
      <c r="H178" s="2" t="s">
        <v>203</v>
      </c>
      <c r="I178" s="2" t="s">
        <v>72</v>
      </c>
      <c r="J178" s="3" t="s">
        <v>23</v>
      </c>
      <c r="K178" s="2" t="s">
        <v>204</v>
      </c>
      <c r="M178" s="2">
        <f>IF(J178="1000+", 1000, (LEFT(J178,FIND("-",J178)-1)+RIGHT(J178,LEN(J178)-FIND("-",J178)))/2)</f>
        <v>60</v>
      </c>
      <c r="N178" s="2">
        <f>ROUND(E178 * 0.7+F178 * 0.2+G178 * 0.1,2)</f>
        <v>72.099999999999994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68</v>
      </c>
      <c r="P178" s="2">
        <f>E178 - O178</f>
        <v>4</v>
      </c>
      <c r="Q178" s="2">
        <f>ROUND(
  SIGN(P178)*
  IF(ABS(P178)&lt;=10,ABS(P178)*0.5,
     IF(ABS(P178)&lt;=15,5+(ABS(P178)-10)*(1.67/5),
        6.67+(ABS(P178)-15)*0.333)),
2)</f>
        <v>2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74.099999999999994</v>
      </c>
      <c r="D179" s="2" t="s">
        <v>1909</v>
      </c>
      <c r="E179" s="2">
        <v>78</v>
      </c>
      <c r="F179" s="2">
        <v>52</v>
      </c>
      <c r="G179" s="2">
        <v>51</v>
      </c>
      <c r="H179" s="2" t="s">
        <v>1256</v>
      </c>
      <c r="I179" s="2" t="s">
        <v>1300</v>
      </c>
      <c r="J179" s="3" t="s">
        <v>1264</v>
      </c>
      <c r="M179" s="2">
        <f>IF(J179="1000+", 1000, (LEFT(J179,FIND("-",J179)-1)+RIGHT(J179,LEN(J179)-FIND("-",J179)))/2)</f>
        <v>75</v>
      </c>
      <c r="N179" s="2">
        <f>ROUND(E179 * 0.7+F179 * 0.2+G179 * 0.1,2)</f>
        <v>70.099999999999994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70</v>
      </c>
      <c r="P179" s="2">
        <f>E179 - O179</f>
        <v>8</v>
      </c>
      <c r="Q179" s="2">
        <f>ROUND(
  SIGN(P179)*
  IF(ABS(P179)&lt;=10,ABS(P179)*0.5,
     IF(ABS(P179)&lt;=15,5+(ABS(P179)-10)*(1.67/5),
        6.67+(ABS(P179)-15)*0.333)),
2)</f>
        <v>4</v>
      </c>
    </row>
    <row r="180" spans="1:17" ht="34.5" customHeight="1" x14ac:dyDescent="0.3">
      <c r="B180" s="2">
        <v>179</v>
      </c>
      <c r="C180" s="16">
        <f>ROUND(MAX(MIN(N180 + Q180, 100), 0), 2)</f>
        <v>74</v>
      </c>
      <c r="D180" s="2" t="s">
        <v>354</v>
      </c>
      <c r="E180" s="5">
        <v>76</v>
      </c>
      <c r="F180" s="7">
        <v>69</v>
      </c>
      <c r="G180" s="2">
        <v>40</v>
      </c>
      <c r="H180" s="2" t="s">
        <v>217</v>
      </c>
      <c r="I180" s="2" t="s">
        <v>22</v>
      </c>
      <c r="J180" s="3" t="s">
        <v>18</v>
      </c>
      <c r="M180" s="2">
        <f>IF(J180="1000+", 1000, (LEFT(J180,FIND("-",J180)-1)+RIGHT(J180,LEN(J180)-FIND("-",J180)))/2)</f>
        <v>75</v>
      </c>
      <c r="N180" s="2">
        <f>ROUND(E180 * 0.7+F180 * 0.2+G180 * 0.1,2)</f>
        <v>71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70</v>
      </c>
      <c r="P180" s="2">
        <f>E180 - O180</f>
        <v>6</v>
      </c>
      <c r="Q180" s="2">
        <f>ROUND(
  SIGN(P180)*
  IF(ABS(P180)&lt;=10,ABS(P180)*0.5,
     IF(ABS(P180)&lt;=15,5+(ABS(P180)-10)*(1.67/5),
        6.67+(ABS(P180)-15)*0.333)),
2)</f>
        <v>3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74</v>
      </c>
      <c r="D181" s="2" t="s">
        <v>1842</v>
      </c>
      <c r="E181" s="5">
        <v>75</v>
      </c>
      <c r="F181" s="5">
        <v>70</v>
      </c>
      <c r="G181" s="2">
        <v>50</v>
      </c>
      <c r="H181" s="2" t="s">
        <v>1257</v>
      </c>
      <c r="I181" s="2" t="s">
        <v>1300</v>
      </c>
      <c r="J181" s="3" t="s">
        <v>1264</v>
      </c>
      <c r="M181" s="2">
        <f>IF(J181="1000+", 1000, (LEFT(J181,FIND("-",J181)-1)+RIGHT(J181,LEN(J181)-FIND("-",J181)))/2)</f>
        <v>75</v>
      </c>
      <c r="N181" s="2">
        <f>ROUND(E181 * 0.7+F181 * 0.2+G181 * 0.1,2)</f>
        <v>71.5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5</v>
      </c>
      <c r="Q181" s="2">
        <f>ROUND(
  SIGN(P181)*
  IF(ABS(P181)&lt;=10,ABS(P181)*0.5,
     IF(ABS(P181)&lt;=15,5+(ABS(P181)-10)*(1.67/5),
        6.67+(ABS(P181)-15)*0.333)),
2)</f>
        <v>2.5</v>
      </c>
    </row>
    <row r="182" spans="1:17" ht="34.5" customHeight="1" x14ac:dyDescent="0.3">
      <c r="B182" s="2">
        <v>181</v>
      </c>
      <c r="C182" s="16">
        <f>ROUND(MAX(MIN(N182 + Q182, 100), 0), 2)</f>
        <v>74</v>
      </c>
      <c r="D182" s="2" t="s">
        <v>269</v>
      </c>
      <c r="E182" s="5">
        <v>76</v>
      </c>
      <c r="F182" s="7">
        <v>63</v>
      </c>
      <c r="G182" s="2">
        <v>42</v>
      </c>
      <c r="H182" s="2" t="s">
        <v>85</v>
      </c>
      <c r="I182" s="2" t="s">
        <v>22</v>
      </c>
      <c r="J182" s="3" t="s">
        <v>23</v>
      </c>
      <c r="K182" s="2" t="s">
        <v>169</v>
      </c>
      <c r="M182" s="2">
        <f>IF(J182="1000+", 1000, (LEFT(J182,FIND("-",J182)-1)+RIGHT(J182,LEN(J182)-FIND("-",J182)))/2)</f>
        <v>60</v>
      </c>
      <c r="N182" s="2">
        <f>ROUND(E182 * 0.7+F182 * 0.2+G182 * 0.1,2)</f>
        <v>70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68</v>
      </c>
      <c r="P182" s="2">
        <f>E182 - O182</f>
        <v>8</v>
      </c>
      <c r="Q182" s="2">
        <f>ROUND(
  SIGN(P182)*
  IF(ABS(P182)&lt;=10,ABS(P182)*0.5,
     IF(ABS(P182)&lt;=15,5+(ABS(P182)-10)*(1.67/5),
        6.67+(ABS(P182)-15)*0.333)),
2)</f>
        <v>4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74</v>
      </c>
      <c r="D183" s="2" t="s">
        <v>2019</v>
      </c>
      <c r="E183" s="5">
        <v>76</v>
      </c>
      <c r="F183" s="7">
        <v>61</v>
      </c>
      <c r="G183" s="2">
        <v>56</v>
      </c>
      <c r="H183" s="2" t="s">
        <v>1256</v>
      </c>
      <c r="I183" s="2" t="s">
        <v>1592</v>
      </c>
      <c r="J183" s="3" t="s">
        <v>1264</v>
      </c>
      <c r="M183" s="2">
        <f>IF(J183="1000+", 1000, (LEFT(J183,FIND("-",J183)-1)+RIGHT(J183,LEN(J183)-FIND("-",J183)))/2)</f>
        <v>75</v>
      </c>
      <c r="N183" s="2">
        <f>ROUND(E183 * 0.7+F183 * 0.2+G183 * 0.1,2)</f>
        <v>71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70</v>
      </c>
      <c r="P183" s="2">
        <f>E183 - O183</f>
        <v>6</v>
      </c>
      <c r="Q183" s="2">
        <f>ROUND(
  SIGN(P183)*
  IF(ABS(P183)&lt;=10,ABS(P183)*0.5,
     IF(ABS(P183)&lt;=15,5+(ABS(P183)-10)*(1.67/5),
        6.67+(ABS(P183)-15)*0.333)),
2)</f>
        <v>3</v>
      </c>
    </row>
    <row r="184" spans="1:17" ht="34.5" customHeight="1" x14ac:dyDescent="0.3">
      <c r="A184" s="2">
        <v>2026</v>
      </c>
      <c r="B184" s="2">
        <v>183</v>
      </c>
      <c r="C184" s="16">
        <f>ROUND(MAX(MIN(N184 + Q184, 100), 0), 2)</f>
        <v>73.900000000000006</v>
      </c>
      <c r="D184" s="2" t="s">
        <v>1414</v>
      </c>
      <c r="E184" s="5">
        <v>74</v>
      </c>
      <c r="F184" s="2">
        <v>57</v>
      </c>
      <c r="G184" s="7">
        <v>62</v>
      </c>
      <c r="H184" s="2" t="s">
        <v>1421</v>
      </c>
      <c r="I184" s="2" t="s">
        <v>36</v>
      </c>
      <c r="J184" s="3" t="s">
        <v>1427</v>
      </c>
      <c r="M184" s="2">
        <f>IF(J184="1000+", 1000, (LEFT(J184,FIND("-",J184)-1)+RIGHT(J184,LEN(J184)-FIND("-",J184)))/2)</f>
        <v>45</v>
      </c>
      <c r="N184" s="2">
        <f>ROUND(E184 * 0.7+F184 * 0.2+G184 * 0.1,2)</f>
        <v>69.400000000000006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65</v>
      </c>
      <c r="P184" s="2">
        <f>E184 - O184</f>
        <v>9</v>
      </c>
      <c r="Q184" s="2">
        <f>ROUND(
  SIGN(P184)*
  IF(ABS(P184)&lt;=10,ABS(P184)*0.5,
     IF(ABS(P184)&lt;=15,5+(ABS(P184)-10)*(1.67/5),
        6.67+(ABS(P184)-15)*0.333)),
2)</f>
        <v>4.5</v>
      </c>
    </row>
    <row r="185" spans="1:17" ht="34.5" customHeight="1" x14ac:dyDescent="0.3">
      <c r="B185" s="2">
        <v>184</v>
      </c>
      <c r="C185" s="16">
        <f>ROUND(MAX(MIN(N185 + Q185, 100), 0), 2)</f>
        <v>73.83</v>
      </c>
      <c r="D185" s="2" t="s">
        <v>313</v>
      </c>
      <c r="E185" s="5">
        <v>76</v>
      </c>
      <c r="F185" s="2">
        <v>52</v>
      </c>
      <c r="G185" s="2">
        <v>49</v>
      </c>
      <c r="H185" s="2" t="s">
        <v>135</v>
      </c>
      <c r="I185" s="2" t="s">
        <v>36</v>
      </c>
      <c r="J185" s="3" t="s">
        <v>32</v>
      </c>
      <c r="K185" s="2" t="s">
        <v>314</v>
      </c>
      <c r="M185" s="2">
        <f>IF(J185="1000+", 1000, (LEFT(J185,FIND("-",J185)-1)+RIGHT(J185,LEN(J185)-FIND("-",J185)))/2)</f>
        <v>45</v>
      </c>
      <c r="N185" s="2">
        <f>ROUND(E185 * 0.7+F185 * 0.2+G185 * 0.1,2)</f>
        <v>68.5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65</v>
      </c>
      <c r="P185" s="2">
        <f>E185 - O185</f>
        <v>11</v>
      </c>
      <c r="Q185" s="2">
        <f>ROUND(
  SIGN(P185)*
  IF(ABS(P185)&lt;=10,ABS(P185)*0.5,
     IF(ABS(P185)&lt;=15,5+(ABS(P185)-10)*(1.67/5),
        6.67+(ABS(P185)-15)*0.333)),
2)</f>
        <v>5.33</v>
      </c>
    </row>
    <row r="186" spans="1:17" ht="34.5" customHeight="1" x14ac:dyDescent="0.3">
      <c r="B186" s="2">
        <v>185</v>
      </c>
      <c r="C186" s="16">
        <f>ROUND(MAX(MIN(N186 + Q186, 100), 0), 2)</f>
        <v>73.83</v>
      </c>
      <c r="D186" s="2" t="s">
        <v>245</v>
      </c>
      <c r="E186" s="6">
        <v>80</v>
      </c>
      <c r="F186" s="6">
        <v>83</v>
      </c>
      <c r="G186" s="5">
        <v>79</v>
      </c>
      <c r="H186" s="2" t="s">
        <v>171</v>
      </c>
      <c r="I186" s="2" t="s">
        <v>41</v>
      </c>
      <c r="J186" s="3" t="s">
        <v>50</v>
      </c>
      <c r="K186" s="2" t="s">
        <v>246</v>
      </c>
      <c r="M186" s="2">
        <f>IF(J186="1000+", 1000, (LEFT(J186,FIND("-",J186)-1)+RIGHT(J186,LEN(J186)-FIND("-",J186)))/2)</f>
        <v>1000</v>
      </c>
      <c r="N186" s="2">
        <f>ROUND(E186 * 0.7+F186 * 0.2+G186 * 0.1,2)</f>
        <v>80.5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95</v>
      </c>
      <c r="P186" s="2">
        <f>E186 - O186</f>
        <v>-15</v>
      </c>
      <c r="Q186" s="2">
        <f>ROUND(
  SIGN(P186)*
  IF(ABS(P186)&lt;=10,ABS(P186)*0.5,
     IF(ABS(P186)&lt;=15,5+(ABS(P186)-10)*(1.67/5),
        6.67+(ABS(P186)-15)*0.333)),
2)</f>
        <v>-6.67</v>
      </c>
    </row>
    <row r="187" spans="1:17" ht="34.5" customHeight="1" x14ac:dyDescent="0.3">
      <c r="B187" s="2">
        <v>186</v>
      </c>
      <c r="C187" s="16">
        <f>ROUND(MAX(MIN(N187 + Q187, 100), 0), 2)</f>
        <v>73.8</v>
      </c>
      <c r="D187" s="2" t="s">
        <v>284</v>
      </c>
      <c r="E187" s="6">
        <v>82</v>
      </c>
      <c r="F187" s="7">
        <v>64</v>
      </c>
      <c r="G187" s="5">
        <v>76</v>
      </c>
      <c r="H187" s="2" t="s">
        <v>61</v>
      </c>
      <c r="I187" s="2" t="s">
        <v>17</v>
      </c>
      <c r="J187" s="3" t="s">
        <v>42</v>
      </c>
      <c r="K187" s="2" t="s">
        <v>285</v>
      </c>
      <c r="M187" s="2">
        <f>IF(J187="1000+", 1000, (LEFT(J187,FIND("-",J187)-1)+RIGHT(J187,LEN(J187)-FIND("-",J187)))/2)</f>
        <v>600</v>
      </c>
      <c r="N187" s="2">
        <f>ROUND(E187 * 0.7+F187 * 0.2+G187 * 0.1,2)</f>
        <v>77.8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90</v>
      </c>
      <c r="P187" s="2">
        <f>E187 - O187</f>
        <v>-8</v>
      </c>
      <c r="Q187" s="2">
        <f>ROUND(
  SIGN(P187)*
  IF(ABS(P187)&lt;=10,ABS(P187)*0.5,
     IF(ABS(P187)&lt;=15,5+(ABS(P187)-10)*(1.67/5),
        6.67+(ABS(P187)-15)*0.333)),
2)</f>
        <v>-4</v>
      </c>
    </row>
    <row r="188" spans="1:17" ht="34.5" customHeight="1" x14ac:dyDescent="0.3">
      <c r="B188" s="2">
        <v>187</v>
      </c>
      <c r="C188" s="16">
        <f>ROUND(MAX(MIN(N188 + Q188, 100), 0), 2)</f>
        <v>73.7</v>
      </c>
      <c r="D188" s="2" t="s">
        <v>337</v>
      </c>
      <c r="E188" s="5">
        <v>74</v>
      </c>
      <c r="F188" s="5">
        <v>75</v>
      </c>
      <c r="G188" s="5">
        <v>74</v>
      </c>
      <c r="H188" s="2" t="s">
        <v>48</v>
      </c>
      <c r="I188" s="2" t="s">
        <v>41</v>
      </c>
      <c r="J188" s="3" t="s">
        <v>140</v>
      </c>
      <c r="M188" s="2">
        <f>IF(J188="1000+", 1000, (LEFT(J188,FIND("-",J188)-1)+RIGHT(J188,LEN(J188)-FIND("-",J188)))/2)</f>
        <v>115</v>
      </c>
      <c r="N188" s="2">
        <f>ROUND(E188 * 0.7+F188 * 0.2+G188 * 0.1,2)</f>
        <v>74.2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75</v>
      </c>
      <c r="P188" s="2">
        <f>E188 - O188</f>
        <v>-1</v>
      </c>
      <c r="Q188" s="2">
        <f>ROUND(
  SIGN(P188)*
  IF(ABS(P188)&lt;=10,ABS(P188)*0.5,
     IF(ABS(P188)&lt;=15,5+(ABS(P188)-10)*(1.67/5),
        6.67+(ABS(P188)-15)*0.333)),
2)</f>
        <v>-0.5</v>
      </c>
    </row>
    <row r="189" spans="1:17" ht="34.5" customHeight="1" x14ac:dyDescent="0.3">
      <c r="B189" s="2">
        <v>188</v>
      </c>
      <c r="C189" s="16">
        <f>ROUND(MAX(MIN(N189 + Q189, 100), 0), 2)</f>
        <v>73.7</v>
      </c>
      <c r="D189" s="2" t="s">
        <v>286</v>
      </c>
      <c r="E189" s="5">
        <v>75</v>
      </c>
      <c r="F189" s="7">
        <v>60</v>
      </c>
      <c r="G189" s="2">
        <v>57</v>
      </c>
      <c r="H189" s="2" t="s">
        <v>58</v>
      </c>
      <c r="I189" s="2" t="s">
        <v>49</v>
      </c>
      <c r="J189" s="3" t="s">
        <v>23</v>
      </c>
      <c r="M189" s="2">
        <f>IF(J189="1000+", 1000, (LEFT(J189,FIND("-",J189)-1)+RIGHT(J189,LEN(J189)-FIND("-",J189)))/2)</f>
        <v>60</v>
      </c>
      <c r="N189" s="2">
        <f>ROUND(E189 * 0.7+F189 * 0.2+G189 * 0.1,2)</f>
        <v>70.2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68</v>
      </c>
      <c r="P189" s="2">
        <f>E189 - O189</f>
        <v>7</v>
      </c>
      <c r="Q189" s="2">
        <f>ROUND(
  SIGN(P189)*
  IF(ABS(P189)&lt;=10,ABS(P189)*0.5,
     IF(ABS(P189)&lt;=15,5+(ABS(P189)-10)*(1.67/5),
        6.67+(ABS(P189)-15)*0.333)),
2)</f>
        <v>3.5</v>
      </c>
    </row>
    <row r="190" spans="1:17" ht="34.5" customHeight="1" x14ac:dyDescent="0.3">
      <c r="B190" s="2">
        <v>189</v>
      </c>
      <c r="C190" s="16">
        <f>ROUND(MAX(MIN(N190 + Q190, 100), 0), 2)</f>
        <v>73.599999999999994</v>
      </c>
      <c r="D190" s="2" t="s">
        <v>345</v>
      </c>
      <c r="E190" s="6">
        <v>83</v>
      </c>
      <c r="F190" s="7">
        <v>65</v>
      </c>
      <c r="G190" s="2">
        <v>60</v>
      </c>
      <c r="H190" s="2" t="s">
        <v>346</v>
      </c>
      <c r="I190" s="2" t="s">
        <v>177</v>
      </c>
      <c r="J190" s="3" t="s">
        <v>42</v>
      </c>
      <c r="K190" s="2" t="s">
        <v>347</v>
      </c>
      <c r="M190" s="2">
        <f>IF(J190="1000+", 1000, (LEFT(J190,FIND("-",J190)-1)+RIGHT(J190,LEN(J190)-FIND("-",J190)))/2)</f>
        <v>600</v>
      </c>
      <c r="N190" s="2">
        <f>ROUND(E190 * 0.7+F190 * 0.2+G190 * 0.1,2)</f>
        <v>77.099999999999994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90</v>
      </c>
      <c r="P190" s="2">
        <f>E190 - O190</f>
        <v>-7</v>
      </c>
      <c r="Q190" s="2">
        <f>ROUND(
  SIGN(P190)*
  IF(ABS(P190)&lt;=10,ABS(P190)*0.5,
     IF(ABS(P190)&lt;=15,5+(ABS(P190)-10)*(1.67/5),
        6.67+(ABS(P190)-15)*0.333)),
2)</f>
        <v>-3.5</v>
      </c>
    </row>
    <row r="191" spans="1:17" ht="34.5" customHeight="1" x14ac:dyDescent="0.3">
      <c r="A191" s="2">
        <v>2026</v>
      </c>
      <c r="B191" s="2">
        <v>190</v>
      </c>
      <c r="C191" s="16">
        <f>ROUND(MAX(MIN(N191 + Q191, 100), 0), 2)</f>
        <v>73.599999999999994</v>
      </c>
      <c r="D191" s="2" t="s">
        <v>1837</v>
      </c>
      <c r="E191" s="5">
        <v>79</v>
      </c>
      <c r="F191" s="7">
        <v>60</v>
      </c>
      <c r="G191" s="7">
        <v>68</v>
      </c>
      <c r="H191" s="2" t="s">
        <v>1256</v>
      </c>
      <c r="I191" s="2" t="s">
        <v>1859</v>
      </c>
      <c r="J191" s="3" t="s">
        <v>1260</v>
      </c>
      <c r="K191" s="2" t="s">
        <v>1838</v>
      </c>
      <c r="M191" s="2">
        <f>IF(J191="1000+", 1000, (LEFT(J191,FIND("-",J191)-1)+RIGHT(J191,LEN(J191)-FIND("-",J191)))/2)</f>
        <v>150</v>
      </c>
      <c r="N191" s="2">
        <f>ROUND(E191 * 0.7+F191 * 0.2+G191 * 0.1,2)</f>
        <v>74.099999999999994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80</v>
      </c>
      <c r="P191" s="2">
        <f>E191 - O191</f>
        <v>-1</v>
      </c>
      <c r="Q191" s="2">
        <f>ROUND(
  SIGN(P191)*
  IF(ABS(P191)&lt;=10,ABS(P191)*0.5,
     IF(ABS(P191)&lt;=15,5+(ABS(P191)-10)*(1.67/5),
        6.67+(ABS(P191)-15)*0.333)),
2)</f>
        <v>-0.5</v>
      </c>
    </row>
    <row r="192" spans="1:17" ht="34.5" customHeight="1" x14ac:dyDescent="0.3">
      <c r="B192" s="2">
        <v>191</v>
      </c>
      <c r="C192" s="16">
        <f>ROUND(MAX(MIN(N192 + Q192, 100), 0), 2)</f>
        <v>73.599999999999994</v>
      </c>
      <c r="D192" s="2" t="s">
        <v>166</v>
      </c>
      <c r="E192" s="5">
        <v>74</v>
      </c>
      <c r="F192" s="6">
        <v>81</v>
      </c>
      <c r="G192" s="6">
        <v>86</v>
      </c>
      <c r="H192" s="2" t="s">
        <v>16</v>
      </c>
      <c r="I192" s="2" t="s">
        <v>17</v>
      </c>
      <c r="J192" s="3" t="s">
        <v>88</v>
      </c>
      <c r="M192" s="2">
        <f>IF(J192="1000+", 1000, (LEFT(J192,FIND("-",J192)-1)+RIGHT(J192,LEN(J192)-FIND("-",J192)))/2)</f>
        <v>150</v>
      </c>
      <c r="N192" s="2">
        <f>ROUND(E192 * 0.7+F192 * 0.2+G192 * 0.1,2)</f>
        <v>76.599999999999994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80</v>
      </c>
      <c r="P192" s="2">
        <f>E192 - O192</f>
        <v>-6</v>
      </c>
      <c r="Q192" s="2">
        <f>ROUND(
  SIGN(P192)*
  IF(ABS(P192)&lt;=10,ABS(P192)*0.5,
     IF(ABS(P192)&lt;=15,5+(ABS(P192)-10)*(1.67/5),
        6.67+(ABS(P192)-15)*0.333)),
2)</f>
        <v>-3</v>
      </c>
    </row>
    <row r="193" spans="1:17" ht="34.5" customHeight="1" x14ac:dyDescent="0.3">
      <c r="B193" s="2">
        <v>192</v>
      </c>
      <c r="C193" s="16">
        <f>ROUND(MAX(MIN(N193 + Q193, 100), 0), 2)</f>
        <v>73.5</v>
      </c>
      <c r="D193" s="2" t="s">
        <v>292</v>
      </c>
      <c r="E193" s="5">
        <v>77</v>
      </c>
      <c r="F193" s="2">
        <v>53</v>
      </c>
      <c r="G193" s="2">
        <v>45</v>
      </c>
      <c r="H193" s="2" t="s">
        <v>224</v>
      </c>
      <c r="I193" s="2" t="s">
        <v>72</v>
      </c>
      <c r="J193" s="3" t="s">
        <v>23</v>
      </c>
      <c r="K193" s="2" t="s">
        <v>293</v>
      </c>
      <c r="M193" s="2">
        <f>IF(J193="1000+", 1000, (LEFT(J193,FIND("-",J193)-1)+RIGHT(J193,LEN(J193)-FIND("-",J193)))/2)</f>
        <v>60</v>
      </c>
      <c r="N193" s="2">
        <f>ROUND(E193 * 0.7+F193 * 0.2+G193 * 0.1,2)</f>
        <v>69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68</v>
      </c>
      <c r="P193" s="2">
        <f>E193 - O193</f>
        <v>9</v>
      </c>
      <c r="Q193" s="2">
        <f>ROUND(
  SIGN(P193)*
  IF(ABS(P193)&lt;=10,ABS(P193)*0.5,
     IF(ABS(P193)&lt;=15,5+(ABS(P193)-10)*(1.67/5),
        6.67+(ABS(P193)-15)*0.333)),
2)</f>
        <v>4.5</v>
      </c>
    </row>
    <row r="194" spans="1:17" ht="34.5" customHeight="1" x14ac:dyDescent="0.3">
      <c r="B194" s="2">
        <v>193</v>
      </c>
      <c r="C194" s="16">
        <f>ROUND(MAX(MIN(N194 + Q194, 100), 0), 2)</f>
        <v>73.400000000000006</v>
      </c>
      <c r="D194" s="2" t="s">
        <v>335</v>
      </c>
      <c r="E194" s="5">
        <v>76</v>
      </c>
      <c r="F194" s="2">
        <v>51</v>
      </c>
      <c r="G194" s="2">
        <v>30</v>
      </c>
      <c r="H194" s="2" t="s">
        <v>104</v>
      </c>
      <c r="I194" s="2" t="s">
        <v>36</v>
      </c>
      <c r="J194" s="3" t="s">
        <v>132</v>
      </c>
      <c r="K194" s="2" t="s">
        <v>336</v>
      </c>
      <c r="M194" s="2">
        <f>IF(J194="1000+", 1000, (LEFT(J194,FIND("-",J194)-1)+RIGHT(J194,LEN(J194)-FIND("-",J194)))/2)</f>
        <v>20</v>
      </c>
      <c r="N194" s="2">
        <f>ROUND(E194 * 0.7+F194 * 0.2+G194 * 0.1,2)</f>
        <v>66.400000000000006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60</v>
      </c>
      <c r="P194" s="2">
        <f>E194 - O194</f>
        <v>16</v>
      </c>
      <c r="Q194" s="2">
        <f>ROUND(
  SIGN(P194)*
  IF(ABS(P194)&lt;=10,ABS(P194)*0.5,
     IF(ABS(P194)&lt;=15,5+(ABS(P194)-10)*(1.67/5),
        6.67+(ABS(P194)-15)*0.333)),
2)</f>
        <v>7</v>
      </c>
    </row>
    <row r="195" spans="1:17" ht="34.5" customHeight="1" x14ac:dyDescent="0.3">
      <c r="A195" s="2">
        <v>2026</v>
      </c>
      <c r="B195" s="2">
        <v>194</v>
      </c>
      <c r="C195" s="16">
        <f>ROUND(MAX(MIN(N195 + Q195, 100), 0), 2)</f>
        <v>73.400000000000006</v>
      </c>
      <c r="D195" s="2" t="s">
        <v>1908</v>
      </c>
      <c r="E195" s="2">
        <v>74</v>
      </c>
      <c r="F195" s="2">
        <v>60</v>
      </c>
      <c r="G195" s="2">
        <v>51</v>
      </c>
      <c r="H195" s="2" t="s">
        <v>1256</v>
      </c>
      <c r="I195" s="2" t="s">
        <v>1258</v>
      </c>
      <c r="J195" s="3" t="s">
        <v>1262</v>
      </c>
      <c r="M195" s="2">
        <f>IF(J195="1000+", 1000, (LEFT(J195,FIND("-",J195)-1)+RIGHT(J195,LEN(J195)-FIND("-",J195)))/2)</f>
        <v>45</v>
      </c>
      <c r="N195" s="2">
        <f>ROUND(E195 * 0.7+F195 * 0.2+G195 * 0.1,2)</f>
        <v>68.900000000000006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65</v>
      </c>
      <c r="P195" s="2">
        <f>E195 - O195</f>
        <v>9</v>
      </c>
      <c r="Q195" s="2">
        <f>ROUND(
  SIGN(P195)*
  IF(ABS(P195)&lt;=10,ABS(P195)*0.5,
     IF(ABS(P195)&lt;=15,5+(ABS(P195)-10)*(1.67/5),
        6.67+(ABS(P195)-15)*0.333)),
2)</f>
        <v>4.5</v>
      </c>
    </row>
    <row r="196" spans="1:17" ht="34.5" customHeight="1" x14ac:dyDescent="0.3">
      <c r="B196" s="2">
        <v>195</v>
      </c>
      <c r="C196" s="16">
        <f>ROUND(MAX(MIN(N196 + Q196, 100), 0), 2)</f>
        <v>73.33</v>
      </c>
      <c r="D196" s="2" t="s">
        <v>330</v>
      </c>
      <c r="E196" s="5">
        <v>73</v>
      </c>
      <c r="F196" s="2">
        <v>58</v>
      </c>
      <c r="G196" s="2">
        <v>53</v>
      </c>
      <c r="H196" s="2" t="s">
        <v>31</v>
      </c>
      <c r="I196" s="2" t="s">
        <v>41</v>
      </c>
      <c r="J196" s="3" t="s">
        <v>146</v>
      </c>
      <c r="M196" s="2">
        <f>IF(J196="1000+", 1000, (LEFT(J196,FIND("-",J196)-1)+RIGHT(J196,LEN(J196)-FIND("-",J196)))/2)</f>
        <v>30</v>
      </c>
      <c r="N196" s="2">
        <f>ROUND(E196 * 0.7+F196 * 0.2+G196 * 0.1,2)</f>
        <v>68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62</v>
      </c>
      <c r="P196" s="2">
        <f>E196 - O196</f>
        <v>11</v>
      </c>
      <c r="Q196" s="2">
        <f>ROUND(
  SIGN(P196)*
  IF(ABS(P196)&lt;=10,ABS(P196)*0.5,
     IF(ABS(P196)&lt;=15,5+(ABS(P196)-10)*(1.67/5),
        6.67+(ABS(P196)-15)*0.333)),
2)</f>
        <v>5.33</v>
      </c>
    </row>
    <row r="197" spans="1:17" ht="34.5" customHeight="1" x14ac:dyDescent="0.3">
      <c r="B197" s="2">
        <v>196</v>
      </c>
      <c r="C197" s="16">
        <f>ROUND(MAX(MIN(N197 + Q197, 100), 0), 2)</f>
        <v>73.3</v>
      </c>
      <c r="D197" s="2" t="s">
        <v>250</v>
      </c>
      <c r="E197" s="5">
        <v>78</v>
      </c>
      <c r="F197" s="5">
        <v>72</v>
      </c>
      <c r="G197" s="5">
        <v>78</v>
      </c>
      <c r="H197" s="2" t="s">
        <v>114</v>
      </c>
      <c r="I197" s="2" t="s">
        <v>218</v>
      </c>
      <c r="J197" s="3" t="s">
        <v>14</v>
      </c>
      <c r="K197" s="2" t="s">
        <v>251</v>
      </c>
      <c r="M197" s="2">
        <f>IF(J197="1000+", 1000, (LEFT(J197,FIND("-",J197)-1)+RIGHT(J197,LEN(J197)-FIND("-",J197)))/2)</f>
        <v>225</v>
      </c>
      <c r="N197" s="2">
        <f>ROUND(E197 * 0.7+F197 * 0.2+G197 * 0.1,2)</f>
        <v>76.8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85</v>
      </c>
      <c r="P197" s="2">
        <f>E197 - O197</f>
        <v>-7</v>
      </c>
      <c r="Q197" s="2">
        <f>ROUND(
  SIGN(P197)*
  IF(ABS(P197)&lt;=10,ABS(P197)*0.5,
     IF(ABS(P197)&lt;=15,5+(ABS(P197)-10)*(1.67/5),
        6.67+(ABS(P197)-15)*0.333)),
2)</f>
        <v>-3.5</v>
      </c>
    </row>
    <row r="198" spans="1:17" ht="34.5" customHeight="1" x14ac:dyDescent="0.3">
      <c r="B198" s="2">
        <v>197</v>
      </c>
      <c r="C198" s="16">
        <f>ROUND(MAX(MIN(N198 + Q198, 100), 0), 2)</f>
        <v>73.27</v>
      </c>
      <c r="D198" s="2" t="s">
        <v>353</v>
      </c>
      <c r="E198" s="5">
        <v>70</v>
      </c>
      <c r="F198" s="7">
        <v>62</v>
      </c>
      <c r="G198" s="2">
        <v>52</v>
      </c>
      <c r="H198" s="2" t="s">
        <v>206</v>
      </c>
      <c r="I198" s="2" t="s">
        <v>36</v>
      </c>
      <c r="J198" s="3" t="s">
        <v>37</v>
      </c>
      <c r="M198" s="2">
        <f>IF(J198="1000+", 1000, (LEFT(J198,FIND("-",J198)-1)+RIGHT(J198,LEN(J198)-FIND("-",J198)))/2)</f>
        <v>15</v>
      </c>
      <c r="N198" s="2">
        <f>ROUND(E198 * 0.7+F198 * 0.2+G198 * 0.1,2)</f>
        <v>66.599999999999994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55</v>
      </c>
      <c r="P198" s="2">
        <f>E198 - O198</f>
        <v>15</v>
      </c>
      <c r="Q198" s="2">
        <f>ROUND(
  SIGN(P198)*
  IF(ABS(P198)&lt;=10,ABS(P198)*0.5,
     IF(ABS(P198)&lt;=15,5+(ABS(P198)-10)*(1.67/5),
        6.67+(ABS(P198)-15)*0.333)),
2)</f>
        <v>6.67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73.239999999999995</v>
      </c>
      <c r="D199" s="2" t="s">
        <v>1550</v>
      </c>
      <c r="E199" s="5">
        <v>70</v>
      </c>
      <c r="F199" s="2">
        <v>58</v>
      </c>
      <c r="G199" s="2">
        <v>43</v>
      </c>
      <c r="H199" s="2" t="s">
        <v>1564</v>
      </c>
      <c r="I199" s="2" t="s">
        <v>36</v>
      </c>
      <c r="J199" s="3" t="s">
        <v>1574</v>
      </c>
      <c r="M199" s="2">
        <f>IF(J199="1000+", 1000, (LEFT(J199,FIND("-",J199)-1)+RIGHT(J199,LEN(J199)-FIND("-",J199)))/2)</f>
        <v>12.5</v>
      </c>
      <c r="N199" s="2">
        <f>ROUND(E199 * 0.7+F199 * 0.2+G199 * 0.1,2)</f>
        <v>64.900000000000006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50</v>
      </c>
      <c r="P199" s="2">
        <f>E199 - O199</f>
        <v>20</v>
      </c>
      <c r="Q199" s="2">
        <f>ROUND(
  SIGN(P199)*
  IF(ABS(P199)&lt;=10,ABS(P199)*0.5,
     IF(ABS(P199)&lt;=15,5+(ABS(P199)-10)*(1.67/5),
        6.67+(ABS(P199)-15)*0.333)),
2)</f>
        <v>8.34</v>
      </c>
    </row>
    <row r="200" spans="1:17" ht="34.5" customHeight="1" x14ac:dyDescent="0.3">
      <c r="B200" s="2">
        <v>199</v>
      </c>
      <c r="C200" s="16">
        <f>ROUND(MAX(MIN(N200 + Q200, 100), 0), 2)</f>
        <v>73.17</v>
      </c>
      <c r="D200" s="2" t="s">
        <v>355</v>
      </c>
      <c r="E200" s="5">
        <v>71</v>
      </c>
      <c r="F200" s="2">
        <v>50</v>
      </c>
      <c r="G200" s="2">
        <v>48</v>
      </c>
      <c r="H200" s="2" t="s">
        <v>64</v>
      </c>
      <c r="I200" s="2" t="s">
        <v>36</v>
      </c>
      <c r="J200" s="3" t="s">
        <v>92</v>
      </c>
      <c r="K200" s="2" t="s">
        <v>356</v>
      </c>
      <c r="M200" s="2">
        <f>IF(J200="1000+", 1000, (LEFT(J200,FIND("-",J200)-1)+RIGHT(J200,LEN(J200)-FIND("-",J200)))/2)</f>
        <v>12.5</v>
      </c>
      <c r="N200" s="2">
        <f>ROUND(E200 * 0.7+F200 * 0.2+G200 * 0.1,2)</f>
        <v>64.5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50</v>
      </c>
      <c r="P200" s="2">
        <f>E200 - O200</f>
        <v>21</v>
      </c>
      <c r="Q200" s="2">
        <f>ROUND(
  SIGN(P200)*
  IF(ABS(P200)&lt;=10,ABS(P200)*0.5,
     IF(ABS(P200)&lt;=15,5+(ABS(P200)-10)*(1.67/5),
        6.67+(ABS(P200)-15)*0.333)),
2)</f>
        <v>8.67</v>
      </c>
    </row>
    <row r="201" spans="1:17" ht="34.5" customHeight="1" x14ac:dyDescent="0.3">
      <c r="A201" s="2">
        <v>2026</v>
      </c>
      <c r="B201" s="2">
        <v>200</v>
      </c>
      <c r="C201" s="16">
        <f>ROUND(MAX(MIN(N201 + Q201, 100), 0), 2)</f>
        <v>73.099999999999994</v>
      </c>
      <c r="D201" s="11" t="s">
        <v>1304</v>
      </c>
      <c r="E201" s="5">
        <v>74</v>
      </c>
      <c r="F201" s="5">
        <v>70</v>
      </c>
      <c r="G201" s="2">
        <v>53</v>
      </c>
      <c r="H201" s="11" t="s">
        <v>1256</v>
      </c>
      <c r="I201" s="11" t="s">
        <v>1276</v>
      </c>
      <c r="J201" s="19" t="s">
        <v>1264</v>
      </c>
      <c r="M201" s="2">
        <f>IF(J201="1000+", 1000, (LEFT(J201,FIND("-",J201)-1)+RIGHT(J201,LEN(J201)-FIND("-",J201)))/2)</f>
        <v>75</v>
      </c>
      <c r="N201" s="2">
        <f>ROUND(E201 * 0.7+F201 * 0.2+G201 * 0.1,2)</f>
        <v>71.099999999999994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70</v>
      </c>
      <c r="P201" s="2">
        <f>E201 - O201</f>
        <v>4</v>
      </c>
      <c r="Q201" s="2">
        <f>ROUND(
  SIGN(P201)*
  IF(ABS(P201)&lt;=10,ABS(P201)*0.5,
     IF(ABS(P201)&lt;=15,5+(ABS(P201)-10)*(1.67/5),
        6.67+(ABS(P201)-15)*0.333)),
2)</f>
        <v>2</v>
      </c>
    </row>
    <row r="202" spans="1:17" ht="34.5" customHeight="1" x14ac:dyDescent="0.3">
      <c r="B202" s="2">
        <v>201</v>
      </c>
      <c r="C202" s="16">
        <f>ROUND(MAX(MIN(N202 + Q202, 100), 0), 2)</f>
        <v>73.099999999999994</v>
      </c>
      <c r="D202" s="2" t="s">
        <v>255</v>
      </c>
      <c r="E202" s="5">
        <v>74</v>
      </c>
      <c r="F202" s="7">
        <v>65</v>
      </c>
      <c r="G202" s="7">
        <v>63</v>
      </c>
      <c r="H202" s="2" t="s">
        <v>256</v>
      </c>
      <c r="I202" s="2" t="s">
        <v>13</v>
      </c>
      <c r="J202" s="3" t="s">
        <v>18</v>
      </c>
      <c r="K202" s="2" t="s">
        <v>257</v>
      </c>
      <c r="M202" s="2">
        <f>IF(J202="1000+", 1000, (LEFT(J202,FIND("-",J202)-1)+RIGHT(J202,LEN(J202)-FIND("-",J202)))/2)</f>
        <v>75</v>
      </c>
      <c r="N202" s="2">
        <f>ROUND(E202 * 0.7+F202 * 0.2+G202 * 0.1,2)</f>
        <v>71.099999999999994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70</v>
      </c>
      <c r="P202" s="2">
        <f>E202 - O202</f>
        <v>4</v>
      </c>
      <c r="Q202" s="2">
        <f>ROUND(
  SIGN(P202)*
  IF(ABS(P202)&lt;=10,ABS(P202)*0.5,
     IF(ABS(P202)&lt;=15,5+(ABS(P202)-10)*(1.67/5),
        6.67+(ABS(P202)-15)*0.333)),
2)</f>
        <v>2</v>
      </c>
    </row>
    <row r="203" spans="1:17" ht="34.5" customHeight="1" x14ac:dyDescent="0.3">
      <c r="A203" s="2">
        <v>2026</v>
      </c>
      <c r="B203" s="2">
        <v>202</v>
      </c>
      <c r="C203" s="16">
        <f>ROUND(MAX(MIN(N203 + Q203, 100), 0), 2)</f>
        <v>73.099999999999994</v>
      </c>
      <c r="D203" s="2" t="s">
        <v>1516</v>
      </c>
      <c r="E203" s="5">
        <v>75</v>
      </c>
      <c r="F203" s="7">
        <v>67</v>
      </c>
      <c r="G203" s="5">
        <v>72</v>
      </c>
      <c r="H203" s="2" t="s">
        <v>1487</v>
      </c>
      <c r="I203" s="2" t="s">
        <v>1521</v>
      </c>
      <c r="J203" s="3" t="s">
        <v>1541</v>
      </c>
      <c r="M203" s="2">
        <f>IF(J203="1000+", 1000, (LEFT(J203,FIND("-",J203)-1)+RIGHT(J203,LEN(J203)-FIND("-",J203)))/2)</f>
        <v>115</v>
      </c>
      <c r="N203" s="2">
        <f>ROUND(E203 * 0.7+F203 * 0.2+G203 * 0.1,2)</f>
        <v>73.099999999999994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75</v>
      </c>
      <c r="P203" s="2">
        <f>E203 - O203</f>
        <v>0</v>
      </c>
      <c r="Q203" s="2">
        <f>ROUND(
  SIGN(P203)*
  IF(ABS(P203)&lt;=10,ABS(P203)*0.5,
     IF(ABS(P203)&lt;=15,5+(ABS(P203)-10)*(1.67/5),
        6.67+(ABS(P203)-15)*0.333)),
2)</f>
        <v>0</v>
      </c>
    </row>
    <row r="204" spans="1:17" ht="34.5" customHeight="1" x14ac:dyDescent="0.3">
      <c r="B204" s="2">
        <v>203</v>
      </c>
      <c r="C204" s="16">
        <f>ROUND(MAX(MIN(N204 + Q204, 100), 0), 2)</f>
        <v>73.099999999999994</v>
      </c>
      <c r="D204" s="2" t="s">
        <v>139</v>
      </c>
      <c r="E204" s="5">
        <v>74</v>
      </c>
      <c r="F204" s="5">
        <v>72</v>
      </c>
      <c r="G204" s="5">
        <v>74</v>
      </c>
      <c r="H204" s="2" t="s">
        <v>114</v>
      </c>
      <c r="I204" s="2" t="s">
        <v>17</v>
      </c>
      <c r="J204" s="3" t="s">
        <v>140</v>
      </c>
      <c r="K204" s="2" t="s">
        <v>141</v>
      </c>
      <c r="M204" s="2">
        <f>IF(J204="1000+", 1000, (LEFT(J204,FIND("-",J204)-1)+RIGHT(J204,LEN(J204)-FIND("-",J204)))/2)</f>
        <v>115</v>
      </c>
      <c r="N204" s="2">
        <f>ROUND(E204 * 0.7+F204 * 0.2+G204 * 0.1,2)</f>
        <v>73.599999999999994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75</v>
      </c>
      <c r="P204" s="2">
        <f>E204 - O204</f>
        <v>-1</v>
      </c>
      <c r="Q204" s="2">
        <f>ROUND(
  SIGN(P204)*
  IF(ABS(P204)&lt;=10,ABS(P204)*0.5,
     IF(ABS(P204)&lt;=15,5+(ABS(P204)-10)*(1.67/5),
        6.67+(ABS(P204)-15)*0.333)),
2)</f>
        <v>-0.5</v>
      </c>
    </row>
    <row r="205" spans="1:17" ht="34.5" customHeight="1" x14ac:dyDescent="0.3">
      <c r="B205" s="2">
        <v>204</v>
      </c>
      <c r="C205" s="16">
        <f>ROUND(MAX(MIN(N205 + Q205, 100), 0), 2)</f>
        <v>73.099999999999994</v>
      </c>
      <c r="D205" s="2" t="s">
        <v>121</v>
      </c>
      <c r="E205" s="5">
        <v>72</v>
      </c>
      <c r="F205" s="5">
        <v>75</v>
      </c>
      <c r="G205" s="5">
        <v>77</v>
      </c>
      <c r="H205" s="2" t="s">
        <v>31</v>
      </c>
      <c r="I205" s="2" t="s">
        <v>41</v>
      </c>
      <c r="J205" s="3" t="s">
        <v>122</v>
      </c>
      <c r="M205" s="2">
        <f>IF(J205="1000+", 1000, (LEFT(J205,FIND("-",J205)-1)+RIGHT(J205,LEN(J205)-FIND("-",J205)))/2)</f>
        <v>105</v>
      </c>
      <c r="N205" s="2">
        <f>ROUND(E205 * 0.7+F205 * 0.2+G205 * 0.1,2)</f>
        <v>73.099999999999994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72</v>
      </c>
      <c r="P205" s="2">
        <f>E205 - O205</f>
        <v>0</v>
      </c>
      <c r="Q205" s="2">
        <f>ROUND(
  SIGN(P205)*
  IF(ABS(P205)&lt;=10,ABS(P205)*0.5,
     IF(ABS(P205)&lt;=15,5+(ABS(P205)-10)*(1.67/5),
        6.67+(ABS(P205)-15)*0.333)),
2)</f>
        <v>0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73.069999999999993</v>
      </c>
      <c r="D206" s="2" t="s">
        <v>1911</v>
      </c>
      <c r="E206" s="2">
        <v>72</v>
      </c>
      <c r="F206" s="2">
        <v>60</v>
      </c>
      <c r="G206" s="2">
        <v>50</v>
      </c>
      <c r="H206" s="2" t="s">
        <v>1256</v>
      </c>
      <c r="I206" s="2" t="s">
        <v>36</v>
      </c>
      <c r="J206" s="3" t="s">
        <v>132</v>
      </c>
      <c r="M206" s="2">
        <f>IF(J206="1000+", 1000, (LEFT(J206,FIND("-",J206)-1)+RIGHT(J206,LEN(J206)-FIND("-",J206)))/2)</f>
        <v>20</v>
      </c>
      <c r="N206" s="2">
        <f>ROUND(E206 * 0.7+F206 * 0.2+G206 * 0.1,2)</f>
        <v>67.400000000000006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60</v>
      </c>
      <c r="P206" s="2">
        <f>E206 - O206</f>
        <v>12</v>
      </c>
      <c r="Q206" s="2">
        <f>ROUND(
  SIGN(P206)*
  IF(ABS(P206)&lt;=10,ABS(P206)*0.5,
     IF(ABS(P206)&lt;=15,5+(ABS(P206)-10)*(1.67/5),
        6.67+(ABS(P206)-15)*0.333)),
2)</f>
        <v>5.67</v>
      </c>
    </row>
    <row r="207" spans="1:17" ht="34.5" customHeight="1" x14ac:dyDescent="0.3">
      <c r="A207" s="2">
        <v>2026</v>
      </c>
      <c r="B207" s="2">
        <v>206</v>
      </c>
      <c r="C207" s="16">
        <f>ROUND(MAX(MIN(N207 + Q207, 100), 0), 2)</f>
        <v>73.03</v>
      </c>
      <c r="D207" s="2" t="s">
        <v>1640</v>
      </c>
      <c r="E207" s="5">
        <v>76</v>
      </c>
      <c r="F207" s="2">
        <v>50</v>
      </c>
      <c r="G207" s="2">
        <v>45</v>
      </c>
      <c r="H207" s="2" t="s">
        <v>1644</v>
      </c>
      <c r="I207" s="2" t="s">
        <v>1651</v>
      </c>
      <c r="J207" s="3" t="s">
        <v>1659</v>
      </c>
      <c r="K207" s="2" t="s">
        <v>1665</v>
      </c>
      <c r="M207" s="2">
        <f>IF(J207="1000+", 1000, (LEFT(J207,FIND("-",J207)-1)+RIGHT(J207,LEN(J207)-FIND("-",J207)))/2)</f>
        <v>45</v>
      </c>
      <c r="N207" s="2">
        <f>ROUND(E207 * 0.7+F207 * 0.2+G207 * 0.1,2)</f>
        <v>67.7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65</v>
      </c>
      <c r="P207" s="2">
        <f>E207 - O207</f>
        <v>11</v>
      </c>
      <c r="Q207" s="2">
        <f>ROUND(
  SIGN(P207)*
  IF(ABS(P207)&lt;=10,ABS(P207)*0.5,
     IF(ABS(P207)&lt;=15,5+(ABS(P207)-10)*(1.67/5),
        6.67+(ABS(P207)-15)*0.333)),
2)</f>
        <v>5.33</v>
      </c>
    </row>
    <row r="208" spans="1:17" ht="34.5" customHeight="1" x14ac:dyDescent="0.3">
      <c r="B208" s="2">
        <v>207</v>
      </c>
      <c r="C208" s="16">
        <f>ROUND(MAX(MIN(N208 + Q208, 100), 0), 2)</f>
        <v>73</v>
      </c>
      <c r="D208" s="2" t="s">
        <v>370</v>
      </c>
      <c r="E208" s="5">
        <v>72</v>
      </c>
      <c r="F208" s="2">
        <v>52</v>
      </c>
      <c r="G208" s="2">
        <v>32</v>
      </c>
      <c r="H208" s="2" t="s">
        <v>91</v>
      </c>
      <c r="I208" s="2" t="s">
        <v>36</v>
      </c>
      <c r="J208" s="3" t="s">
        <v>92</v>
      </c>
      <c r="K208" s="2" t="s">
        <v>371</v>
      </c>
      <c r="M208" s="2">
        <f>IF(J208="1000+", 1000, (LEFT(J208,FIND("-",J208)-1)+RIGHT(J208,LEN(J208)-FIND("-",J208)))/2)</f>
        <v>12.5</v>
      </c>
      <c r="N208" s="2">
        <f>ROUND(E208 * 0.7+F208 * 0.2+G208 * 0.1,2)</f>
        <v>64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50</v>
      </c>
      <c r="P208" s="2">
        <f>E208 - O208</f>
        <v>22</v>
      </c>
      <c r="Q208" s="2">
        <f>ROUND(
  SIGN(P208)*
  IF(ABS(P208)&lt;=10,ABS(P208)*0.5,
     IF(ABS(P208)&lt;=15,5+(ABS(P208)-10)*(1.67/5),
        6.67+(ABS(P208)-15)*0.333)),
2)</f>
        <v>9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73</v>
      </c>
      <c r="D209" s="2" t="s">
        <v>1913</v>
      </c>
      <c r="E209" s="2">
        <v>74</v>
      </c>
      <c r="F209" s="2">
        <v>63</v>
      </c>
      <c r="G209" s="2">
        <v>66</v>
      </c>
      <c r="H209" s="2" t="s">
        <v>1256</v>
      </c>
      <c r="I209" s="2" t="s">
        <v>79</v>
      </c>
      <c r="J209" s="3" t="s">
        <v>1264</v>
      </c>
      <c r="M209" s="2">
        <f>IF(J209="1000+", 1000, (LEFT(J209,FIND("-",J209)-1)+RIGHT(J209,LEN(J209)-FIND("-",J209)))/2)</f>
        <v>75</v>
      </c>
      <c r="N209" s="2">
        <f>ROUND(E209 * 0.7+F209 * 0.2+G209 * 0.1,2)</f>
        <v>71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70</v>
      </c>
      <c r="P209" s="2">
        <f>E209 - O209</f>
        <v>4</v>
      </c>
      <c r="Q209" s="2">
        <f>ROUND(
  SIGN(P209)*
  IF(ABS(P209)&lt;=10,ABS(P209)*0.5,
     IF(ABS(P209)&lt;=15,5+(ABS(P209)-10)*(1.67/5),
        6.67+(ABS(P209)-15)*0.333)),
2)</f>
        <v>2</v>
      </c>
    </row>
    <row r="210" spans="1:17" ht="34.5" customHeight="1" x14ac:dyDescent="0.3">
      <c r="B210" s="2">
        <v>209</v>
      </c>
      <c r="C210" s="16">
        <f>ROUND(MAX(MIN(N210 + Q210, 100), 0), 2)</f>
        <v>72.900000000000006</v>
      </c>
      <c r="D210" s="2" t="s">
        <v>384</v>
      </c>
      <c r="E210" s="5">
        <v>75</v>
      </c>
      <c r="F210" s="2">
        <v>52</v>
      </c>
      <c r="G210" s="2">
        <v>50</v>
      </c>
      <c r="H210" s="2" t="s">
        <v>53</v>
      </c>
      <c r="I210" s="2" t="s">
        <v>22</v>
      </c>
      <c r="J210" s="3" t="s">
        <v>32</v>
      </c>
      <c r="M210" s="2">
        <f>IF(J210="1000+", 1000, (LEFT(J210,FIND("-",J210)-1)+RIGHT(J210,LEN(J210)-FIND("-",J210)))/2)</f>
        <v>45</v>
      </c>
      <c r="N210" s="2">
        <f>ROUND(E210 * 0.7+F210 * 0.2+G210 * 0.1,2)</f>
        <v>67.900000000000006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65</v>
      </c>
      <c r="P210" s="2">
        <f>E210 - O210</f>
        <v>10</v>
      </c>
      <c r="Q210" s="2">
        <f>ROUND(
  SIGN(P210)*
  IF(ABS(P210)&lt;=10,ABS(P210)*0.5,
     IF(ABS(P210)&lt;=15,5+(ABS(P210)-10)*(1.67/5),
        6.67+(ABS(P210)-15)*0.333)),
2)</f>
        <v>5</v>
      </c>
    </row>
    <row r="211" spans="1:17" ht="34.5" customHeight="1" x14ac:dyDescent="0.3">
      <c r="B211" s="2">
        <v>210</v>
      </c>
      <c r="C211" s="16">
        <f>ROUND(MAX(MIN(N211 + Q211, 100), 0), 2)</f>
        <v>72.900000000000006</v>
      </c>
      <c r="D211" s="2" t="s">
        <v>343</v>
      </c>
      <c r="E211" s="5">
        <v>75</v>
      </c>
      <c r="F211" s="2">
        <v>52</v>
      </c>
      <c r="G211" s="2">
        <v>40</v>
      </c>
      <c r="H211" s="2" t="s">
        <v>217</v>
      </c>
      <c r="I211" s="2" t="s">
        <v>22</v>
      </c>
      <c r="J211" s="3" t="s">
        <v>146</v>
      </c>
      <c r="K211" s="2" t="s">
        <v>344</v>
      </c>
      <c r="M211" s="2">
        <f>IF(J211="1000+", 1000, (LEFT(J211,FIND("-",J211)-1)+RIGHT(J211,LEN(J211)-FIND("-",J211)))/2)</f>
        <v>30</v>
      </c>
      <c r="N211" s="2">
        <f>ROUND(E211 * 0.7+F211 * 0.2+G211 * 0.1,2)</f>
        <v>66.900000000000006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62</v>
      </c>
      <c r="P211" s="2">
        <f>E211 - O211</f>
        <v>13</v>
      </c>
      <c r="Q211" s="2">
        <f>ROUND(
  SIGN(P211)*
  IF(ABS(P211)&lt;=10,ABS(P211)*0.5,
     IF(ABS(P211)&lt;=15,5+(ABS(P211)-10)*(1.67/5),
        6.67+(ABS(P211)-15)*0.333)),
2)</f>
        <v>6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72.900000000000006</v>
      </c>
      <c r="D212" s="2" t="s">
        <v>1875</v>
      </c>
      <c r="E212" s="5">
        <v>74</v>
      </c>
      <c r="F212" s="7">
        <v>60</v>
      </c>
      <c r="G212" s="2">
        <v>46</v>
      </c>
      <c r="H212" s="2" t="s">
        <v>1895</v>
      </c>
      <c r="I212" s="2" t="s">
        <v>1259</v>
      </c>
      <c r="J212" s="3" t="s">
        <v>1262</v>
      </c>
      <c r="M212" s="2">
        <f>IF(J212="1000+", 1000, (LEFT(J212,FIND("-",J212)-1)+RIGHT(J212,LEN(J212)-FIND("-",J212)))/2)</f>
        <v>45</v>
      </c>
      <c r="N212" s="2">
        <f>ROUND(E212 * 0.7+F212 * 0.2+G212 * 0.1,2)</f>
        <v>68.400000000000006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65</v>
      </c>
      <c r="P212" s="2">
        <f>E212 - O212</f>
        <v>9</v>
      </c>
      <c r="Q212" s="2">
        <f>ROUND(
  SIGN(P212)*
  IF(ABS(P212)&lt;=10,ABS(P212)*0.5,
     IF(ABS(P212)&lt;=15,5+(ABS(P212)-10)*(1.67/5),
        6.67+(ABS(P212)-15)*0.333)),
2)</f>
        <v>4.5</v>
      </c>
    </row>
    <row r="213" spans="1:17" ht="34.5" customHeight="1" x14ac:dyDescent="0.3">
      <c r="B213" s="2">
        <v>212</v>
      </c>
      <c r="C213" s="16">
        <f>ROUND(MAX(MIN(N213 + Q213, 100), 0), 2)</f>
        <v>72.900000000000006</v>
      </c>
      <c r="D213" s="2" t="s">
        <v>470</v>
      </c>
      <c r="E213" s="5">
        <v>72</v>
      </c>
      <c r="F213" s="2">
        <v>48</v>
      </c>
      <c r="G213" s="2">
        <v>39</v>
      </c>
      <c r="H213" s="2" t="s">
        <v>104</v>
      </c>
      <c r="I213" s="2" t="s">
        <v>447</v>
      </c>
      <c r="J213" s="3" t="s">
        <v>92</v>
      </c>
      <c r="M213" s="2">
        <f>IF(J213="1000+", 1000, (LEFT(J213,FIND("-",J213)-1)+RIGHT(J213,LEN(J213)-FIND("-",J213)))/2)</f>
        <v>12.5</v>
      </c>
      <c r="N213" s="2">
        <f>ROUND(E213 * 0.7+F213 * 0.2+G213 * 0.1,2)</f>
        <v>63.9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50</v>
      </c>
      <c r="P213" s="2">
        <f>E213 - O213</f>
        <v>22</v>
      </c>
      <c r="Q213" s="2">
        <f>ROUND(
  SIGN(P213)*
  IF(ABS(P213)&lt;=10,ABS(P213)*0.5,
     IF(ABS(P213)&lt;=15,5+(ABS(P213)-10)*(1.67/5),
        6.67+(ABS(P213)-15)*0.333)),
2)</f>
        <v>9</v>
      </c>
    </row>
    <row r="214" spans="1:17" ht="34.5" customHeight="1" x14ac:dyDescent="0.3">
      <c r="B214" s="2">
        <v>213</v>
      </c>
      <c r="C214" s="16">
        <f>ROUND(MAX(MIN(N214 + Q214, 100), 0), 2)</f>
        <v>72.900000000000006</v>
      </c>
      <c r="D214" s="2" t="s">
        <v>358</v>
      </c>
      <c r="E214" s="5">
        <v>73</v>
      </c>
      <c r="F214" s="2">
        <v>58</v>
      </c>
      <c r="G214" s="2">
        <v>42</v>
      </c>
      <c r="H214" s="2" t="s">
        <v>104</v>
      </c>
      <c r="I214" s="2" t="s">
        <v>36</v>
      </c>
      <c r="J214" s="3" t="s">
        <v>132</v>
      </c>
      <c r="M214" s="2">
        <f>IF(J214="1000+", 1000, (LEFT(J214,FIND("-",J214)-1)+RIGHT(J214,LEN(J214)-FIND("-",J214)))/2)</f>
        <v>20</v>
      </c>
      <c r="N214" s="2">
        <f>ROUND(E214 * 0.7+F214 * 0.2+G214 * 0.1,2)</f>
        <v>66.900000000000006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60</v>
      </c>
      <c r="P214" s="2">
        <f>E214 - O214</f>
        <v>13</v>
      </c>
      <c r="Q214" s="2">
        <f>ROUND(
  SIGN(P214)*
  IF(ABS(P214)&lt;=10,ABS(P214)*0.5,
     IF(ABS(P214)&lt;=15,5+(ABS(P214)-10)*(1.67/5),
        6.67+(ABS(P214)-15)*0.333)),
2)</f>
        <v>6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72.900000000000006</v>
      </c>
      <c r="D215" s="2" t="s">
        <v>1441</v>
      </c>
      <c r="E215" s="5">
        <v>75</v>
      </c>
      <c r="F215" s="7">
        <v>65</v>
      </c>
      <c r="G215" s="2">
        <v>59</v>
      </c>
      <c r="H215" s="2" t="s">
        <v>1256</v>
      </c>
      <c r="I215" s="2" t="s">
        <v>1258</v>
      </c>
      <c r="J215" s="3" t="s">
        <v>1279</v>
      </c>
      <c r="K215" s="2" t="s">
        <v>1366</v>
      </c>
      <c r="M215" s="2">
        <f>IF(J215="1000+", 1000, (LEFT(J215,FIND("-",J215)-1)+RIGHT(J215,LEN(J215)-FIND("-",J215)))/2)</f>
        <v>105</v>
      </c>
      <c r="N215" s="2">
        <f>ROUND(E215 * 0.7+F215 * 0.2+G215 * 0.1,2)</f>
        <v>71.400000000000006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72</v>
      </c>
      <c r="P215" s="2">
        <f>E215 - O215</f>
        <v>3</v>
      </c>
      <c r="Q215" s="2">
        <f>ROUND(
  SIGN(P215)*
  IF(ABS(P215)&lt;=10,ABS(P215)*0.5,
     IF(ABS(P215)&lt;=15,5+(ABS(P215)-10)*(1.67/5),
        6.67+(ABS(P215)-15)*0.333)),
2)</f>
        <v>1.5</v>
      </c>
    </row>
    <row r="216" spans="1:17" ht="34.5" customHeight="1" x14ac:dyDescent="0.3">
      <c r="A216" s="2">
        <v>2026</v>
      </c>
      <c r="B216" s="2">
        <v>215</v>
      </c>
      <c r="C216" s="16">
        <f>ROUND(MAX(MIN(N216 + Q216, 100), 0), 2)</f>
        <v>72.900000000000006</v>
      </c>
      <c r="D216" s="2" t="s">
        <v>1641</v>
      </c>
      <c r="E216" s="5">
        <v>75</v>
      </c>
      <c r="F216" s="5">
        <v>70</v>
      </c>
      <c r="G216" s="7">
        <v>64</v>
      </c>
      <c r="H216" s="2" t="s">
        <v>1644</v>
      </c>
      <c r="I216" s="2" t="s">
        <v>1652</v>
      </c>
      <c r="J216" s="3" t="s">
        <v>1658</v>
      </c>
      <c r="M216" s="2">
        <f>IF(J216="1000+", 1000, (LEFT(J216,FIND("-",J216)-1)+RIGHT(J216,LEN(J216)-FIND("-",J216)))/2)</f>
        <v>115</v>
      </c>
      <c r="N216" s="2">
        <f>ROUND(E216 * 0.7+F216 * 0.2+G216 * 0.1,2)</f>
        <v>72.900000000000006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75</v>
      </c>
      <c r="P216" s="2">
        <f>E216 - O216</f>
        <v>0</v>
      </c>
      <c r="Q216" s="2">
        <f>ROUND(
  SIGN(P216)*
  IF(ABS(P216)&lt;=10,ABS(P216)*0.5,
     IF(ABS(P216)&lt;=15,5+(ABS(P216)-10)*(1.67/5),
        6.67+(ABS(P216)-15)*0.333)),
2)</f>
        <v>0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72.84</v>
      </c>
      <c r="D217" s="11" t="s">
        <v>1255</v>
      </c>
      <c r="E217" s="5">
        <v>75</v>
      </c>
      <c r="F217" s="2">
        <v>50</v>
      </c>
      <c r="G217" s="2">
        <v>20</v>
      </c>
      <c r="H217" s="11" t="s">
        <v>1256</v>
      </c>
      <c r="I217" s="11" t="s">
        <v>1258</v>
      </c>
      <c r="J217" s="19" t="s">
        <v>1266</v>
      </c>
      <c r="M217" s="2">
        <f>IF(J217="1000+", 1000, (LEFT(J217,FIND("-",J217)-1)+RIGHT(J217,LEN(J217)-FIND("-",J217)))/2)</f>
        <v>15</v>
      </c>
      <c r="N217" s="2">
        <f>ROUND(E217 * 0.7+F217 * 0.2+G217 * 0.1,2)</f>
        <v>64.5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55</v>
      </c>
      <c r="P217" s="2">
        <f>E217 - O217</f>
        <v>20</v>
      </c>
      <c r="Q217" s="2">
        <f>ROUND(
  SIGN(P217)*
  IF(ABS(P217)&lt;=10,ABS(P217)*0.5,
     IF(ABS(P217)&lt;=15,5+(ABS(P217)-10)*(1.67/5),
        6.67+(ABS(P217)-15)*0.333)),
2)</f>
        <v>8.34</v>
      </c>
    </row>
    <row r="218" spans="1:17" ht="34.5" customHeight="1" x14ac:dyDescent="0.3">
      <c r="B218" s="2">
        <v>217</v>
      </c>
      <c r="C218" s="16">
        <f>ROUND(MAX(MIN(N218 + Q218, 100), 0), 2)</f>
        <v>72.8</v>
      </c>
      <c r="D218" s="2" t="s">
        <v>173</v>
      </c>
      <c r="E218" s="5">
        <v>73</v>
      </c>
      <c r="F218" s="6">
        <v>82</v>
      </c>
      <c r="G218" s="7">
        <v>63</v>
      </c>
      <c r="H218" s="2" t="s">
        <v>174</v>
      </c>
      <c r="I218" s="2" t="s">
        <v>157</v>
      </c>
      <c r="J218" s="3" t="s">
        <v>140</v>
      </c>
      <c r="K218" s="2" t="s">
        <v>175</v>
      </c>
      <c r="M218" s="2">
        <f>IF(J218="1000+", 1000, (LEFT(J218,FIND("-",J218)-1)+RIGHT(J218,LEN(J218)-FIND("-",J218)))/2)</f>
        <v>115</v>
      </c>
      <c r="N218" s="2">
        <f>ROUND(E218 * 0.7+F218 * 0.2+G218 * 0.1,2)</f>
        <v>73.8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75</v>
      </c>
      <c r="P218" s="2">
        <f>E218 - O218</f>
        <v>-2</v>
      </c>
      <c r="Q218" s="2">
        <f>ROUND(
  SIGN(P218)*
  IF(ABS(P218)&lt;=10,ABS(P218)*0.5,
     IF(ABS(P218)&lt;=15,5+(ABS(P218)-10)*(1.67/5),
        6.67+(ABS(P218)-15)*0.333)),
2)</f>
        <v>-1</v>
      </c>
    </row>
    <row r="219" spans="1:17" ht="34.5" customHeight="1" x14ac:dyDescent="0.3">
      <c r="B219" s="2">
        <v>218</v>
      </c>
      <c r="C219" s="16">
        <f>ROUND(MAX(MIN(N219 + Q219, 100), 0), 2)</f>
        <v>72.8</v>
      </c>
      <c r="D219" s="2" t="s">
        <v>385</v>
      </c>
      <c r="E219" s="5">
        <v>78</v>
      </c>
      <c r="F219" s="2">
        <v>45</v>
      </c>
      <c r="G219" s="2">
        <v>52</v>
      </c>
      <c r="H219" s="2" t="s">
        <v>217</v>
      </c>
      <c r="I219" s="2" t="s">
        <v>22</v>
      </c>
      <c r="J219" s="3" t="s">
        <v>18</v>
      </c>
      <c r="M219" s="2">
        <f>IF(J219="1000+", 1000, (LEFT(J219,FIND("-",J219)-1)+RIGHT(J219,LEN(J219)-FIND("-",J219)))/2)</f>
        <v>75</v>
      </c>
      <c r="N219" s="2">
        <f>ROUND(E219 * 0.7+F219 * 0.2+G219 * 0.1,2)</f>
        <v>68.8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70</v>
      </c>
      <c r="P219" s="2">
        <f>E219 - O219</f>
        <v>8</v>
      </c>
      <c r="Q219" s="2">
        <f>ROUND(
  SIGN(P219)*
  IF(ABS(P219)&lt;=10,ABS(P219)*0.5,
     IF(ABS(P219)&lt;=15,5+(ABS(P219)-10)*(1.67/5),
        6.67+(ABS(P219)-15)*0.333)),
2)</f>
        <v>4</v>
      </c>
    </row>
    <row r="220" spans="1:17" ht="34.5" customHeight="1" x14ac:dyDescent="0.3">
      <c r="B220" s="2">
        <v>219</v>
      </c>
      <c r="C220" s="16">
        <f>ROUND(MAX(MIN(N220 + Q220, 100), 0), 2)</f>
        <v>72.8</v>
      </c>
      <c r="D220" s="2" t="s">
        <v>164</v>
      </c>
      <c r="E220" s="5">
        <v>75</v>
      </c>
      <c r="F220" s="7">
        <v>67</v>
      </c>
      <c r="G220" s="7">
        <v>69</v>
      </c>
      <c r="H220" s="2" t="s">
        <v>31</v>
      </c>
      <c r="I220" s="2" t="s">
        <v>165</v>
      </c>
      <c r="J220" s="3" t="s">
        <v>140</v>
      </c>
      <c r="M220" s="2">
        <f>IF(J220="1000+", 1000, (LEFT(J220,FIND("-",J220)-1)+RIGHT(J220,LEN(J220)-FIND("-",J220)))/2)</f>
        <v>115</v>
      </c>
      <c r="N220" s="2">
        <f>ROUND(E220 * 0.7+F220 * 0.2+G220 * 0.1,2)</f>
        <v>72.8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75</v>
      </c>
      <c r="P220" s="2">
        <f>E220 - O220</f>
        <v>0</v>
      </c>
      <c r="Q220" s="2">
        <f>ROUND(
  SIGN(P220)*
  IF(ABS(P220)&lt;=10,ABS(P220)*0.5,
     IF(ABS(P220)&lt;=15,5+(ABS(P220)-10)*(1.67/5),
        6.67+(ABS(P220)-15)*0.333)),
2)</f>
        <v>0</v>
      </c>
    </row>
    <row r="221" spans="1:17" ht="34.5" customHeight="1" x14ac:dyDescent="0.3">
      <c r="B221" s="2">
        <v>220</v>
      </c>
      <c r="C221" s="16">
        <f>ROUND(MAX(MIN(N221 + Q221, 100), 0), 2)</f>
        <v>72.8</v>
      </c>
      <c r="D221" s="2" t="s">
        <v>252</v>
      </c>
      <c r="E221" s="5">
        <v>72</v>
      </c>
      <c r="F221" s="7">
        <v>68</v>
      </c>
      <c r="G221" s="7">
        <v>68</v>
      </c>
      <c r="H221" s="2" t="s">
        <v>48</v>
      </c>
      <c r="I221" s="2" t="s">
        <v>218</v>
      </c>
      <c r="J221" s="3" t="s">
        <v>23</v>
      </c>
      <c r="K221" s="2" t="s">
        <v>253</v>
      </c>
      <c r="M221" s="2">
        <f>IF(J221="1000+", 1000, (LEFT(J221,FIND("-",J221)-1)+RIGHT(J221,LEN(J221)-FIND("-",J221)))/2)</f>
        <v>60</v>
      </c>
      <c r="N221" s="2">
        <f>ROUND(E221 * 0.7+F221 * 0.2+G221 * 0.1,2)</f>
        <v>70.8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68</v>
      </c>
      <c r="P221" s="2">
        <f>E221 - O221</f>
        <v>4</v>
      </c>
      <c r="Q221" s="2">
        <f>ROUND(
  SIGN(P221)*
  IF(ABS(P221)&lt;=10,ABS(P221)*0.5,
     IF(ABS(P221)&lt;=15,5+(ABS(P221)-10)*(1.67/5),
        6.67+(ABS(P221)-15)*0.333)),
2)</f>
        <v>2</v>
      </c>
    </row>
    <row r="222" spans="1:17" ht="34.5" customHeight="1" x14ac:dyDescent="0.3">
      <c r="B222" s="2">
        <v>221</v>
      </c>
      <c r="C222" s="16">
        <f>ROUND(MAX(MIN(N222 + Q222, 100), 0), 2)</f>
        <v>72.77</v>
      </c>
      <c r="D222" s="2" t="s">
        <v>368</v>
      </c>
      <c r="E222" s="5">
        <v>74</v>
      </c>
      <c r="F222" s="2">
        <v>52</v>
      </c>
      <c r="G222" s="2">
        <v>49</v>
      </c>
      <c r="H222" s="2" t="s">
        <v>104</v>
      </c>
      <c r="I222" s="2" t="s">
        <v>36</v>
      </c>
      <c r="J222" s="3" t="s">
        <v>146</v>
      </c>
      <c r="M222" s="2">
        <f>IF(J222="1000+", 1000, (LEFT(J222,FIND("-",J222)-1)+RIGHT(J222,LEN(J222)-FIND("-",J222)))/2)</f>
        <v>30</v>
      </c>
      <c r="N222" s="2">
        <f>ROUND(E222 * 0.7+F222 * 0.2+G222 * 0.1,2)</f>
        <v>67.099999999999994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62</v>
      </c>
      <c r="P222" s="2">
        <f>E222 - O222</f>
        <v>12</v>
      </c>
      <c r="Q222" s="2">
        <f>ROUND(
  SIGN(P222)*
  IF(ABS(P222)&lt;=10,ABS(P222)*0.5,
     IF(ABS(P222)&lt;=15,5+(ABS(P222)-10)*(1.67/5),
        6.67+(ABS(P222)-15)*0.333)),
2)</f>
        <v>5.67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72.599999999999994</v>
      </c>
      <c r="D223" s="2" t="s">
        <v>1781</v>
      </c>
      <c r="E223" s="5">
        <v>75</v>
      </c>
      <c r="F223" s="7">
        <v>60</v>
      </c>
      <c r="G223" s="2">
        <v>56</v>
      </c>
      <c r="H223" s="11" t="s">
        <v>1256</v>
      </c>
      <c r="I223" s="11" t="s">
        <v>1258</v>
      </c>
      <c r="J223" s="19" t="s">
        <v>1264</v>
      </c>
      <c r="M223" s="2">
        <f>IF(J223="1000+", 1000, (LEFT(J223,FIND("-",J223)-1)+RIGHT(J223,LEN(J223)-FIND("-",J223)))/2)</f>
        <v>75</v>
      </c>
      <c r="N223" s="2">
        <f>ROUND(E223 * 0.7+F223 * 0.2+G223 * 0.1,2)</f>
        <v>70.099999999999994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70</v>
      </c>
      <c r="P223" s="2">
        <f>E223 - O223</f>
        <v>5</v>
      </c>
      <c r="Q223" s="2">
        <f>ROUND(
  SIGN(P223)*
  IF(ABS(P223)&lt;=10,ABS(P223)*0.5,
     IF(ABS(P223)&lt;=15,5+(ABS(P223)-10)*(1.67/5),
        6.67+(ABS(P223)-15)*0.333)),
2)</f>
        <v>2.5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72.599999999999994</v>
      </c>
      <c r="D224" s="2" t="s">
        <v>1846</v>
      </c>
      <c r="E224" s="5">
        <v>70</v>
      </c>
      <c r="F224" s="7">
        <v>65</v>
      </c>
      <c r="G224" s="2">
        <v>56</v>
      </c>
      <c r="H224" s="2" t="s">
        <v>1856</v>
      </c>
      <c r="I224" s="2" t="s">
        <v>36</v>
      </c>
      <c r="J224" s="3" t="s">
        <v>1261</v>
      </c>
      <c r="M224" s="2">
        <f>IF(J224="1000+", 1000, (LEFT(J224,FIND("-",J224)-1)+RIGHT(J224,LEN(J224)-FIND("-",J224)))/2)</f>
        <v>20</v>
      </c>
      <c r="N224" s="2">
        <f>ROUND(E224 * 0.7+F224 * 0.2+G224 * 0.1,2)</f>
        <v>67.599999999999994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60</v>
      </c>
      <c r="P224" s="2">
        <f>E224 - O224</f>
        <v>10</v>
      </c>
      <c r="Q224" s="2">
        <f>ROUND(
  SIGN(P224)*
  IF(ABS(P224)&lt;=10,ABS(P224)*0.5,
     IF(ABS(P224)&lt;=15,5+(ABS(P224)-10)*(1.67/5),
        6.67+(ABS(P224)-15)*0.333)),
2)</f>
        <v>5</v>
      </c>
    </row>
    <row r="225" spans="1:17" ht="34.5" customHeight="1" x14ac:dyDescent="0.3">
      <c r="B225" s="2">
        <v>224</v>
      </c>
      <c r="C225" s="16">
        <f>ROUND(MAX(MIN(N225 + Q225, 100), 0), 2)</f>
        <v>72.599999999999994</v>
      </c>
      <c r="D225" s="2" t="s">
        <v>309</v>
      </c>
      <c r="E225" s="5">
        <v>71</v>
      </c>
      <c r="F225" s="7">
        <v>66</v>
      </c>
      <c r="G225" s="7">
        <v>67</v>
      </c>
      <c r="H225" s="2" t="s">
        <v>31</v>
      </c>
      <c r="I225" s="2" t="s">
        <v>36</v>
      </c>
      <c r="J225" s="3" t="s">
        <v>32</v>
      </c>
      <c r="M225" s="2">
        <f>IF(J225="1000+", 1000, (LEFT(J225,FIND("-",J225)-1)+RIGHT(J225,LEN(J225)-FIND("-",J225)))/2)</f>
        <v>45</v>
      </c>
      <c r="N225" s="2">
        <f>ROUND(E225 * 0.7+F225 * 0.2+G225 * 0.1,2)</f>
        <v>69.599999999999994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65</v>
      </c>
      <c r="P225" s="2">
        <f>E225 - O225</f>
        <v>6</v>
      </c>
      <c r="Q225" s="2">
        <f>ROUND(
  SIGN(P225)*
  IF(ABS(P225)&lt;=10,ABS(P225)*0.5,
     IF(ABS(P225)&lt;=15,5+(ABS(P225)-10)*(1.67/5),
        6.67+(ABS(P225)-15)*0.333)),
2)</f>
        <v>3</v>
      </c>
    </row>
    <row r="226" spans="1:17" ht="34.5" customHeight="1" x14ac:dyDescent="0.3">
      <c r="B226" s="2">
        <v>225</v>
      </c>
      <c r="C226" s="16">
        <f>ROUND(MAX(MIN(N226 + Q226, 100), 0), 2)</f>
        <v>72.599999999999994</v>
      </c>
      <c r="D226" s="2" t="s">
        <v>108</v>
      </c>
      <c r="E226" s="5">
        <v>75</v>
      </c>
      <c r="F226" s="5">
        <v>78</v>
      </c>
      <c r="G226" s="5">
        <v>70</v>
      </c>
      <c r="H226" s="2" t="s">
        <v>109</v>
      </c>
      <c r="I226" s="2" t="s">
        <v>17</v>
      </c>
      <c r="J226" s="3" t="s">
        <v>88</v>
      </c>
      <c r="K226" s="2" t="s">
        <v>110</v>
      </c>
      <c r="M226" s="2">
        <f>IF(J226="1000+", 1000, (LEFT(J226,FIND("-",J226)-1)+RIGHT(J226,LEN(J226)-FIND("-",J226)))/2)</f>
        <v>150</v>
      </c>
      <c r="N226" s="2">
        <f>ROUND(E226 * 0.7+F226 * 0.2+G226 * 0.1,2)</f>
        <v>75.099999999999994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80</v>
      </c>
      <c r="P226" s="2">
        <f>E226 - O226</f>
        <v>-5</v>
      </c>
      <c r="Q226" s="2">
        <f>ROUND(
  SIGN(P226)*
  IF(ABS(P226)&lt;=10,ABS(P226)*0.5,
     IF(ABS(P226)&lt;=15,5+(ABS(P226)-10)*(1.67/5),
        6.67+(ABS(P226)-15)*0.333)),
2)</f>
        <v>-2.5</v>
      </c>
    </row>
    <row r="227" spans="1:17" ht="34.5" customHeight="1" x14ac:dyDescent="0.3">
      <c r="B227" s="2">
        <v>226</v>
      </c>
      <c r="C227" s="16">
        <f>ROUND(MAX(MIN(N227 + Q227, 100), 0), 2)</f>
        <v>72.569999999999993</v>
      </c>
      <c r="D227" s="2" t="s">
        <v>378</v>
      </c>
      <c r="E227" s="5">
        <v>74</v>
      </c>
      <c r="F227" s="2">
        <v>58</v>
      </c>
      <c r="G227" s="2">
        <v>35</v>
      </c>
      <c r="H227" s="2" t="s">
        <v>379</v>
      </c>
      <c r="I227" s="2" t="s">
        <v>316</v>
      </c>
      <c r="J227" s="3" t="s">
        <v>146</v>
      </c>
      <c r="M227" s="2">
        <f>IF(J227="1000+", 1000, (LEFT(J227,FIND("-",J227)-1)+RIGHT(J227,LEN(J227)-FIND("-",J227)))/2)</f>
        <v>30</v>
      </c>
      <c r="N227" s="2">
        <f>ROUND(E227 * 0.7+F227 * 0.2+G227 * 0.1,2)</f>
        <v>66.900000000000006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62</v>
      </c>
      <c r="P227" s="2">
        <f>E227 - O227</f>
        <v>12</v>
      </c>
      <c r="Q227" s="2">
        <f>ROUND(
  SIGN(P227)*
  IF(ABS(P227)&lt;=10,ABS(P227)*0.5,
     IF(ABS(P227)&lt;=15,5+(ABS(P227)-10)*(1.67/5),
        6.67+(ABS(P227)-15)*0.333)),
2)</f>
        <v>5.67</v>
      </c>
    </row>
    <row r="228" spans="1:17" ht="34.5" customHeight="1" x14ac:dyDescent="0.3">
      <c r="A228" s="2">
        <v>2026</v>
      </c>
      <c r="B228" s="2">
        <v>227</v>
      </c>
      <c r="C228" s="16">
        <f>ROUND(MAX(MIN(N228 + Q228, 100), 0), 2)</f>
        <v>72.56</v>
      </c>
      <c r="D228" s="2" t="s">
        <v>1863</v>
      </c>
      <c r="E228" s="5">
        <v>75</v>
      </c>
      <c r="F228" s="4">
        <v>99</v>
      </c>
      <c r="G228" s="6">
        <v>86</v>
      </c>
      <c r="H228" s="2" t="s">
        <v>1895</v>
      </c>
      <c r="I228" s="2" t="s">
        <v>1258</v>
      </c>
      <c r="J228" s="3" t="s">
        <v>1824</v>
      </c>
      <c r="M228" s="2">
        <f>IF(J228="1000+", 1000, (LEFT(J228,FIND("-",J228)-1)+RIGHT(J228,LEN(J228)-FIND("-",J228)))/2)</f>
        <v>1000</v>
      </c>
      <c r="N228" s="2">
        <f>ROUND(E228 * 0.7+F228 * 0.2+G228 * 0.1,2)</f>
        <v>80.900000000000006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95</v>
      </c>
      <c r="P228" s="2">
        <f>E228 - O228</f>
        <v>-20</v>
      </c>
      <c r="Q228" s="2">
        <f>ROUND(
  SIGN(P228)*
  IF(ABS(P228)&lt;=10,ABS(P228)*0.5,
     IF(ABS(P228)&lt;=15,5+(ABS(P228)-10)*(1.67/5),
        6.67+(ABS(P228)-15)*0.333)),
2)</f>
        <v>-8.34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72.5</v>
      </c>
      <c r="D229" s="2" t="s">
        <v>1634</v>
      </c>
      <c r="E229" s="5">
        <v>76</v>
      </c>
      <c r="F229" s="2">
        <v>50</v>
      </c>
      <c r="G229" s="2">
        <v>53</v>
      </c>
      <c r="H229" s="2" t="s">
        <v>1644</v>
      </c>
      <c r="I229" s="2" t="s">
        <v>36</v>
      </c>
      <c r="J229" s="3" t="s">
        <v>1656</v>
      </c>
      <c r="K229" s="2" t="s">
        <v>1663</v>
      </c>
      <c r="M229" s="2">
        <f>IF(J229="1000+", 1000, (LEFT(J229,FIND("-",J229)-1)+RIGHT(J229,LEN(J229)-FIND("-",J229)))/2)</f>
        <v>60</v>
      </c>
      <c r="N229" s="2">
        <f>ROUND(E229 * 0.7+F229 * 0.2+G229 * 0.1,2)</f>
        <v>68.5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68</v>
      </c>
      <c r="P229" s="2">
        <f>E229 - O229</f>
        <v>8</v>
      </c>
      <c r="Q229" s="2">
        <f>ROUND(
  SIGN(P229)*
  IF(ABS(P229)&lt;=10,ABS(P229)*0.5,
     IF(ABS(P229)&lt;=15,5+(ABS(P229)-10)*(1.67/5),
        6.67+(ABS(P229)-15)*0.333)),
2)</f>
        <v>4</v>
      </c>
    </row>
    <row r="230" spans="1:17" ht="34.5" customHeight="1" x14ac:dyDescent="0.3">
      <c r="B230" s="2">
        <v>229</v>
      </c>
      <c r="C230" s="16">
        <f>ROUND(MAX(MIN(N230 + Q230, 100), 0), 2)</f>
        <v>72.5</v>
      </c>
      <c r="D230" s="2" t="s">
        <v>333</v>
      </c>
      <c r="E230" s="5">
        <v>72</v>
      </c>
      <c r="F230" s="7">
        <v>60</v>
      </c>
      <c r="G230" s="7">
        <v>66</v>
      </c>
      <c r="H230" s="2" t="s">
        <v>145</v>
      </c>
      <c r="I230" s="2" t="s">
        <v>13</v>
      </c>
      <c r="J230" s="3" t="s">
        <v>32</v>
      </c>
      <c r="M230" s="2">
        <f>IF(J230="1000+", 1000, (LEFT(J230,FIND("-",J230)-1)+RIGHT(J230,LEN(J230)-FIND("-",J230)))/2)</f>
        <v>45</v>
      </c>
      <c r="N230" s="2">
        <f>ROUND(E230 * 0.7+F230 * 0.2+G230 * 0.1,2)</f>
        <v>69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65</v>
      </c>
      <c r="P230" s="2">
        <f>E230 - O230</f>
        <v>7</v>
      </c>
      <c r="Q230" s="2">
        <f>ROUND(
  SIGN(P230)*
  IF(ABS(P230)&lt;=10,ABS(P230)*0.5,
     IF(ABS(P230)&lt;=15,5+(ABS(P230)-10)*(1.67/5),
        6.67+(ABS(P230)-15)*0.333)),
2)</f>
        <v>3.5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72.5</v>
      </c>
      <c r="D231" s="2" t="s">
        <v>1749</v>
      </c>
      <c r="E231" s="5">
        <v>77</v>
      </c>
      <c r="F231" s="7">
        <v>68</v>
      </c>
      <c r="G231" s="7">
        <v>65</v>
      </c>
      <c r="H231" s="2" t="s">
        <v>1760</v>
      </c>
      <c r="I231" s="2" t="s">
        <v>1764</v>
      </c>
      <c r="J231" s="3" t="s">
        <v>1769</v>
      </c>
      <c r="K231" s="2" t="s">
        <v>1758</v>
      </c>
      <c r="M231" s="2">
        <f>IF(J231="1000+", 1000, (LEFT(J231,FIND("-",J231)-1)+RIGHT(J231,LEN(J231)-FIND("-",J231)))/2)</f>
        <v>150</v>
      </c>
      <c r="N231" s="2">
        <f>ROUND(E231 * 0.7+F231 * 0.2+G231 * 0.1,2)</f>
        <v>74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80</v>
      </c>
      <c r="P231" s="2">
        <f>E231 - O231</f>
        <v>-3</v>
      </c>
      <c r="Q231" s="2">
        <f>ROUND(
  SIGN(P231)*
  IF(ABS(P231)&lt;=10,ABS(P231)*0.5,
     IF(ABS(P231)&lt;=15,5+(ABS(P231)-10)*(1.67/5),
        6.67+(ABS(P231)-15)*0.333)),
2)</f>
        <v>-1.5</v>
      </c>
    </row>
    <row r="232" spans="1:17" ht="34.5" customHeight="1" x14ac:dyDescent="0.3">
      <c r="B232" s="2">
        <v>231</v>
      </c>
      <c r="C232" s="16">
        <f>ROUND(MAX(MIN(N232 + Q232, 100), 0), 2)</f>
        <v>72.5</v>
      </c>
      <c r="D232" s="2" t="s">
        <v>227</v>
      </c>
      <c r="E232" s="5">
        <v>77</v>
      </c>
      <c r="F232" s="7">
        <v>68</v>
      </c>
      <c r="G232" s="7">
        <v>65</v>
      </c>
      <c r="H232" s="2" t="s">
        <v>71</v>
      </c>
      <c r="I232" s="2" t="s">
        <v>228</v>
      </c>
      <c r="J232" s="3" t="s">
        <v>88</v>
      </c>
      <c r="K232" s="2" t="s">
        <v>229</v>
      </c>
      <c r="M232" s="2">
        <f>IF(J232="1000+", 1000, (LEFT(J232,FIND("-",J232)-1)+RIGHT(J232,LEN(J232)-FIND("-",J232)))/2)</f>
        <v>150</v>
      </c>
      <c r="N232" s="2">
        <f>ROUND(E232 * 0.7+F232 * 0.2+G232 * 0.1,2)</f>
        <v>74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80</v>
      </c>
      <c r="P232" s="2">
        <f>E232 - O232</f>
        <v>-3</v>
      </c>
      <c r="Q232" s="2">
        <f>ROUND(
  SIGN(P232)*
  IF(ABS(P232)&lt;=10,ABS(P232)*0.5,
     IF(ABS(P232)&lt;=15,5+(ABS(P232)-10)*(1.67/5),
        6.67+(ABS(P232)-15)*0.333)),
2)</f>
        <v>-1.5</v>
      </c>
    </row>
    <row r="233" spans="1:17" ht="34.5" customHeight="1" x14ac:dyDescent="0.3">
      <c r="B233" s="2">
        <v>232</v>
      </c>
      <c r="C233" s="16">
        <f>ROUND(MAX(MIN(N233 + Q233, 100), 0), 2)</f>
        <v>72.5</v>
      </c>
      <c r="D233" s="2" t="s">
        <v>223</v>
      </c>
      <c r="E233" s="5">
        <v>75</v>
      </c>
      <c r="F233" s="5">
        <v>72</v>
      </c>
      <c r="G233" s="6">
        <v>81</v>
      </c>
      <c r="H233" s="2" t="s">
        <v>224</v>
      </c>
      <c r="I233" s="2" t="s">
        <v>79</v>
      </c>
      <c r="J233" s="3" t="s">
        <v>88</v>
      </c>
      <c r="M233" s="2">
        <f>IF(J233="1000+", 1000, (LEFT(J233,FIND("-",J233)-1)+RIGHT(J233,LEN(J233)-FIND("-",J233)))/2)</f>
        <v>150</v>
      </c>
      <c r="N233" s="2">
        <f>ROUND(E233 * 0.7+F233 * 0.2+G233 * 0.1,2)</f>
        <v>75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80</v>
      </c>
      <c r="P233" s="2">
        <f>E233 - O233</f>
        <v>-5</v>
      </c>
      <c r="Q233" s="2">
        <f>ROUND(
  SIGN(P233)*
  IF(ABS(P233)&lt;=10,ABS(P233)*0.5,
     IF(ABS(P233)&lt;=15,5+(ABS(P233)-10)*(1.67/5),
        6.67+(ABS(P233)-15)*0.333)),
2)</f>
        <v>-2.5</v>
      </c>
    </row>
    <row r="234" spans="1:17" ht="34.5" customHeight="1" x14ac:dyDescent="0.3">
      <c r="B234" s="2">
        <v>233</v>
      </c>
      <c r="C234" s="16">
        <f>ROUND(MAX(MIN(N234 + Q234, 100), 0), 2)</f>
        <v>72.5</v>
      </c>
      <c r="D234" s="2" t="s">
        <v>187</v>
      </c>
      <c r="E234" s="5">
        <v>76</v>
      </c>
      <c r="F234" s="6">
        <v>80</v>
      </c>
      <c r="G234" s="5">
        <v>78</v>
      </c>
      <c r="H234" s="2" t="s">
        <v>64</v>
      </c>
      <c r="I234" s="2" t="s">
        <v>13</v>
      </c>
      <c r="J234" s="3" t="s">
        <v>14</v>
      </c>
      <c r="K234" s="2" t="s">
        <v>188</v>
      </c>
      <c r="M234" s="2">
        <f>IF(J234="1000+", 1000, (LEFT(J234,FIND("-",J234)-1)+RIGHT(J234,LEN(J234)-FIND("-",J234)))/2)</f>
        <v>225</v>
      </c>
      <c r="N234" s="2">
        <f>ROUND(E234 * 0.7+F234 * 0.2+G234 * 0.1,2)</f>
        <v>77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85</v>
      </c>
      <c r="P234" s="2">
        <f>E234 - O234</f>
        <v>-9</v>
      </c>
      <c r="Q234" s="2">
        <f>ROUND(
  SIGN(P234)*
  IF(ABS(P234)&lt;=10,ABS(P234)*0.5,
     IF(ABS(P234)&lt;=15,5+(ABS(P234)-10)*(1.67/5),
        6.67+(ABS(P234)-15)*0.333)),
2)</f>
        <v>-4.5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72.47</v>
      </c>
      <c r="D235" s="11" t="s">
        <v>1283</v>
      </c>
      <c r="E235" s="5">
        <v>72</v>
      </c>
      <c r="F235" s="2">
        <v>58</v>
      </c>
      <c r="G235" s="2">
        <v>48</v>
      </c>
      <c r="H235" s="11" t="s">
        <v>1256</v>
      </c>
      <c r="I235" s="11" t="s">
        <v>1288</v>
      </c>
      <c r="J235" s="19" t="s">
        <v>1261</v>
      </c>
      <c r="M235" s="2">
        <f>IF(J235="1000+", 1000, (LEFT(J235,FIND("-",J235)-1)+RIGHT(J235,LEN(J235)-FIND("-",J235)))/2)</f>
        <v>20</v>
      </c>
      <c r="N235" s="2">
        <f>ROUND(E235 * 0.7+F235 * 0.2+G235 * 0.1,2)</f>
        <v>66.8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60</v>
      </c>
      <c r="P235" s="2">
        <f>E235 - O235</f>
        <v>12</v>
      </c>
      <c r="Q235" s="2">
        <f>ROUND(
  SIGN(P235)*
  IF(ABS(P235)&lt;=10,ABS(P235)*0.5,
     IF(ABS(P235)&lt;=15,5+(ABS(P235)-10)*(1.67/5),
        6.67+(ABS(P235)-15)*0.333)),
2)</f>
        <v>5.67</v>
      </c>
    </row>
    <row r="236" spans="1:17" ht="34.5" customHeight="1" x14ac:dyDescent="0.3">
      <c r="A236" s="2">
        <v>2026</v>
      </c>
      <c r="B236" s="2">
        <v>235</v>
      </c>
      <c r="C236" s="16">
        <f>ROUND(MAX(MIN(N236 + Q236, 100), 0), 2)</f>
        <v>72.400000000000006</v>
      </c>
      <c r="D236" s="2" t="s">
        <v>1830</v>
      </c>
      <c r="E236" s="5">
        <v>76</v>
      </c>
      <c r="F236" s="2">
        <v>54</v>
      </c>
      <c r="G236" s="7">
        <v>64</v>
      </c>
      <c r="H236" s="2" t="s">
        <v>1256</v>
      </c>
      <c r="I236" s="2" t="s">
        <v>1258</v>
      </c>
      <c r="J236" s="3" t="s">
        <v>1279</v>
      </c>
      <c r="M236" s="2">
        <f>IF(J236="1000+", 1000, (LEFT(J236,FIND("-",J236)-1)+RIGHT(J236,LEN(J236)-FIND("-",J236)))/2)</f>
        <v>105</v>
      </c>
      <c r="N236" s="2">
        <f>ROUND(E236 * 0.7+F236 * 0.2+G236 * 0.1,2)</f>
        <v>70.400000000000006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72</v>
      </c>
      <c r="P236" s="2">
        <f>E236 - O236</f>
        <v>4</v>
      </c>
      <c r="Q236" s="2">
        <f>ROUND(
  SIGN(P236)*
  IF(ABS(P236)&lt;=10,ABS(P236)*0.5,
     IF(ABS(P236)&lt;=15,5+(ABS(P236)-10)*(1.67/5),
        6.67+(ABS(P236)-15)*0.333)),
2)</f>
        <v>2</v>
      </c>
    </row>
    <row r="237" spans="1:17" ht="34.5" customHeight="1" x14ac:dyDescent="0.3">
      <c r="A237" s="2">
        <v>2026</v>
      </c>
      <c r="B237" s="2">
        <v>236</v>
      </c>
      <c r="C237" s="16">
        <f>ROUND(MAX(MIN(N237 + Q237, 100), 0), 2)</f>
        <v>72.400000000000006</v>
      </c>
      <c r="D237" s="11" t="s">
        <v>1346</v>
      </c>
      <c r="E237" s="5">
        <v>70</v>
      </c>
      <c r="F237" s="7">
        <v>66</v>
      </c>
      <c r="G237" s="2">
        <v>52</v>
      </c>
      <c r="H237" s="11" t="s">
        <v>1256</v>
      </c>
      <c r="I237" s="2" t="s">
        <v>36</v>
      </c>
      <c r="J237" s="19" t="s">
        <v>1261</v>
      </c>
      <c r="M237" s="2">
        <f>IF(J237="1000+", 1000, (LEFT(J237,FIND("-",J237)-1)+RIGHT(J237,LEN(J237)-FIND("-",J237)))/2)</f>
        <v>20</v>
      </c>
      <c r="N237" s="2">
        <f>ROUND(E237 * 0.7+F237 * 0.2+G237 * 0.1,2)</f>
        <v>67.400000000000006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60</v>
      </c>
      <c r="P237" s="2">
        <f>E237 - O237</f>
        <v>10</v>
      </c>
      <c r="Q237" s="2">
        <f>ROUND(
  SIGN(P237)*
  IF(ABS(P237)&lt;=10,ABS(P237)*0.5,
     IF(ABS(P237)&lt;=15,5+(ABS(P237)-10)*(1.67/5),
        6.67+(ABS(P237)-15)*0.333)),
2)</f>
        <v>5</v>
      </c>
    </row>
    <row r="238" spans="1:17" ht="34.5" customHeight="1" x14ac:dyDescent="0.3">
      <c r="B238" s="2">
        <v>237</v>
      </c>
      <c r="C238" s="16">
        <f>ROUND(MAX(MIN(N238 + Q238, 100), 0), 2)</f>
        <v>72.400000000000006</v>
      </c>
      <c r="D238" s="2" t="s">
        <v>236</v>
      </c>
      <c r="E238" s="5">
        <v>78</v>
      </c>
      <c r="F238" s="5">
        <v>70</v>
      </c>
      <c r="G238" s="5">
        <v>73</v>
      </c>
      <c r="H238" s="2" t="s">
        <v>31</v>
      </c>
      <c r="I238" s="2" t="s">
        <v>237</v>
      </c>
      <c r="J238" s="3" t="s">
        <v>14</v>
      </c>
      <c r="K238" s="2" t="s">
        <v>238</v>
      </c>
      <c r="M238" s="2">
        <f>IF(J238="1000+", 1000, (LEFT(J238,FIND("-",J238)-1)+RIGHT(J238,LEN(J238)-FIND("-",J238)))/2)</f>
        <v>225</v>
      </c>
      <c r="N238" s="2">
        <f>ROUND(E238 * 0.7+F238 * 0.2+G238 * 0.1,2)</f>
        <v>75.900000000000006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85</v>
      </c>
      <c r="P238" s="2">
        <f>E238 - O238</f>
        <v>-7</v>
      </c>
      <c r="Q238" s="2">
        <f>ROUND(
  SIGN(P238)*
  IF(ABS(P238)&lt;=10,ABS(P238)*0.5,
     IF(ABS(P238)&lt;=15,5+(ABS(P238)-10)*(1.67/5),
        6.67+(ABS(P238)-15)*0.333)),
2)</f>
        <v>-3.5</v>
      </c>
    </row>
    <row r="239" spans="1:17" ht="34.5" customHeight="1" x14ac:dyDescent="0.3">
      <c r="B239" s="2">
        <v>238</v>
      </c>
      <c r="C239" s="16">
        <f>ROUND(MAX(MIN(N239 + Q239, 100), 0), 2)</f>
        <v>72.400000000000006</v>
      </c>
      <c r="D239" s="2" t="s">
        <v>190</v>
      </c>
      <c r="E239" s="5">
        <v>76</v>
      </c>
      <c r="F239" s="6">
        <v>80</v>
      </c>
      <c r="G239" s="5">
        <v>77</v>
      </c>
      <c r="H239" s="2" t="s">
        <v>58</v>
      </c>
      <c r="I239" s="2" t="s">
        <v>49</v>
      </c>
      <c r="J239" s="3" t="s">
        <v>14</v>
      </c>
      <c r="K239" s="2" t="s">
        <v>191</v>
      </c>
      <c r="M239" s="2">
        <f>IF(J239="1000+", 1000, (LEFT(J239,FIND("-",J239)-1)+RIGHT(J239,LEN(J239)-FIND("-",J239)))/2)</f>
        <v>225</v>
      </c>
      <c r="N239" s="2">
        <f>ROUND(E239 * 0.7+F239 * 0.2+G239 * 0.1,2)</f>
        <v>76.900000000000006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85</v>
      </c>
      <c r="P239" s="2">
        <f>E239 - O239</f>
        <v>-9</v>
      </c>
      <c r="Q239" s="2">
        <f>ROUND(
  SIGN(P239)*
  IF(ABS(P239)&lt;=10,ABS(P239)*0.5,
     IF(ABS(P239)&lt;=15,5+(ABS(P239)-10)*(1.67/5),
        6.67+(ABS(P239)-15)*0.333)),
2)</f>
        <v>-4.5</v>
      </c>
    </row>
    <row r="240" spans="1:17" ht="34.5" customHeight="1" x14ac:dyDescent="0.3">
      <c r="B240" s="2">
        <v>239</v>
      </c>
      <c r="C240" s="16">
        <f>ROUND(MAX(MIN(N240 + Q240, 100), 0), 2)</f>
        <v>72.37</v>
      </c>
      <c r="D240" s="2" t="s">
        <v>351</v>
      </c>
      <c r="E240" s="5">
        <v>72</v>
      </c>
      <c r="F240" s="2">
        <v>55</v>
      </c>
      <c r="G240" s="2">
        <v>53</v>
      </c>
      <c r="H240" s="2" t="s">
        <v>48</v>
      </c>
      <c r="I240" s="2" t="s">
        <v>72</v>
      </c>
      <c r="J240" s="3" t="s">
        <v>1708</v>
      </c>
      <c r="K240" s="2" t="s">
        <v>352</v>
      </c>
      <c r="M240" s="2">
        <f>IF(J240="1000+", 1000, (LEFT(J240,FIND("-",J240)-1)+RIGHT(J240,LEN(J240)-FIND("-",J240)))/2)</f>
        <v>20</v>
      </c>
      <c r="N240" s="2">
        <f>ROUND(E240 * 0.7+F240 * 0.2+G240 * 0.1,2)</f>
        <v>66.7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60</v>
      </c>
      <c r="P240" s="2">
        <f>E240 - O240</f>
        <v>12</v>
      </c>
      <c r="Q240" s="2">
        <f>ROUND(
  SIGN(P240)*
  IF(ABS(P240)&lt;=10,ABS(P240)*0.5,
     IF(ABS(P240)&lt;=15,5+(ABS(P240)-10)*(1.67/5),
        6.67+(ABS(P240)-15)*0.333)),
2)</f>
        <v>5.67</v>
      </c>
    </row>
    <row r="241" spans="1:17" ht="34.5" customHeight="1" x14ac:dyDescent="0.3">
      <c r="B241" s="2">
        <v>240</v>
      </c>
      <c r="C241" s="16">
        <f>ROUND(MAX(MIN(N241 + Q241, 100), 0), 2)</f>
        <v>72.3</v>
      </c>
      <c r="D241" s="2" t="s">
        <v>446</v>
      </c>
      <c r="E241" s="7">
        <v>69</v>
      </c>
      <c r="F241" s="2">
        <v>54</v>
      </c>
      <c r="G241" s="2">
        <v>52</v>
      </c>
      <c r="H241" s="2" t="s">
        <v>104</v>
      </c>
      <c r="I241" s="2" t="s">
        <v>447</v>
      </c>
      <c r="J241" s="3" t="s">
        <v>92</v>
      </c>
      <c r="M241" s="2">
        <f>IF(J241="1000+", 1000, (LEFT(J241,FIND("-",J241)-1)+RIGHT(J241,LEN(J241)-FIND("-",J241)))/2)</f>
        <v>12.5</v>
      </c>
      <c r="N241" s="2">
        <f>ROUND(E241 * 0.7+F241 * 0.2+G241 * 0.1,2)</f>
        <v>64.3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50</v>
      </c>
      <c r="P241" s="2">
        <f>E241 - O241</f>
        <v>19</v>
      </c>
      <c r="Q241" s="2">
        <f>ROUND(
  SIGN(P241)*
  IF(ABS(P241)&lt;=10,ABS(P241)*0.5,
     IF(ABS(P241)&lt;=15,5+(ABS(P241)-10)*(1.67/5),
        6.67+(ABS(P241)-15)*0.333)),
2)</f>
        <v>8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72.3</v>
      </c>
      <c r="D242" s="2" t="s">
        <v>1687</v>
      </c>
      <c r="E242" s="5">
        <v>74</v>
      </c>
      <c r="F242" s="7">
        <v>64</v>
      </c>
      <c r="G242" s="7">
        <v>67</v>
      </c>
      <c r="H242" s="2" t="s">
        <v>1693</v>
      </c>
      <c r="I242" s="2" t="s">
        <v>1695</v>
      </c>
      <c r="J242" s="3" t="s">
        <v>1701</v>
      </c>
      <c r="M242" s="2">
        <f>IF(J242="1000+", 1000, (LEFT(J242,FIND("-",J242)-1)+RIGHT(J242,LEN(J242)-FIND("-",J242)))/2)</f>
        <v>105</v>
      </c>
      <c r="N242" s="2">
        <f>ROUND(E242 * 0.7+F242 * 0.2+G242 * 0.1,2)</f>
        <v>71.3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72</v>
      </c>
      <c r="P242" s="2">
        <f>E242 - O242</f>
        <v>2</v>
      </c>
      <c r="Q242" s="2">
        <f>ROUND(
  SIGN(P242)*
  IF(ABS(P242)&lt;=10,ABS(P242)*0.5,
     IF(ABS(P242)&lt;=15,5+(ABS(P242)-10)*(1.67/5),
        6.67+(ABS(P242)-15)*0.333)),
2)</f>
        <v>1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72.3</v>
      </c>
      <c r="D243" s="2" t="s">
        <v>1402</v>
      </c>
      <c r="E243" s="5">
        <v>73</v>
      </c>
      <c r="F243" s="7">
        <v>65</v>
      </c>
      <c r="G243" s="7">
        <v>67</v>
      </c>
      <c r="H243" s="2" t="s">
        <v>1409</v>
      </c>
      <c r="I243" s="2" t="s">
        <v>1423</v>
      </c>
      <c r="J243" s="3" t="s">
        <v>1431</v>
      </c>
      <c r="M243" s="2">
        <f>IF(J243="1000+", 1000, (LEFT(J243,FIND("-",J243)-1)+RIGHT(J243,LEN(J243)-FIND("-",J243)))/2)</f>
        <v>75</v>
      </c>
      <c r="N243" s="2">
        <f>ROUND(E243 * 0.7+F243 * 0.2+G243 * 0.1,2)</f>
        <v>70.8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70</v>
      </c>
      <c r="P243" s="2">
        <f>E243 - O243</f>
        <v>3</v>
      </c>
      <c r="Q243" s="2">
        <f>ROUND(
  SIGN(P243)*
  IF(ABS(P243)&lt;=10,ABS(P243)*0.5,
     IF(ABS(P243)&lt;=15,5+(ABS(P243)-10)*(1.67/5),
        6.67+(ABS(P243)-15)*0.333)),
2)</f>
        <v>1.5</v>
      </c>
    </row>
    <row r="244" spans="1:17" ht="34.5" customHeight="1" x14ac:dyDescent="0.3">
      <c r="B244" s="2">
        <v>243</v>
      </c>
      <c r="C244" s="16">
        <f>ROUND(MAX(MIN(N244 + Q244, 100), 0), 2)</f>
        <v>72.3</v>
      </c>
      <c r="D244" s="2" t="s">
        <v>264</v>
      </c>
      <c r="E244" s="5">
        <v>75</v>
      </c>
      <c r="F244" s="5">
        <v>72</v>
      </c>
      <c r="G244" s="5">
        <v>79</v>
      </c>
      <c r="H244" s="2" t="s">
        <v>31</v>
      </c>
      <c r="I244" s="2" t="s">
        <v>13</v>
      </c>
      <c r="J244" s="3" t="s">
        <v>88</v>
      </c>
      <c r="M244" s="2">
        <f>IF(J244="1000+", 1000, (LEFT(J244,FIND("-",J244)-1)+RIGHT(J244,LEN(J244)-FIND("-",J244)))/2)</f>
        <v>150</v>
      </c>
      <c r="N244" s="2">
        <f>ROUND(E244 * 0.7+F244 * 0.2+G244 * 0.1,2)</f>
        <v>74.8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80</v>
      </c>
      <c r="P244" s="2">
        <f>E244 - O244</f>
        <v>-5</v>
      </c>
      <c r="Q244" s="2">
        <f>ROUND(
  SIGN(P244)*
  IF(ABS(P244)&lt;=10,ABS(P244)*0.5,
     IF(ABS(P244)&lt;=15,5+(ABS(P244)-10)*(1.67/5),
        6.67+(ABS(P244)-15)*0.333)),
2)</f>
        <v>-2.5</v>
      </c>
    </row>
    <row r="245" spans="1:17" ht="34.5" customHeight="1" x14ac:dyDescent="0.3">
      <c r="A245" s="2">
        <v>2026</v>
      </c>
      <c r="B245" s="2">
        <v>244</v>
      </c>
      <c r="C245" s="16">
        <f>ROUND(MAX(MIN(N245 + Q245, 100), 0), 2)</f>
        <v>72.3</v>
      </c>
      <c r="D245" s="2" t="s">
        <v>1919</v>
      </c>
      <c r="E245" s="5">
        <v>73</v>
      </c>
      <c r="F245" s="7">
        <v>65</v>
      </c>
      <c r="G245" s="2">
        <v>57</v>
      </c>
      <c r="H245" s="2" t="s">
        <v>1256</v>
      </c>
      <c r="I245" s="2" t="s">
        <v>22</v>
      </c>
      <c r="J245" s="3" t="s">
        <v>1302</v>
      </c>
      <c r="M245" s="2">
        <f>IF(J245="1000+", 1000, (LEFT(J245,FIND("-",J245)-1)+RIGHT(J245,LEN(J245)-FIND("-",J245)))/2)</f>
        <v>60</v>
      </c>
      <c r="N245" s="2">
        <f>ROUND(E245 * 0.7+F245 * 0.2+G245 * 0.1,2)</f>
        <v>69.8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68</v>
      </c>
      <c r="P245" s="2">
        <f>E245 - O245</f>
        <v>5</v>
      </c>
      <c r="Q245" s="2">
        <f>ROUND(
  SIGN(P245)*
  IF(ABS(P245)&lt;=10,ABS(P245)*0.5,
     IF(ABS(P245)&lt;=15,5+(ABS(P245)-10)*(1.67/5),
        6.67+(ABS(P245)-15)*0.333)),
2)</f>
        <v>2.5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72.3</v>
      </c>
      <c r="D246" s="2" t="s">
        <v>1970</v>
      </c>
      <c r="E246" s="5">
        <v>74</v>
      </c>
      <c r="F246" s="7">
        <v>65</v>
      </c>
      <c r="G246" s="7">
        <v>65</v>
      </c>
      <c r="H246" s="2" t="s">
        <v>1256</v>
      </c>
      <c r="I246" s="2" t="s">
        <v>1727</v>
      </c>
      <c r="J246" s="3" t="s">
        <v>1279</v>
      </c>
      <c r="M246" s="2">
        <f>IF(J246="1000+", 1000, (LEFT(J246,FIND("-",J246)-1)+RIGHT(J246,LEN(J246)-FIND("-",J246)))/2)</f>
        <v>105</v>
      </c>
      <c r="N246" s="2">
        <f>ROUND(E246 * 0.7+F246 * 0.2+G246 * 0.1,2)</f>
        <v>71.3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72</v>
      </c>
      <c r="P246" s="2">
        <f>E246 - O246</f>
        <v>2</v>
      </c>
      <c r="Q246" s="2">
        <f>ROUND(
  SIGN(P246)*
  IF(ABS(P246)&lt;=10,ABS(P246)*0.5,
     IF(ABS(P246)&lt;=15,5+(ABS(P246)-10)*(1.67/5),
        6.67+(ABS(P246)-15)*0.333)),
2)</f>
        <v>1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72.23</v>
      </c>
      <c r="D247" s="2" t="s">
        <v>1711</v>
      </c>
      <c r="E247" s="5">
        <v>71</v>
      </c>
      <c r="F247" s="7">
        <v>60</v>
      </c>
      <c r="G247" s="2">
        <v>52</v>
      </c>
      <c r="H247" s="2" t="s">
        <v>1723</v>
      </c>
      <c r="I247" s="2" t="s">
        <v>36</v>
      </c>
      <c r="J247" s="3" t="s">
        <v>1708</v>
      </c>
      <c r="M247" s="2">
        <f>IF(J247="1000+", 1000, (LEFT(J247,FIND("-",J247)-1)+RIGHT(J247,LEN(J247)-FIND("-",J247)))/2)</f>
        <v>20</v>
      </c>
      <c r="N247" s="2">
        <f>ROUND(E247 * 0.7+F247 * 0.2+G247 * 0.1,2)</f>
        <v>66.900000000000006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60</v>
      </c>
      <c r="P247" s="2">
        <f>E247 - O247</f>
        <v>11</v>
      </c>
      <c r="Q247" s="2">
        <f>ROUND(
  SIGN(P247)*
  IF(ABS(P247)&lt;=10,ABS(P247)*0.5,
     IF(ABS(P247)&lt;=15,5+(ABS(P247)-10)*(1.67/5),
        6.67+(ABS(P247)-15)*0.333)),
2)</f>
        <v>5.33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72.2</v>
      </c>
      <c r="D248" s="2" t="s">
        <v>1600</v>
      </c>
      <c r="E248" s="5">
        <v>72</v>
      </c>
      <c r="F248" s="2">
        <v>58</v>
      </c>
      <c r="G248" s="2">
        <v>52</v>
      </c>
      <c r="H248" s="2" t="s">
        <v>1615</v>
      </c>
      <c r="I248" s="2" t="s">
        <v>36</v>
      </c>
      <c r="J248" s="3" t="s">
        <v>1621</v>
      </c>
      <c r="M248" s="2">
        <f>IF(J248="1000+", 1000, (LEFT(J248,FIND("-",J248)-1)+RIGHT(J248,LEN(J248)-FIND("-",J248)))/2)</f>
        <v>30</v>
      </c>
      <c r="N248" s="2">
        <f>ROUND(E248 * 0.7+F248 * 0.2+G248 * 0.1,2)</f>
        <v>67.2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62</v>
      </c>
      <c r="P248" s="2">
        <f>E248 - O248</f>
        <v>10</v>
      </c>
      <c r="Q248" s="2">
        <f>ROUND(
  SIGN(P248)*
  IF(ABS(P248)&lt;=10,ABS(P248)*0.5,
     IF(ABS(P248)&lt;=15,5+(ABS(P248)-10)*(1.67/5),
        6.67+(ABS(P248)-15)*0.333)),
2)</f>
        <v>5</v>
      </c>
    </row>
    <row r="249" spans="1:17" ht="34.5" customHeight="1" x14ac:dyDescent="0.3">
      <c r="B249" s="2">
        <v>248</v>
      </c>
      <c r="C249" s="16">
        <f>ROUND(MAX(MIN(N249 + Q249, 100), 0), 2)</f>
        <v>72.2</v>
      </c>
      <c r="D249" s="2" t="s">
        <v>267</v>
      </c>
      <c r="E249" s="5">
        <v>71</v>
      </c>
      <c r="F249" s="5">
        <v>75</v>
      </c>
      <c r="G249" s="5">
        <v>70</v>
      </c>
      <c r="H249" s="2" t="s">
        <v>197</v>
      </c>
      <c r="I249" s="2" t="s">
        <v>72</v>
      </c>
      <c r="J249" s="3" t="s">
        <v>18</v>
      </c>
      <c r="M249" s="2">
        <f>IF(J249="1000+", 1000, (LEFT(J249,FIND("-",J249)-1)+RIGHT(J249,LEN(J249)-FIND("-",J249)))/2)</f>
        <v>75</v>
      </c>
      <c r="N249" s="2">
        <f>ROUND(E249 * 0.7+F249 * 0.2+G249 * 0.1,2)</f>
        <v>71.7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70</v>
      </c>
      <c r="P249" s="2">
        <f>E249 - O249</f>
        <v>1</v>
      </c>
      <c r="Q249" s="2">
        <f>ROUND(
  SIGN(P249)*
  IF(ABS(P249)&lt;=10,ABS(P249)*0.5,
     IF(ABS(P249)&lt;=15,5+(ABS(P249)-10)*(1.67/5),
        6.67+(ABS(P249)-15)*0.333)),
2)</f>
        <v>0.5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72.099999999999994</v>
      </c>
      <c r="D250" s="2" t="s">
        <v>2025</v>
      </c>
      <c r="E250" s="5">
        <v>74</v>
      </c>
      <c r="F250" s="2">
        <v>57</v>
      </c>
      <c r="G250" s="2">
        <v>44</v>
      </c>
      <c r="H250" s="2" t="s">
        <v>1256</v>
      </c>
      <c r="I250" s="2" t="s">
        <v>1592</v>
      </c>
      <c r="J250" s="3" t="s">
        <v>1262</v>
      </c>
      <c r="M250" s="2">
        <f>IF(J250="1000+", 1000, (LEFT(J250,FIND("-",J250)-1)+RIGHT(J250,LEN(J250)-FIND("-",J250)))/2)</f>
        <v>45</v>
      </c>
      <c r="N250" s="2">
        <f>ROUND(E250 * 0.7+F250 * 0.2+G250 * 0.1,2)</f>
        <v>67.599999999999994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65</v>
      </c>
      <c r="P250" s="2">
        <f>E250 - O250</f>
        <v>9</v>
      </c>
      <c r="Q250" s="2">
        <f>ROUND(
  SIGN(P250)*
  IF(ABS(P250)&lt;=10,ABS(P250)*0.5,
     IF(ABS(P250)&lt;=15,5+(ABS(P250)-10)*(1.67/5),
        6.67+(ABS(P250)-15)*0.333)),
2)</f>
        <v>4.5</v>
      </c>
    </row>
    <row r="251" spans="1:17" ht="34.5" customHeight="1" x14ac:dyDescent="0.3">
      <c r="B251" s="2">
        <v>250</v>
      </c>
      <c r="C251" s="16">
        <f>ROUND(MAX(MIN(N251 + Q251, 100), 0), 2)</f>
        <v>72.069999999999993</v>
      </c>
      <c r="D251" s="2" t="s">
        <v>307</v>
      </c>
      <c r="E251" s="5">
        <v>70</v>
      </c>
      <c r="F251" s="2">
        <v>55</v>
      </c>
      <c r="G251" s="2">
        <v>54</v>
      </c>
      <c r="H251" s="2" t="s">
        <v>48</v>
      </c>
      <c r="I251" s="2" t="s">
        <v>36</v>
      </c>
      <c r="J251" s="3" t="s">
        <v>37</v>
      </c>
      <c r="M251" s="2">
        <f>IF(J251="1000+", 1000, (LEFT(J251,FIND("-",J251)-1)+RIGHT(J251,LEN(J251)-FIND("-",J251)))/2)</f>
        <v>15</v>
      </c>
      <c r="N251" s="2">
        <f>ROUND(E251 * 0.7+F251 * 0.2+G251 * 0.1,2)</f>
        <v>65.400000000000006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55</v>
      </c>
      <c r="P251" s="2">
        <f>E251 - O251</f>
        <v>15</v>
      </c>
      <c r="Q251" s="2">
        <f>ROUND(
  SIGN(P251)*
  IF(ABS(P251)&lt;=10,ABS(P251)*0.5,
     IF(ABS(P251)&lt;=15,5+(ABS(P251)-10)*(1.67/5),
        6.67+(ABS(P251)-15)*0.333)),
2)</f>
        <v>6.67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72</v>
      </c>
      <c r="D252" s="2" t="s">
        <v>1419</v>
      </c>
      <c r="E252" s="5">
        <v>74</v>
      </c>
      <c r="F252" s="7">
        <v>62</v>
      </c>
      <c r="G252" s="7">
        <v>68</v>
      </c>
      <c r="H252" s="2" t="s">
        <v>1421</v>
      </c>
      <c r="I252" s="2" t="s">
        <v>1423</v>
      </c>
      <c r="J252" s="3" t="s">
        <v>1434</v>
      </c>
      <c r="M252" s="2">
        <f>IF(J252="1000+", 1000, (LEFT(J252,FIND("-",J252)-1)+RIGHT(J252,LEN(J252)-FIND("-",J252)))/2)</f>
        <v>105</v>
      </c>
      <c r="N252" s="2">
        <f>ROUND(E252 * 0.7+F252 * 0.2+G252 * 0.1,2)</f>
        <v>71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72</v>
      </c>
      <c r="P252" s="2">
        <f>E252 - O252</f>
        <v>2</v>
      </c>
      <c r="Q252" s="2">
        <f>ROUND(
  SIGN(P252)*
  IF(ABS(P252)&lt;=10,ABS(P252)*0.5,
     IF(ABS(P252)&lt;=15,5+(ABS(P252)-10)*(1.67/5),
        6.67+(ABS(P252)-15)*0.333)),
2)</f>
        <v>1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72</v>
      </c>
      <c r="D253" s="2" t="s">
        <v>1559</v>
      </c>
      <c r="E253" s="5">
        <v>72</v>
      </c>
      <c r="F253" s="7">
        <v>69</v>
      </c>
      <c r="G253" s="2">
        <v>58</v>
      </c>
      <c r="H253" s="2" t="s">
        <v>48</v>
      </c>
      <c r="I253" s="2" t="s">
        <v>1568</v>
      </c>
      <c r="J253" s="3" t="s">
        <v>1573</v>
      </c>
      <c r="M253" s="2">
        <f>IF(J253="1000+", 1000, (LEFT(J253,FIND("-",J253)-1)+RIGHT(J253,LEN(J253)-FIND("-",J253)))/2)</f>
        <v>60</v>
      </c>
      <c r="N253" s="2">
        <f>ROUND(E253 * 0.7+F253 * 0.2+G253 * 0.1,2)</f>
        <v>70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68</v>
      </c>
      <c r="P253" s="2">
        <f>E253 - O253</f>
        <v>4</v>
      </c>
      <c r="Q253" s="2">
        <f>ROUND(
  SIGN(P253)*
  IF(ABS(P253)&lt;=10,ABS(P253)*0.5,
     IF(ABS(P253)&lt;=15,5+(ABS(P253)-10)*(1.67/5),
        6.67+(ABS(P253)-15)*0.333)),
2)</f>
        <v>2</v>
      </c>
    </row>
    <row r="254" spans="1:17" ht="34.5" customHeight="1" x14ac:dyDescent="0.3">
      <c r="B254" s="2">
        <v>253</v>
      </c>
      <c r="C254" s="16">
        <f>ROUND(MAX(MIN(N254 + Q254, 100), 0), 2)</f>
        <v>72</v>
      </c>
      <c r="D254" s="2" t="s">
        <v>295</v>
      </c>
      <c r="E254" s="5">
        <v>72</v>
      </c>
      <c r="F254" s="7">
        <v>65</v>
      </c>
      <c r="G254" s="7">
        <v>66</v>
      </c>
      <c r="H254" s="2" t="s">
        <v>48</v>
      </c>
      <c r="I254" s="2" t="s">
        <v>41</v>
      </c>
      <c r="J254" s="3" t="s">
        <v>23</v>
      </c>
      <c r="M254" s="2">
        <f>IF(J254="1000+", 1000, (LEFT(J254,FIND("-",J254)-1)+RIGHT(J254,LEN(J254)-FIND("-",J254)))/2)</f>
        <v>60</v>
      </c>
      <c r="N254" s="2">
        <f>ROUND(E254 * 0.7+F254 * 0.2+G254 * 0.1,2)</f>
        <v>70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68</v>
      </c>
      <c r="P254" s="2">
        <f>E254 - O254</f>
        <v>4</v>
      </c>
      <c r="Q254" s="2">
        <f>ROUND(
  SIGN(P254)*
  IF(ABS(P254)&lt;=10,ABS(P254)*0.5,
     IF(ABS(P254)&lt;=15,5+(ABS(P254)-10)*(1.67/5),
        6.67+(ABS(P254)-15)*0.333)),
2)</f>
        <v>2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72</v>
      </c>
      <c r="D255" s="2" t="s">
        <v>1777</v>
      </c>
      <c r="E255" s="5">
        <v>72</v>
      </c>
      <c r="F255" s="5">
        <v>72</v>
      </c>
      <c r="G255" s="7">
        <v>62</v>
      </c>
      <c r="H255" s="2" t="s">
        <v>1256</v>
      </c>
      <c r="I255" s="2" t="s">
        <v>1276</v>
      </c>
      <c r="J255" s="3" t="s">
        <v>1264</v>
      </c>
      <c r="M255" s="2">
        <f>IF(J255="1000+", 1000, (LEFT(J255,FIND("-",J255)-1)+RIGHT(J255,LEN(J255)-FIND("-",J255)))/2)</f>
        <v>75</v>
      </c>
      <c r="N255" s="2">
        <f>ROUND(E255 * 0.7+F255 * 0.2+G255 * 0.1,2)</f>
        <v>71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70</v>
      </c>
      <c r="P255" s="2">
        <f>E255 - O255</f>
        <v>2</v>
      </c>
      <c r="Q255" s="2">
        <f>ROUND(
  SIGN(P255)*
  IF(ABS(P255)&lt;=10,ABS(P255)*0.5,
     IF(ABS(P255)&lt;=15,5+(ABS(P255)-10)*(1.67/5),
        6.67+(ABS(P255)-15)*0.333)),
2)</f>
        <v>1</v>
      </c>
    </row>
    <row r="256" spans="1:17" ht="34.5" customHeight="1" x14ac:dyDescent="0.3">
      <c r="A256" s="2">
        <v>2026</v>
      </c>
      <c r="B256" s="2">
        <v>255</v>
      </c>
      <c r="C256" s="16">
        <f>ROUND(MAX(MIN(N256 + Q256, 100), 0), 2)</f>
        <v>71.97</v>
      </c>
      <c r="D256" s="2" t="s">
        <v>1555</v>
      </c>
      <c r="E256" s="5">
        <v>72</v>
      </c>
      <c r="F256" s="2">
        <v>57</v>
      </c>
      <c r="G256" s="2">
        <v>45</v>
      </c>
      <c r="H256" s="2" t="s">
        <v>1565</v>
      </c>
      <c r="I256" s="2" t="s">
        <v>1567</v>
      </c>
      <c r="J256" s="3" t="s">
        <v>1571</v>
      </c>
      <c r="M256" s="2">
        <f>IF(J256="1000+", 1000, (LEFT(J256,FIND("-",J256)-1)+RIGHT(J256,LEN(J256)-FIND("-",J256)))/2)</f>
        <v>20</v>
      </c>
      <c r="N256" s="2">
        <f>ROUND(E256 * 0.7+F256 * 0.2+G256 * 0.1,2)</f>
        <v>66.3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60</v>
      </c>
      <c r="P256" s="2">
        <f>E256 - O256</f>
        <v>12</v>
      </c>
      <c r="Q256" s="2">
        <f>ROUND(
  SIGN(P256)*
  IF(ABS(P256)&lt;=10,ABS(P256)*0.5,
     IF(ABS(P256)&lt;=15,5+(ABS(P256)-10)*(1.67/5),
        6.67+(ABS(P256)-15)*0.333)),
2)</f>
        <v>5.67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71.94</v>
      </c>
      <c r="D257" s="2" t="s">
        <v>1500</v>
      </c>
      <c r="E257" s="7">
        <v>69</v>
      </c>
      <c r="F257" s="7">
        <v>61</v>
      </c>
      <c r="G257" s="2">
        <v>51</v>
      </c>
      <c r="H257" s="2" t="s">
        <v>1483</v>
      </c>
      <c r="I257" s="2" t="s">
        <v>36</v>
      </c>
      <c r="J257" s="3" t="s">
        <v>1538</v>
      </c>
      <c r="M257" s="2">
        <f>IF(J257="1000+", 1000, (LEFT(J257,FIND("-",J257)-1)+RIGHT(J257,LEN(J257)-FIND("-",J257)))/2)</f>
        <v>15</v>
      </c>
      <c r="N257" s="2">
        <f>ROUND(E257 * 0.7+F257 * 0.2+G257 * 0.1,2)</f>
        <v>65.599999999999994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55</v>
      </c>
      <c r="P257" s="2">
        <f>E257 - O257</f>
        <v>14</v>
      </c>
      <c r="Q257" s="2">
        <f>ROUND(
  SIGN(P257)*
  IF(ABS(P257)&lt;=10,ABS(P257)*0.5,
     IF(ABS(P257)&lt;=15,5+(ABS(P257)-10)*(1.67/5),
        6.67+(ABS(P257)-15)*0.333)),
2)</f>
        <v>6.34</v>
      </c>
    </row>
    <row r="258" spans="1:17" ht="34.5" customHeight="1" x14ac:dyDescent="0.3">
      <c r="B258" s="2">
        <v>257</v>
      </c>
      <c r="C258" s="16">
        <f>ROUND(MAX(MIN(N258 + Q258, 100), 0), 2)</f>
        <v>71.900000000000006</v>
      </c>
      <c r="D258" s="2" t="s">
        <v>300</v>
      </c>
      <c r="E258" s="5">
        <v>74</v>
      </c>
      <c r="F258" s="7">
        <v>67</v>
      </c>
      <c r="G258" s="5">
        <v>72</v>
      </c>
      <c r="H258" s="2" t="s">
        <v>64</v>
      </c>
      <c r="I258" s="2" t="s">
        <v>41</v>
      </c>
      <c r="J258" s="3" t="s">
        <v>140</v>
      </c>
      <c r="M258" s="2">
        <f>IF(J258="1000+", 1000, (LEFT(J258,FIND("-",J258)-1)+RIGHT(J258,LEN(J258)-FIND("-",J258)))/2)</f>
        <v>115</v>
      </c>
      <c r="N258" s="2">
        <f>ROUND(E258 * 0.7+F258 * 0.2+G258 * 0.1,2)</f>
        <v>72.400000000000006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75</v>
      </c>
      <c r="P258" s="2">
        <f>E258 - O258</f>
        <v>-1</v>
      </c>
      <c r="Q258" s="2">
        <f>ROUND(
  SIGN(P258)*
  IF(ABS(P258)&lt;=10,ABS(P258)*0.5,
     IF(ABS(P258)&lt;=15,5+(ABS(P258)-10)*(1.67/5),
        6.67+(ABS(P258)-15)*0.333)),
2)</f>
        <v>-0.5</v>
      </c>
    </row>
    <row r="259" spans="1:17" ht="34.5" customHeight="1" x14ac:dyDescent="0.3">
      <c r="B259" s="2">
        <v>258</v>
      </c>
      <c r="C259" s="16">
        <f>ROUND(MAX(MIN(N259 + Q259, 100), 0), 2)</f>
        <v>71.900000000000006</v>
      </c>
      <c r="D259" s="2" t="s">
        <v>205</v>
      </c>
      <c r="E259" s="5">
        <v>73</v>
      </c>
      <c r="F259" s="7">
        <v>68</v>
      </c>
      <c r="G259" s="2">
        <v>57</v>
      </c>
      <c r="H259" s="2" t="s">
        <v>206</v>
      </c>
      <c r="I259" s="2" t="s">
        <v>154</v>
      </c>
      <c r="J259" s="3" t="s">
        <v>18</v>
      </c>
      <c r="K259" s="2" t="s">
        <v>207</v>
      </c>
      <c r="M259" s="2">
        <f>IF(J259="1000+", 1000, (LEFT(J259,FIND("-",J259)-1)+RIGHT(J259,LEN(J259)-FIND("-",J259)))/2)</f>
        <v>75</v>
      </c>
      <c r="N259" s="2">
        <f>ROUND(E259 * 0.7+F259 * 0.2+G259 * 0.1,2)</f>
        <v>70.400000000000006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70</v>
      </c>
      <c r="P259" s="2">
        <f>E259 - O259</f>
        <v>3</v>
      </c>
      <c r="Q259" s="2">
        <f>ROUND(
  SIGN(P259)*
  IF(ABS(P259)&lt;=10,ABS(P259)*0.5,
     IF(ABS(P259)&lt;=15,5+(ABS(P259)-10)*(1.67/5),
        6.67+(ABS(P259)-15)*0.333)),
2)</f>
        <v>1.5</v>
      </c>
    </row>
    <row r="260" spans="1:17" ht="34.5" customHeight="1" x14ac:dyDescent="0.3">
      <c r="B260" s="2">
        <v>259</v>
      </c>
      <c r="C260" s="16">
        <f>ROUND(MAX(MIN(N260 + Q260, 100), 0), 2)</f>
        <v>71.84</v>
      </c>
      <c r="D260" s="2" t="s">
        <v>440</v>
      </c>
      <c r="E260" s="5">
        <v>76</v>
      </c>
      <c r="F260" s="2">
        <v>48</v>
      </c>
      <c r="G260" s="2">
        <v>27</v>
      </c>
      <c r="H260" s="2" t="s">
        <v>64</v>
      </c>
      <c r="I260" s="2" t="s">
        <v>36</v>
      </c>
      <c r="J260" s="3" t="s">
        <v>146</v>
      </c>
      <c r="M260" s="2">
        <f>IF(J260="1000+", 1000, (LEFT(J260,FIND("-",J260)-1)+RIGHT(J260,LEN(J260)-FIND("-",J260)))/2)</f>
        <v>30</v>
      </c>
      <c r="N260" s="2">
        <f>ROUND(E260 * 0.7+F260 * 0.2+G260 * 0.1,2)</f>
        <v>65.5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62</v>
      </c>
      <c r="P260" s="2">
        <f>E260 - O260</f>
        <v>14</v>
      </c>
      <c r="Q260" s="2">
        <f>ROUND(
  SIGN(P260)*
  IF(ABS(P260)&lt;=10,ABS(P260)*0.5,
     IF(ABS(P260)&lt;=15,5+(ABS(P260)-10)*(1.67/5),
        6.67+(ABS(P260)-15)*0.333)),
2)</f>
        <v>6.34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71.8</v>
      </c>
      <c r="D261" s="2" t="s">
        <v>1818</v>
      </c>
      <c r="E261" s="5">
        <v>73</v>
      </c>
      <c r="F261" s="2">
        <v>49</v>
      </c>
      <c r="G261" s="2">
        <v>49</v>
      </c>
      <c r="H261" s="2" t="s">
        <v>1256</v>
      </c>
      <c r="I261" s="2" t="s">
        <v>1259</v>
      </c>
      <c r="J261" s="3" t="s">
        <v>1261</v>
      </c>
      <c r="M261" s="2">
        <f>IF(J261="1000+", 1000, (LEFT(J261,FIND("-",J261)-1)+RIGHT(J261,LEN(J261)-FIND("-",J261)))/2)</f>
        <v>20</v>
      </c>
      <c r="N261" s="2">
        <f>ROUND(E261 * 0.7+F261 * 0.2+G261 * 0.1,2)</f>
        <v>65.8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60</v>
      </c>
      <c r="P261" s="2">
        <f>E261 - O261</f>
        <v>13</v>
      </c>
      <c r="Q261" s="2">
        <f>ROUND(
  SIGN(P261)*
  IF(ABS(P261)&lt;=10,ABS(P261)*0.5,
     IF(ABS(P261)&lt;=15,5+(ABS(P261)-10)*(1.67/5),
        6.67+(ABS(P261)-15)*0.333)),
2)</f>
        <v>6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71.8</v>
      </c>
      <c r="D262" s="2" t="s">
        <v>1448</v>
      </c>
      <c r="E262" s="5">
        <v>74</v>
      </c>
      <c r="F262" s="7">
        <v>62</v>
      </c>
      <c r="G262" s="2">
        <v>56</v>
      </c>
      <c r="H262" s="2" t="s">
        <v>1443</v>
      </c>
      <c r="I262" s="2" t="s">
        <v>1451</v>
      </c>
      <c r="J262" s="3" t="s">
        <v>1456</v>
      </c>
      <c r="M262" s="2">
        <f>IF(J262="1000+", 1000, (LEFT(J262,FIND("-",J262)-1)+RIGHT(J262,LEN(J262)-FIND("-",J262)))/2)</f>
        <v>75</v>
      </c>
      <c r="N262" s="2">
        <f>ROUND(E262 * 0.7+F262 * 0.2+G262 * 0.1,2)</f>
        <v>69.8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4</v>
      </c>
      <c r="Q262" s="2">
        <f>ROUND(
  SIGN(P262)*
  IF(ABS(P262)&lt;=10,ABS(P262)*0.5,
     IF(ABS(P262)&lt;=15,5+(ABS(P262)-10)*(1.67/5),
        6.67+(ABS(P262)-15)*0.333)),
2)</f>
        <v>2</v>
      </c>
    </row>
    <row r="263" spans="1:17" ht="34.5" customHeight="1" x14ac:dyDescent="0.3">
      <c r="B263" s="2">
        <v>262</v>
      </c>
      <c r="C263" s="16">
        <f>ROUND(MAX(MIN(N263 + Q263, 100), 0), 2)</f>
        <v>71.8</v>
      </c>
      <c r="D263" s="2" t="s">
        <v>321</v>
      </c>
      <c r="E263" s="5">
        <v>77</v>
      </c>
      <c r="F263" s="5">
        <v>76</v>
      </c>
      <c r="G263" s="6">
        <v>87</v>
      </c>
      <c r="H263" s="2" t="s">
        <v>322</v>
      </c>
      <c r="I263" s="2" t="s">
        <v>27</v>
      </c>
      <c r="J263" s="3" t="s">
        <v>42</v>
      </c>
      <c r="M263" s="2">
        <f>IF(J263="1000+", 1000, (LEFT(J263,FIND("-",J263)-1)+RIGHT(J263,LEN(J263)-FIND("-",J263)))/2)</f>
        <v>600</v>
      </c>
      <c r="N263" s="2">
        <f>ROUND(E263 * 0.7+F263 * 0.2+G263 * 0.1,2)</f>
        <v>77.8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90</v>
      </c>
      <c r="P263" s="2">
        <f>E263 - O263</f>
        <v>-13</v>
      </c>
      <c r="Q263" s="2">
        <f>ROUND(
  SIGN(P263)*
  IF(ABS(P263)&lt;=10,ABS(P263)*0.5,
     IF(ABS(P263)&lt;=15,5+(ABS(P263)-10)*(1.67/5),
        6.67+(ABS(P263)-15)*0.333)),
2)</f>
        <v>-6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71.8</v>
      </c>
      <c r="D264" s="2" t="s">
        <v>2002</v>
      </c>
      <c r="E264" s="5">
        <v>72</v>
      </c>
      <c r="F264" s="2">
        <v>55</v>
      </c>
      <c r="G264" s="2">
        <v>54</v>
      </c>
      <c r="H264" s="2" t="s">
        <v>1256</v>
      </c>
      <c r="I264" s="2" t="s">
        <v>1259</v>
      </c>
      <c r="J264" s="3" t="s">
        <v>1263</v>
      </c>
      <c r="M264" s="2">
        <f>IF(J264="1000+", 1000, (LEFT(J264,FIND("-",J264)-1)+RIGHT(J264,LEN(J264)-FIND("-",J264)))/2)</f>
        <v>30</v>
      </c>
      <c r="N264" s="2">
        <f>ROUND(E264 * 0.7+F264 * 0.2+G264 * 0.1,2)</f>
        <v>66.8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62</v>
      </c>
      <c r="P264" s="2">
        <f>E264 - O264</f>
        <v>10</v>
      </c>
      <c r="Q264" s="2">
        <f>ROUND(
  SIGN(P264)*
  IF(ABS(P264)&lt;=10,ABS(P264)*0.5,
     IF(ABS(P264)&lt;=15,5+(ABS(P264)-10)*(1.67/5),
        6.67+(ABS(P264)-15)*0.333)),
2)</f>
        <v>5</v>
      </c>
    </row>
    <row r="265" spans="1:17" ht="34.5" customHeight="1" x14ac:dyDescent="0.3">
      <c r="A265" s="2">
        <v>2026</v>
      </c>
      <c r="B265" s="2">
        <v>264</v>
      </c>
      <c r="C265" s="16">
        <f>ROUND(MAX(MIN(N265 + Q265, 100), 0), 2)</f>
        <v>71.8</v>
      </c>
      <c r="D265" s="2" t="s">
        <v>2029</v>
      </c>
      <c r="E265" s="7">
        <v>69</v>
      </c>
      <c r="F265" s="7">
        <v>65</v>
      </c>
      <c r="G265" s="7">
        <v>60</v>
      </c>
      <c r="H265" s="2" t="s">
        <v>1256</v>
      </c>
      <c r="I265" s="2" t="s">
        <v>1259</v>
      </c>
      <c r="J265" s="3" t="s">
        <v>1261</v>
      </c>
      <c r="M265" s="2">
        <f>IF(J265="1000+", 1000, (LEFT(J265,FIND("-",J265)-1)+RIGHT(J265,LEN(J265)-FIND("-",J265)))/2)</f>
        <v>20</v>
      </c>
      <c r="N265" s="2">
        <f>ROUND(E265 * 0.7+F265 * 0.2+G265 * 0.1,2)</f>
        <v>67.3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60</v>
      </c>
      <c r="P265" s="2">
        <f>E265 - O265</f>
        <v>9</v>
      </c>
      <c r="Q265" s="2">
        <f>ROUND(
  SIGN(P265)*
  IF(ABS(P265)&lt;=10,ABS(P265)*0.5,
     IF(ABS(P265)&lt;=15,5+(ABS(P265)-10)*(1.67/5),
        6.67+(ABS(P265)-15)*0.333)),
2)</f>
        <v>4.5</v>
      </c>
    </row>
    <row r="266" spans="1:17" ht="34.5" customHeight="1" x14ac:dyDescent="0.3">
      <c r="B266" s="2">
        <v>265</v>
      </c>
      <c r="C266" s="16">
        <f>ROUND(MAX(MIN(N266 + Q266, 100), 0), 2)</f>
        <v>71.73</v>
      </c>
      <c r="D266" s="2" t="s">
        <v>296</v>
      </c>
      <c r="E266" s="5">
        <v>75</v>
      </c>
      <c r="F266" s="6">
        <v>83</v>
      </c>
      <c r="G266" s="4">
        <v>93</v>
      </c>
      <c r="H266" s="2" t="s">
        <v>297</v>
      </c>
      <c r="I266" s="2" t="s">
        <v>298</v>
      </c>
      <c r="J266" s="3" t="s">
        <v>42</v>
      </c>
      <c r="K266" s="2" t="s">
        <v>299</v>
      </c>
      <c r="M266" s="2">
        <f>IF(J266="1000+", 1000, (LEFT(J266,FIND("-",J266)-1)+RIGHT(J266,LEN(J266)-FIND("-",J266)))/2)</f>
        <v>600</v>
      </c>
      <c r="N266" s="2">
        <f>ROUND(E266 * 0.7+F266 * 0.2+G266 * 0.1,2)</f>
        <v>78.400000000000006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90</v>
      </c>
      <c r="P266" s="2">
        <f>E266 - O266</f>
        <v>-15</v>
      </c>
      <c r="Q266" s="2">
        <f>ROUND(
  SIGN(P266)*
  IF(ABS(P266)&lt;=10,ABS(P266)*0.5,
     IF(ABS(P266)&lt;=15,5+(ABS(P266)-10)*(1.67/5),
        6.67+(ABS(P266)-15)*0.333)),
2)</f>
        <v>-6.67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71.7</v>
      </c>
      <c r="D267" s="2" t="s">
        <v>1845</v>
      </c>
      <c r="E267" s="7">
        <v>69</v>
      </c>
      <c r="F267" s="7">
        <v>69</v>
      </c>
      <c r="G267" s="2">
        <v>51</v>
      </c>
      <c r="H267" s="2" t="s">
        <v>1856</v>
      </c>
      <c r="I267" s="2" t="s">
        <v>36</v>
      </c>
      <c r="J267" s="3" t="s">
        <v>1261</v>
      </c>
      <c r="M267" s="2">
        <f>IF(J267="1000+", 1000, (LEFT(J267,FIND("-",J267)-1)+RIGHT(J267,LEN(J267)-FIND("-",J267)))/2)</f>
        <v>20</v>
      </c>
      <c r="N267" s="2">
        <f>ROUND(E267 * 0.7+F267 * 0.2+G267 * 0.1,2)</f>
        <v>67.2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60</v>
      </c>
      <c r="P267" s="2">
        <f>E267 - O267</f>
        <v>9</v>
      </c>
      <c r="Q267" s="2">
        <f>ROUND(
  SIGN(P267)*
  IF(ABS(P267)&lt;=10,ABS(P267)*0.5,
     IF(ABS(P267)&lt;=15,5+(ABS(P267)-10)*(1.67/5),
        6.67+(ABS(P267)-15)*0.333)),
2)</f>
        <v>4.5</v>
      </c>
    </row>
    <row r="268" spans="1:17" ht="34.5" customHeight="1" x14ac:dyDescent="0.3">
      <c r="B268" s="2">
        <v>267</v>
      </c>
      <c r="C268" s="16">
        <f>ROUND(MAX(MIN(N268 + Q268, 100), 0), 2)</f>
        <v>71.63</v>
      </c>
      <c r="D268" s="2" t="s">
        <v>348</v>
      </c>
      <c r="E268" s="5">
        <v>71</v>
      </c>
      <c r="F268" s="7">
        <v>64</v>
      </c>
      <c r="G268" s="2">
        <v>38</v>
      </c>
      <c r="H268" s="2" t="s">
        <v>206</v>
      </c>
      <c r="I268" s="2" t="s">
        <v>36</v>
      </c>
      <c r="J268" s="3" t="s">
        <v>132</v>
      </c>
      <c r="K268" s="2" t="s">
        <v>349</v>
      </c>
      <c r="M268" s="2">
        <f>IF(J268="1000+", 1000, (LEFT(J268,FIND("-",J268)-1)+RIGHT(J268,LEN(J268)-FIND("-",J268)))/2)</f>
        <v>20</v>
      </c>
      <c r="N268" s="2">
        <f>ROUND(E268 * 0.7+F268 * 0.2+G268 * 0.1,2)</f>
        <v>66.3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60</v>
      </c>
      <c r="P268" s="2">
        <f>E268 - O268</f>
        <v>11</v>
      </c>
      <c r="Q268" s="2">
        <f>ROUND(
  SIGN(P268)*
  IF(ABS(P268)&lt;=10,ABS(P268)*0.5,
     IF(ABS(P268)&lt;=15,5+(ABS(P268)-10)*(1.67/5),
        6.67+(ABS(P268)-15)*0.333)),
2)</f>
        <v>5.33</v>
      </c>
    </row>
    <row r="269" spans="1:17" ht="34.5" customHeight="1" x14ac:dyDescent="0.3">
      <c r="B269" s="2">
        <v>268</v>
      </c>
      <c r="C269" s="16">
        <f>ROUND(MAX(MIN(N269 + Q269, 100), 0), 2)</f>
        <v>71.599999999999994</v>
      </c>
      <c r="D269" s="2" t="s">
        <v>247</v>
      </c>
      <c r="E269" s="5">
        <v>72</v>
      </c>
      <c r="F269" s="5">
        <v>77</v>
      </c>
      <c r="G269" s="5">
        <v>73</v>
      </c>
      <c r="H269" s="2" t="s">
        <v>31</v>
      </c>
      <c r="I269" s="2" t="s">
        <v>1589</v>
      </c>
      <c r="J269" s="3" t="s">
        <v>140</v>
      </c>
      <c r="M269" s="2">
        <f>IF(J269="1000+", 1000, (LEFT(J269,FIND("-",J269)-1)+RIGHT(J269,LEN(J269)-FIND("-",J269)))/2)</f>
        <v>115</v>
      </c>
      <c r="N269" s="2">
        <f>ROUND(E269 * 0.7+F269 * 0.2+G269 * 0.1,2)</f>
        <v>73.099999999999994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75</v>
      </c>
      <c r="P269" s="2">
        <f>E269 - O269</f>
        <v>-3</v>
      </c>
      <c r="Q269" s="2">
        <f>ROUND(
  SIGN(P269)*
  IF(ABS(P269)&lt;=10,ABS(P269)*0.5,
     IF(ABS(P269)&lt;=15,5+(ABS(P269)-10)*(1.67/5),
        6.67+(ABS(P269)-15)*0.333)),
2)</f>
        <v>-1.5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71.599999999999994</v>
      </c>
      <c r="D270" s="2" t="s">
        <v>1951</v>
      </c>
      <c r="E270" s="2">
        <v>71</v>
      </c>
      <c r="F270" s="2">
        <v>81</v>
      </c>
      <c r="G270" s="2">
        <v>62</v>
      </c>
      <c r="H270" s="2" t="s">
        <v>1257</v>
      </c>
      <c r="I270" s="2" t="s">
        <v>1732</v>
      </c>
      <c r="J270" s="3" t="s">
        <v>1279</v>
      </c>
      <c r="M270" s="2">
        <f>IF(J270="1000+", 1000, (LEFT(J270,FIND("-",J270)-1)+RIGHT(J270,LEN(J270)-FIND("-",J270)))/2)</f>
        <v>105</v>
      </c>
      <c r="N270" s="2">
        <f>ROUND(E270 * 0.7+F270 * 0.2+G270 * 0.1,2)</f>
        <v>72.099999999999994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72</v>
      </c>
      <c r="P270" s="2">
        <f>E270 - O270</f>
        <v>-1</v>
      </c>
      <c r="Q270" s="2">
        <f>ROUND(
  SIGN(P270)*
  IF(ABS(P270)&lt;=10,ABS(P270)*0.5,
     IF(ABS(P270)&lt;=15,5+(ABS(P270)-10)*(1.67/5),
        6.67+(ABS(P270)-15)*0.333)),
2)</f>
        <v>-0.5</v>
      </c>
    </row>
    <row r="271" spans="1:17" ht="34.5" customHeight="1" x14ac:dyDescent="0.3">
      <c r="B271" s="2">
        <v>270</v>
      </c>
      <c r="C271" s="16">
        <f>ROUND(MAX(MIN(N271 + Q271, 100), 0), 2)</f>
        <v>71.569999999999993</v>
      </c>
      <c r="D271" s="2" t="s">
        <v>380</v>
      </c>
      <c r="E271" s="5">
        <v>70</v>
      </c>
      <c r="F271" s="2">
        <v>52</v>
      </c>
      <c r="G271" s="2">
        <v>55</v>
      </c>
      <c r="H271" s="2" t="s">
        <v>381</v>
      </c>
      <c r="I271" s="2" t="s">
        <v>382</v>
      </c>
      <c r="J271" s="3" t="s">
        <v>37</v>
      </c>
      <c r="K271" s="2" t="s">
        <v>383</v>
      </c>
      <c r="M271" s="2">
        <f>IF(J271="1000+", 1000, (LEFT(J271,FIND("-",J271)-1)+RIGHT(J271,LEN(J271)-FIND("-",J271)))/2)</f>
        <v>15</v>
      </c>
      <c r="N271" s="2">
        <f>ROUND(E271 * 0.7+F271 * 0.2+G271 * 0.1,2)</f>
        <v>64.900000000000006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55</v>
      </c>
      <c r="P271" s="2">
        <f>E271 - O271</f>
        <v>15</v>
      </c>
      <c r="Q271" s="2">
        <f>ROUND(
  SIGN(P271)*
  IF(ABS(P271)&lt;=10,ABS(P271)*0.5,
     IF(ABS(P271)&lt;=15,5+(ABS(P271)-10)*(1.67/5),
        6.67+(ABS(P271)-15)*0.333)),
2)</f>
        <v>6.67</v>
      </c>
    </row>
    <row r="272" spans="1:17" ht="34.5" customHeight="1" x14ac:dyDescent="0.3">
      <c r="B272" s="2">
        <v>271</v>
      </c>
      <c r="C272" s="16">
        <f>ROUND(MAX(MIN(N272 + Q272, 100), 0), 2)</f>
        <v>71.5</v>
      </c>
      <c r="D272" s="2" t="s">
        <v>441</v>
      </c>
      <c r="E272" s="5">
        <v>75</v>
      </c>
      <c r="F272" s="2">
        <v>50</v>
      </c>
      <c r="G272" s="2">
        <v>40</v>
      </c>
      <c r="H272" s="2" t="s">
        <v>61</v>
      </c>
      <c r="I272" s="2" t="s">
        <v>72</v>
      </c>
      <c r="J272" s="3" t="s">
        <v>32</v>
      </c>
      <c r="M272" s="2">
        <f>IF(J272="1000+", 1000, (LEFT(J272,FIND("-",J272)-1)+RIGHT(J272,LEN(J272)-FIND("-",J272)))/2)</f>
        <v>45</v>
      </c>
      <c r="N272" s="2">
        <f>ROUND(E272 * 0.7+F272 * 0.2+G272 * 0.1,2)</f>
        <v>66.5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65</v>
      </c>
      <c r="P272" s="2">
        <f>E272 - O272</f>
        <v>10</v>
      </c>
      <c r="Q272" s="2">
        <f>ROUND(
  SIGN(P272)*
  IF(ABS(P272)&lt;=10,ABS(P272)*0.5,
     IF(ABS(P272)&lt;=15,5+(ABS(P272)-10)*(1.67/5),
        6.67+(ABS(P272)-15)*0.333)),
2)</f>
        <v>5</v>
      </c>
    </row>
    <row r="273" spans="1:17" ht="34.5" customHeight="1" x14ac:dyDescent="0.3">
      <c r="A273" s="2">
        <v>2026</v>
      </c>
      <c r="B273" s="2">
        <v>272</v>
      </c>
      <c r="C273" s="16">
        <f>ROUND(MAX(MIN(N273 + Q273, 100), 0), 2)</f>
        <v>71.5</v>
      </c>
      <c r="D273" s="2" t="s">
        <v>1930</v>
      </c>
      <c r="E273" s="5">
        <v>73</v>
      </c>
      <c r="F273" s="2">
        <v>57</v>
      </c>
      <c r="G273" s="2">
        <v>50</v>
      </c>
      <c r="H273" s="2" t="s">
        <v>1944</v>
      </c>
      <c r="I273" s="2" t="s">
        <v>36</v>
      </c>
      <c r="J273" s="3" t="s">
        <v>1262</v>
      </c>
      <c r="M273" s="2">
        <f>IF(J273="1000+", 1000, (LEFT(J273,FIND("-",J273)-1)+RIGHT(J273,LEN(J273)-FIND("-",J273)))/2)</f>
        <v>45</v>
      </c>
      <c r="N273" s="2">
        <f>ROUND(E273 * 0.7+F273 * 0.2+G273 * 0.1,2)</f>
        <v>67.5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65</v>
      </c>
      <c r="P273" s="2">
        <f>E273 - O273</f>
        <v>8</v>
      </c>
      <c r="Q273" s="2">
        <f>ROUND(
  SIGN(P273)*
  IF(ABS(P273)&lt;=10,ABS(P273)*0.5,
     IF(ABS(P273)&lt;=15,5+(ABS(P273)-10)*(1.67/5),
        6.67+(ABS(P273)-15)*0.333)),
2)</f>
        <v>4</v>
      </c>
    </row>
    <row r="274" spans="1:17" ht="34.5" customHeight="1" x14ac:dyDescent="0.3">
      <c r="B274" s="2">
        <v>273</v>
      </c>
      <c r="C274" s="16">
        <f>ROUND(MAX(MIN(N274 + Q274, 100), 0), 2)</f>
        <v>71.47</v>
      </c>
      <c r="D274" s="2" t="s">
        <v>357</v>
      </c>
      <c r="E274" s="5">
        <v>70</v>
      </c>
      <c r="F274" s="2">
        <v>54</v>
      </c>
      <c r="G274" s="2">
        <v>50</v>
      </c>
      <c r="H274" s="2" t="s">
        <v>206</v>
      </c>
      <c r="I274" s="2" t="s">
        <v>36</v>
      </c>
      <c r="J274" s="3" t="s">
        <v>37</v>
      </c>
      <c r="M274" s="2">
        <f>IF(J274="1000+", 1000, (LEFT(J274,FIND("-",J274)-1)+RIGHT(J274,LEN(J274)-FIND("-",J274)))/2)</f>
        <v>15</v>
      </c>
      <c r="N274" s="2">
        <f>ROUND(E274 * 0.7+F274 * 0.2+G274 * 0.1,2)</f>
        <v>64.8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55</v>
      </c>
      <c r="P274" s="2">
        <f>E274 - O274</f>
        <v>15</v>
      </c>
      <c r="Q274" s="2">
        <f>ROUND(
  SIGN(P274)*
  IF(ABS(P274)&lt;=10,ABS(P274)*0.5,
     IF(ABS(P274)&lt;=15,5+(ABS(P274)-10)*(1.67/5),
        6.67+(ABS(P274)-15)*0.333)),
2)</f>
        <v>6.67</v>
      </c>
    </row>
    <row r="275" spans="1:17" ht="34.5" customHeight="1" x14ac:dyDescent="0.3">
      <c r="B275" s="2">
        <v>274</v>
      </c>
      <c r="C275" s="16">
        <f>ROUND(MAX(MIN(N275 + Q275, 100), 0), 2)</f>
        <v>71.430000000000007</v>
      </c>
      <c r="D275" s="2" t="s">
        <v>397</v>
      </c>
      <c r="E275" s="5">
        <v>71</v>
      </c>
      <c r="F275" s="2">
        <v>55</v>
      </c>
      <c r="G275" s="2">
        <v>54</v>
      </c>
      <c r="H275" s="2" t="s">
        <v>12</v>
      </c>
      <c r="I275" s="2" t="s">
        <v>36</v>
      </c>
      <c r="J275" s="3" t="s">
        <v>132</v>
      </c>
      <c r="M275" s="2">
        <f>IF(J275="1000+", 1000, (LEFT(J275,FIND("-",J275)-1)+RIGHT(J275,LEN(J275)-FIND("-",J275)))/2)</f>
        <v>20</v>
      </c>
      <c r="N275" s="2">
        <f>ROUND(E275 * 0.7+F275 * 0.2+G275 * 0.1,2)</f>
        <v>66.099999999999994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60</v>
      </c>
      <c r="P275" s="2">
        <f>E275 - O275</f>
        <v>11</v>
      </c>
      <c r="Q275" s="2">
        <f>ROUND(
  SIGN(P275)*
  IF(ABS(P275)&lt;=10,ABS(P275)*0.5,
     IF(ABS(P275)&lt;=15,5+(ABS(P275)-10)*(1.67/5),
        6.67+(ABS(P275)-15)*0.333)),
2)</f>
        <v>5.33</v>
      </c>
    </row>
    <row r="276" spans="1:17" ht="34.5" customHeight="1" x14ac:dyDescent="0.3">
      <c r="B276" s="2">
        <v>275</v>
      </c>
      <c r="C276" s="16">
        <f>ROUND(MAX(MIN(N276 + Q276, 100), 0), 2)</f>
        <v>71.400000000000006</v>
      </c>
      <c r="D276" s="2" t="s">
        <v>319</v>
      </c>
      <c r="E276" s="5">
        <v>74</v>
      </c>
      <c r="F276" s="7">
        <v>60</v>
      </c>
      <c r="G276" s="7">
        <v>66</v>
      </c>
      <c r="H276" s="2" t="s">
        <v>61</v>
      </c>
      <c r="I276" s="2" t="s">
        <v>22</v>
      </c>
      <c r="J276" s="3" t="s">
        <v>122</v>
      </c>
      <c r="M276" s="2">
        <f>IF(J276="1000+", 1000, (LEFT(J276,FIND("-",J276)-1)+RIGHT(J276,LEN(J276)-FIND("-",J276)))/2)</f>
        <v>105</v>
      </c>
      <c r="N276" s="2">
        <f>ROUND(E276 * 0.7+F276 * 0.2+G276 * 0.1,2)</f>
        <v>70.400000000000006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72</v>
      </c>
      <c r="P276" s="2">
        <f>E276 - O276</f>
        <v>2</v>
      </c>
      <c r="Q276" s="2">
        <f>ROUND(
  SIGN(P276)*
  IF(ABS(P276)&lt;=10,ABS(P276)*0.5,
     IF(ABS(P276)&lt;=15,5+(ABS(P276)-10)*(1.67/5),
        6.67+(ABS(P276)-15)*0.333)),
2)</f>
        <v>1</v>
      </c>
    </row>
    <row r="277" spans="1:17" ht="34.5" customHeight="1" x14ac:dyDescent="0.3">
      <c r="A277" s="2">
        <v>2026</v>
      </c>
      <c r="B277" s="2">
        <v>276</v>
      </c>
      <c r="C277" s="16">
        <f>ROUND(MAX(MIN(N277 + Q277, 100), 0), 2)</f>
        <v>71.400000000000006</v>
      </c>
      <c r="D277" s="2" t="s">
        <v>1836</v>
      </c>
      <c r="E277" s="5">
        <v>72</v>
      </c>
      <c r="F277" s="7">
        <v>66</v>
      </c>
      <c r="G277" s="7">
        <v>68</v>
      </c>
      <c r="H277" s="2" t="s">
        <v>1256</v>
      </c>
      <c r="I277" s="2" t="s">
        <v>1858</v>
      </c>
      <c r="J277" s="3" t="s">
        <v>1264</v>
      </c>
      <c r="M277" s="2">
        <f>IF(J277="1000+", 1000, (LEFT(J277,FIND("-",J277)-1)+RIGHT(J277,LEN(J277)-FIND("-",J277)))/2)</f>
        <v>75</v>
      </c>
      <c r="N277" s="2">
        <f>ROUND(E277 * 0.7+F277 * 0.2+G277 * 0.1,2)</f>
        <v>70.400000000000006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70</v>
      </c>
      <c r="P277" s="2">
        <f>E277 - O277</f>
        <v>2</v>
      </c>
      <c r="Q277" s="2">
        <f>ROUND(
  SIGN(P277)*
  IF(ABS(P277)&lt;=10,ABS(P277)*0.5,
     IF(ABS(P277)&lt;=15,5+(ABS(P277)-10)*(1.67/5),
        6.67+(ABS(P277)-15)*0.333)),
2)</f>
        <v>1</v>
      </c>
    </row>
    <row r="278" spans="1:17" ht="34.5" customHeight="1" x14ac:dyDescent="0.3">
      <c r="B278" s="2">
        <v>277</v>
      </c>
      <c r="C278" s="16">
        <f>ROUND(MAX(MIN(N278 + Q278, 100), 0), 2)</f>
        <v>71.400000000000006</v>
      </c>
      <c r="D278" s="2" t="s">
        <v>239</v>
      </c>
      <c r="E278" s="5">
        <v>76</v>
      </c>
      <c r="F278" s="5">
        <v>77</v>
      </c>
      <c r="G278" s="5">
        <v>73</v>
      </c>
      <c r="H278" s="2" t="s">
        <v>240</v>
      </c>
      <c r="I278" s="2" t="s">
        <v>241</v>
      </c>
      <c r="J278" s="3" t="s">
        <v>14</v>
      </c>
      <c r="K278" s="2" t="s">
        <v>242</v>
      </c>
      <c r="M278" s="2">
        <f>IF(J278="1000+", 1000, (LEFT(J278,FIND("-",J278)-1)+RIGHT(J278,LEN(J278)-FIND("-",J278)))/2)</f>
        <v>225</v>
      </c>
      <c r="N278" s="2">
        <f>ROUND(E278 * 0.7+F278 * 0.2+G278 * 0.1,2)</f>
        <v>75.900000000000006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85</v>
      </c>
      <c r="P278" s="2">
        <f>E278 - O278</f>
        <v>-9</v>
      </c>
      <c r="Q278" s="2">
        <f>ROUND(
  SIGN(P278)*
  IF(ABS(P278)&lt;=10,ABS(P278)*0.5,
     IF(ABS(P278)&lt;=15,5+(ABS(P278)-10)*(1.67/5),
        6.67+(ABS(P278)-15)*0.333)),
2)</f>
        <v>-4.5</v>
      </c>
    </row>
    <row r="279" spans="1:17" ht="34.5" customHeight="1" x14ac:dyDescent="0.3">
      <c r="B279" s="2">
        <v>278</v>
      </c>
      <c r="C279" s="16">
        <f>ROUND(MAX(MIN(N279 + Q279, 100), 0), 2)</f>
        <v>71.400000000000006</v>
      </c>
      <c r="D279" s="2" t="s">
        <v>375</v>
      </c>
      <c r="E279" s="5">
        <v>77</v>
      </c>
      <c r="F279" s="5">
        <v>78</v>
      </c>
      <c r="G279" s="5">
        <v>79</v>
      </c>
      <c r="H279" s="2" t="s">
        <v>48</v>
      </c>
      <c r="I279" s="2" t="s">
        <v>27</v>
      </c>
      <c r="J279" s="3" t="s">
        <v>42</v>
      </c>
      <c r="M279" s="2">
        <f>IF(J279="1000+", 1000, (LEFT(J279,FIND("-",J279)-1)+RIGHT(J279,LEN(J279)-FIND("-",J279)))/2)</f>
        <v>600</v>
      </c>
      <c r="N279" s="2">
        <f>ROUND(E279 * 0.7+F279 * 0.2+G279 * 0.1,2)</f>
        <v>77.400000000000006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90</v>
      </c>
      <c r="P279" s="2">
        <f>E279 - O279</f>
        <v>-13</v>
      </c>
      <c r="Q279" s="2">
        <f>ROUND(
  SIGN(P279)*
  IF(ABS(P279)&lt;=10,ABS(P279)*0.5,
     IF(ABS(P279)&lt;=15,5+(ABS(P279)-10)*(1.67/5),
        6.67+(ABS(P279)-15)*0.333)),
2)</f>
        <v>-6</v>
      </c>
    </row>
    <row r="280" spans="1:17" ht="34.5" customHeight="1" x14ac:dyDescent="0.3">
      <c r="B280" s="2">
        <v>279</v>
      </c>
      <c r="C280" s="16">
        <f>ROUND(MAX(MIN(N280 + Q280, 100), 0), 2)</f>
        <v>71.400000000000006</v>
      </c>
      <c r="D280" s="2" t="s">
        <v>282</v>
      </c>
      <c r="E280" s="5">
        <v>70</v>
      </c>
      <c r="F280" s="5">
        <v>75</v>
      </c>
      <c r="G280" s="5">
        <v>74</v>
      </c>
      <c r="H280" s="2" t="s">
        <v>104</v>
      </c>
      <c r="I280" s="2" t="s">
        <v>106</v>
      </c>
      <c r="J280" s="3" t="s">
        <v>18</v>
      </c>
      <c r="M280" s="2">
        <f>IF(J280="1000+", 1000, (LEFT(J280,FIND("-",J280)-1)+RIGHT(J280,LEN(J280)-FIND("-",J280)))/2)</f>
        <v>75</v>
      </c>
      <c r="N280" s="2">
        <f>ROUND(E280 * 0.7+F280 * 0.2+G280 * 0.1,2)</f>
        <v>71.400000000000006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70</v>
      </c>
      <c r="P280" s="2">
        <f>E280 - O280</f>
        <v>0</v>
      </c>
      <c r="Q280" s="2">
        <f>ROUND(
  SIGN(P280)*
  IF(ABS(P280)&lt;=10,ABS(P280)*0.5,
     IF(ABS(P280)&lt;=15,5+(ABS(P280)-10)*(1.67/5),
        6.67+(ABS(P280)-15)*0.333)),
2)</f>
        <v>0</v>
      </c>
    </row>
    <row r="281" spans="1:17" ht="34.5" customHeight="1" x14ac:dyDescent="0.3">
      <c r="B281" s="2">
        <v>280</v>
      </c>
      <c r="C281" s="16">
        <f>ROUND(MAX(MIN(N281 + Q281, 100), 0), 2)</f>
        <v>71.400000000000006</v>
      </c>
      <c r="D281" s="2" t="s">
        <v>301</v>
      </c>
      <c r="E281" s="5">
        <v>74</v>
      </c>
      <c r="F281" s="6">
        <v>88</v>
      </c>
      <c r="G281" s="4">
        <v>90</v>
      </c>
      <c r="H281" s="2" t="s">
        <v>302</v>
      </c>
      <c r="I281" s="2" t="s">
        <v>79</v>
      </c>
      <c r="J281" s="3" t="s">
        <v>42</v>
      </c>
      <c r="M281" s="2">
        <f>IF(J281="1000+", 1000, (LEFT(J281,FIND("-",J281)-1)+RIGHT(J281,LEN(J281)-FIND("-",J281)))/2)</f>
        <v>600</v>
      </c>
      <c r="N281" s="2">
        <f>ROUND(E281 * 0.7+F281 * 0.2+G281 * 0.1,2)</f>
        <v>78.400000000000006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90</v>
      </c>
      <c r="P281" s="2">
        <f>E281 - O281</f>
        <v>-16</v>
      </c>
      <c r="Q281" s="2">
        <f>ROUND(
  SIGN(P281)*
  IF(ABS(P281)&lt;=10,ABS(P281)*0.5,
     IF(ABS(P281)&lt;=15,5+(ABS(P281)-10)*(1.67/5),
        6.67+(ABS(P281)-15)*0.333)),
2)</f>
        <v>-7</v>
      </c>
    </row>
    <row r="282" spans="1:17" ht="34.5" customHeight="1" x14ac:dyDescent="0.3">
      <c r="A282" s="2">
        <v>2026</v>
      </c>
      <c r="B282" s="2">
        <v>281</v>
      </c>
      <c r="C282" s="16">
        <f>ROUND(MAX(MIN(N282 + Q282, 100), 0), 2)</f>
        <v>71.400000000000006</v>
      </c>
      <c r="D282" s="2" t="s">
        <v>1912</v>
      </c>
      <c r="E282" s="2">
        <v>72</v>
      </c>
      <c r="F282" s="2">
        <v>62</v>
      </c>
      <c r="G282" s="2">
        <v>36</v>
      </c>
      <c r="H282" s="2" t="s">
        <v>1256</v>
      </c>
      <c r="I282" s="2" t="s">
        <v>1258</v>
      </c>
      <c r="J282" s="3" t="s">
        <v>1263</v>
      </c>
      <c r="M282" s="2">
        <f>IF(J282="1000+", 1000, (LEFT(J282,FIND("-",J282)-1)+RIGHT(J282,LEN(J282)-FIND("-",J282)))/2)</f>
        <v>30</v>
      </c>
      <c r="N282" s="2">
        <f>ROUND(E282 * 0.7+F282 * 0.2+G282 * 0.1,2)</f>
        <v>66.400000000000006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62</v>
      </c>
      <c r="P282" s="2">
        <f>E282 - O282</f>
        <v>10</v>
      </c>
      <c r="Q282" s="2">
        <f>ROUND(
  SIGN(P282)*
  IF(ABS(P282)&lt;=10,ABS(P282)*0.5,
     IF(ABS(P282)&lt;=15,5+(ABS(P282)-10)*(1.67/5),
        6.67+(ABS(P282)-15)*0.333)),
2)</f>
        <v>5</v>
      </c>
    </row>
    <row r="283" spans="1:17" ht="34.5" customHeight="1" x14ac:dyDescent="0.3">
      <c r="B283" s="2">
        <v>282</v>
      </c>
      <c r="C283" s="16">
        <f>ROUND(MAX(MIN(N283 + Q283, 100), 0), 2)</f>
        <v>71.3</v>
      </c>
      <c r="D283" s="2" t="s">
        <v>312</v>
      </c>
      <c r="E283" s="5">
        <v>74</v>
      </c>
      <c r="F283" s="4">
        <v>91</v>
      </c>
      <c r="G283" s="6">
        <v>83</v>
      </c>
      <c r="H283" s="2" t="s">
        <v>31</v>
      </c>
      <c r="I283" s="2" t="s">
        <v>41</v>
      </c>
      <c r="J283" s="3" t="s">
        <v>42</v>
      </c>
      <c r="M283" s="2">
        <f>IF(J283="1000+", 1000, (LEFT(J283,FIND("-",J283)-1)+RIGHT(J283,LEN(J283)-FIND("-",J283)))/2)</f>
        <v>600</v>
      </c>
      <c r="N283" s="2">
        <f>ROUND(E283 * 0.7+F283 * 0.2+G283 * 0.1,2)</f>
        <v>78.3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90</v>
      </c>
      <c r="P283" s="2">
        <f>E283 - O283</f>
        <v>-16</v>
      </c>
      <c r="Q283" s="2">
        <f>ROUND(
  SIGN(P283)*
  IF(ABS(P283)&lt;=10,ABS(P283)*0.5,
     IF(ABS(P283)&lt;=15,5+(ABS(P283)-10)*(1.67/5),
        6.67+(ABS(P283)-15)*0.333)),
2)</f>
        <v>-7</v>
      </c>
    </row>
    <row r="284" spans="1:17" ht="34.5" customHeight="1" x14ac:dyDescent="0.3">
      <c r="B284" s="2">
        <v>283</v>
      </c>
      <c r="C284" s="16">
        <f>ROUND(MAX(MIN(N284 + Q284, 100), 0), 2)</f>
        <v>71.260000000000005</v>
      </c>
      <c r="D284" s="2" t="s">
        <v>323</v>
      </c>
      <c r="E284" s="5">
        <v>73</v>
      </c>
      <c r="F284" s="4">
        <v>94</v>
      </c>
      <c r="G284" s="6">
        <v>87</v>
      </c>
      <c r="H284" s="2" t="s">
        <v>324</v>
      </c>
      <c r="I284" s="2" t="s">
        <v>325</v>
      </c>
      <c r="J284" s="3" t="s">
        <v>42</v>
      </c>
      <c r="M284" s="2">
        <f>IF(J284="1000+", 1000, (LEFT(J284,FIND("-",J284)-1)+RIGHT(J284,LEN(J284)-FIND("-",J284)))/2)</f>
        <v>600</v>
      </c>
      <c r="N284" s="2">
        <f>ROUND(E284 * 0.7+F284 * 0.2+G284 * 0.1,2)</f>
        <v>78.599999999999994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90</v>
      </c>
      <c r="P284" s="2">
        <f>E284 - O284</f>
        <v>-17</v>
      </c>
      <c r="Q284" s="2">
        <f>ROUND(
  SIGN(P284)*
  IF(ABS(P284)&lt;=10,ABS(P284)*0.5,
     IF(ABS(P284)&lt;=15,5+(ABS(P284)-10)*(1.67/5),
        6.67+(ABS(P284)-15)*0.333)),
2)</f>
        <v>-7.34</v>
      </c>
    </row>
    <row r="285" spans="1:17" ht="34.5" customHeight="1" x14ac:dyDescent="0.3">
      <c r="A285" s="2">
        <v>2026</v>
      </c>
      <c r="B285" s="2">
        <v>284</v>
      </c>
      <c r="C285" s="16">
        <f>ROUND(MAX(MIN(N285 + Q285, 100), 0), 2)</f>
        <v>71.2</v>
      </c>
      <c r="D285" s="2" t="s">
        <v>1468</v>
      </c>
      <c r="E285" s="5">
        <v>75</v>
      </c>
      <c r="F285" s="2">
        <v>56</v>
      </c>
      <c r="G285" s="2">
        <v>50</v>
      </c>
      <c r="H285" s="2" t="s">
        <v>1474</v>
      </c>
      <c r="I285" s="2" t="s">
        <v>1476</v>
      </c>
      <c r="J285" s="3" t="s">
        <v>1480</v>
      </c>
      <c r="K285" s="2" t="s">
        <v>1471</v>
      </c>
      <c r="M285" s="2">
        <f>IF(J285="1000+", 1000, (LEFT(J285,FIND("-",J285)-1)+RIGHT(J285,LEN(J285)-FIND("-",J285)))/2)</f>
        <v>75</v>
      </c>
      <c r="N285" s="2">
        <f>ROUND(E285 * 0.7+F285 * 0.2+G285 * 0.1,2)</f>
        <v>68.7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70</v>
      </c>
      <c r="P285" s="2">
        <f>E285 - O285</f>
        <v>5</v>
      </c>
      <c r="Q285" s="2">
        <f>ROUND(
  SIGN(P285)*
  IF(ABS(P285)&lt;=10,ABS(P285)*0.5,
     IF(ABS(P285)&lt;=15,5+(ABS(P285)-10)*(1.67/5),
        6.67+(ABS(P285)-15)*0.333)),
2)</f>
        <v>2.5</v>
      </c>
    </row>
    <row r="286" spans="1:17" ht="34.5" customHeight="1" x14ac:dyDescent="0.3">
      <c r="B286" s="2">
        <v>285</v>
      </c>
      <c r="C286" s="16">
        <f>ROUND(MAX(MIN(N286 + Q286, 100), 0), 2)</f>
        <v>71.2</v>
      </c>
      <c r="D286" s="2" t="s">
        <v>367</v>
      </c>
      <c r="E286" s="5">
        <v>74</v>
      </c>
      <c r="F286" s="2">
        <v>55</v>
      </c>
      <c r="G286" s="7">
        <v>64</v>
      </c>
      <c r="H286" s="2" t="s">
        <v>61</v>
      </c>
      <c r="I286" s="2" t="s">
        <v>72</v>
      </c>
      <c r="J286" s="3" t="s">
        <v>18</v>
      </c>
      <c r="M286" s="2">
        <f>IF(J286="1000+", 1000, (LEFT(J286,FIND("-",J286)-1)+RIGHT(J286,LEN(J286)-FIND("-",J286)))/2)</f>
        <v>75</v>
      </c>
      <c r="N286" s="2">
        <f>ROUND(E286 * 0.7+F286 * 0.2+G286 * 0.1,2)</f>
        <v>69.2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70</v>
      </c>
      <c r="P286" s="2">
        <f>E286 - O286</f>
        <v>4</v>
      </c>
      <c r="Q286" s="2">
        <f>ROUND(
  SIGN(P286)*
  IF(ABS(P286)&lt;=10,ABS(P286)*0.5,
     IF(ABS(P286)&lt;=15,5+(ABS(P286)-10)*(1.67/5),
        6.67+(ABS(P286)-15)*0.333)),
2)</f>
        <v>2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71.2</v>
      </c>
      <c r="D287" s="2" t="s">
        <v>2006</v>
      </c>
      <c r="E287" s="5">
        <v>74</v>
      </c>
      <c r="F287" s="7">
        <v>60</v>
      </c>
      <c r="G287" s="2">
        <v>54</v>
      </c>
      <c r="H287" s="2" t="s">
        <v>1257</v>
      </c>
      <c r="I287" s="2" t="s">
        <v>1732</v>
      </c>
      <c r="J287" s="3" t="s">
        <v>1264</v>
      </c>
      <c r="M287" s="2">
        <f>IF(J287="1000+", 1000, (LEFT(J287,FIND("-",J287)-1)+RIGHT(J287,LEN(J287)-FIND("-",J287)))/2)</f>
        <v>75</v>
      </c>
      <c r="N287" s="2">
        <f>ROUND(E287 * 0.7+F287 * 0.2+G287 * 0.1,2)</f>
        <v>69.2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70</v>
      </c>
      <c r="P287" s="2">
        <f>E287 - O287</f>
        <v>4</v>
      </c>
      <c r="Q287" s="2">
        <f>ROUND(
  SIGN(P287)*
  IF(ABS(P287)&lt;=10,ABS(P287)*0.5,
     IF(ABS(P287)&lt;=15,5+(ABS(P287)-10)*(1.67/5),
        6.67+(ABS(P287)-15)*0.333)),
2)</f>
        <v>2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71.17</v>
      </c>
      <c r="D288" s="2" t="s">
        <v>1745</v>
      </c>
      <c r="E288" s="5">
        <v>72</v>
      </c>
      <c r="F288" s="2">
        <v>50</v>
      </c>
      <c r="G288" s="2">
        <v>51</v>
      </c>
      <c r="H288" s="2" t="s">
        <v>1761</v>
      </c>
      <c r="I288" s="2" t="s">
        <v>36</v>
      </c>
      <c r="J288" s="3" t="s">
        <v>1770</v>
      </c>
      <c r="M288" s="2">
        <f>IF(J288="1000+", 1000, (LEFT(J288,FIND("-",J288)-1)+RIGHT(J288,LEN(J288)-FIND("-",J288)))/2)</f>
        <v>20</v>
      </c>
      <c r="N288" s="2">
        <f>ROUND(E288 * 0.7+F288 * 0.2+G288 * 0.1,2)</f>
        <v>65.5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60</v>
      </c>
      <c r="P288" s="2">
        <f>E288 - O288</f>
        <v>12</v>
      </c>
      <c r="Q288" s="2">
        <f>ROUND(
  SIGN(P288)*
  IF(ABS(P288)&lt;=10,ABS(P288)*0.5,
     IF(ABS(P288)&lt;=15,5+(ABS(P288)-10)*(1.67/5),
        6.67+(ABS(P288)-15)*0.333)),
2)</f>
        <v>5.67</v>
      </c>
    </row>
    <row r="289" spans="1:17" ht="34.5" customHeight="1" x14ac:dyDescent="0.3">
      <c r="B289" s="2">
        <v>288</v>
      </c>
      <c r="C289" s="16">
        <f>ROUND(MAX(MIN(N289 + Q289, 100), 0), 2)</f>
        <v>71.13</v>
      </c>
      <c r="D289" s="2" t="s">
        <v>179</v>
      </c>
      <c r="E289" s="5">
        <v>75</v>
      </c>
      <c r="F289" s="4">
        <v>91</v>
      </c>
      <c r="G289" s="5">
        <v>71</v>
      </c>
      <c r="H289" s="2" t="s">
        <v>48</v>
      </c>
      <c r="I289" s="2" t="s">
        <v>41</v>
      </c>
      <c r="J289" s="3" t="s">
        <v>42</v>
      </c>
      <c r="M289" s="2">
        <f>IF(J289="1000+", 1000, (LEFT(J289,FIND("-",J289)-1)+RIGHT(J289,LEN(J289)-FIND("-",J289)))/2)</f>
        <v>600</v>
      </c>
      <c r="N289" s="2">
        <f>ROUND(E289 * 0.7+F289 * 0.2+G289 * 0.1,2)</f>
        <v>77.8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90</v>
      </c>
      <c r="P289" s="2">
        <f>E289 - O289</f>
        <v>-15</v>
      </c>
      <c r="Q289" s="2">
        <f>ROUND(
  SIGN(P289)*
  IF(ABS(P289)&lt;=10,ABS(P289)*0.5,
     IF(ABS(P289)&lt;=15,5+(ABS(P289)-10)*(1.67/5),
        6.67+(ABS(P289)-15)*0.333)),
2)</f>
        <v>-6.67</v>
      </c>
    </row>
    <row r="290" spans="1:17" ht="34.5" customHeight="1" x14ac:dyDescent="0.3">
      <c r="B290" s="2">
        <v>289</v>
      </c>
      <c r="C290" s="16">
        <f>ROUND(MAX(MIN(N290 + Q290, 100), 0), 2)</f>
        <v>71.099999999999994</v>
      </c>
      <c r="D290" s="2" t="s">
        <v>170</v>
      </c>
      <c r="E290" s="5">
        <v>76</v>
      </c>
      <c r="F290" s="7">
        <v>61</v>
      </c>
      <c r="G290" s="2">
        <v>52</v>
      </c>
      <c r="H290" s="2" t="s">
        <v>171</v>
      </c>
      <c r="I290" s="2" t="s">
        <v>41</v>
      </c>
      <c r="J290" s="3" t="s">
        <v>140</v>
      </c>
      <c r="K290" s="2" t="s">
        <v>172</v>
      </c>
      <c r="M290" s="2">
        <f>IF(J290="1000+", 1000, (LEFT(J290,FIND("-",J290)-1)+RIGHT(J290,LEN(J290)-FIND("-",J290)))/2)</f>
        <v>115</v>
      </c>
      <c r="N290" s="2">
        <f>ROUND(E290 * 0.7+F290 * 0.2+G290 * 0.1,2)</f>
        <v>70.599999999999994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75</v>
      </c>
      <c r="P290" s="2">
        <f>E290 - O290</f>
        <v>1</v>
      </c>
      <c r="Q290" s="2">
        <f>ROUND(
  SIGN(P290)*
  IF(ABS(P290)&lt;=10,ABS(P290)*0.5,
     IF(ABS(P290)&lt;=15,5+(ABS(P290)-10)*(1.67/5),
        6.67+(ABS(P290)-15)*0.333)),
2)</f>
        <v>0.5</v>
      </c>
    </row>
    <row r="291" spans="1:17" ht="34.5" customHeight="1" x14ac:dyDescent="0.3">
      <c r="B291" s="2">
        <v>290</v>
      </c>
      <c r="C291" s="16">
        <f>ROUND(MAX(MIN(N291 + Q291, 100), 0), 2)</f>
        <v>71.099999999999994</v>
      </c>
      <c r="D291" s="2" t="s">
        <v>327</v>
      </c>
      <c r="E291" s="5">
        <v>74</v>
      </c>
      <c r="F291" s="7">
        <v>65</v>
      </c>
      <c r="G291" s="2">
        <v>53</v>
      </c>
      <c r="H291" s="2" t="s">
        <v>61</v>
      </c>
      <c r="I291" s="2" t="s">
        <v>22</v>
      </c>
      <c r="J291" s="3" t="s">
        <v>122</v>
      </c>
      <c r="M291" s="2">
        <f>IF(J291="1000+", 1000, (LEFT(J291,FIND("-",J291)-1)+RIGHT(J291,LEN(J291)-FIND("-",J291)))/2)</f>
        <v>105</v>
      </c>
      <c r="N291" s="2">
        <f>ROUND(E291 * 0.7+F291 * 0.2+G291 * 0.1,2)</f>
        <v>70.099999999999994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72</v>
      </c>
      <c r="P291" s="2">
        <f>E291 - O291</f>
        <v>2</v>
      </c>
      <c r="Q291" s="2">
        <f>ROUND(
  SIGN(P291)*
  IF(ABS(P291)&lt;=10,ABS(P291)*0.5,
     IF(ABS(P291)&lt;=15,5+(ABS(P291)-10)*(1.67/5),
        6.67+(ABS(P291)-15)*0.333)),
2)</f>
        <v>1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71.099999999999994</v>
      </c>
      <c r="D292" s="2" t="s">
        <v>1813</v>
      </c>
      <c r="E292" s="5">
        <v>74</v>
      </c>
      <c r="F292" s="7">
        <v>66</v>
      </c>
      <c r="G292" s="7">
        <v>66</v>
      </c>
      <c r="H292" s="2" t="s">
        <v>1800</v>
      </c>
      <c r="I292" s="2" t="s">
        <v>1258</v>
      </c>
      <c r="J292" s="3" t="s">
        <v>1301</v>
      </c>
      <c r="K292" s="2" t="s">
        <v>1816</v>
      </c>
      <c r="M292" s="2">
        <f>IF(J292="1000+", 1000, (LEFT(J292,FIND("-",J292)-1)+RIGHT(J292,LEN(J292)-FIND("-",J292)))/2)</f>
        <v>115</v>
      </c>
      <c r="N292" s="2">
        <f>ROUND(E292 * 0.7+F292 * 0.2+G292 * 0.1,2)</f>
        <v>71.599999999999994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75</v>
      </c>
      <c r="P292" s="2">
        <f>E292 - O292</f>
        <v>-1</v>
      </c>
      <c r="Q292" s="2">
        <f>ROUND(
  SIGN(P292)*
  IF(ABS(P292)&lt;=10,ABS(P292)*0.5,
     IF(ABS(P292)&lt;=15,5+(ABS(P292)-10)*(1.67/5),
        6.67+(ABS(P292)-15)*0.333)),
2)</f>
        <v>-0.5</v>
      </c>
    </row>
    <row r="293" spans="1:17" ht="34.5" customHeight="1" x14ac:dyDescent="0.3">
      <c r="A293" s="2">
        <v>2026</v>
      </c>
      <c r="B293" s="2">
        <v>292</v>
      </c>
      <c r="C293" s="16">
        <f>ROUND(MAX(MIN(N293 + Q293, 100), 0), 2)</f>
        <v>71.099999999999994</v>
      </c>
      <c r="D293" s="2" t="s">
        <v>2023</v>
      </c>
      <c r="E293" s="5">
        <v>71</v>
      </c>
      <c r="F293" s="7">
        <v>65</v>
      </c>
      <c r="G293" s="2">
        <v>54</v>
      </c>
      <c r="H293" s="2" t="s">
        <v>1256</v>
      </c>
      <c r="I293" s="2" t="s">
        <v>1352</v>
      </c>
      <c r="J293" s="3" t="s">
        <v>1262</v>
      </c>
      <c r="M293" s="2">
        <f>IF(J293="1000+", 1000, (LEFT(J293,FIND("-",J293)-1)+RIGHT(J293,LEN(J293)-FIND("-",J293)))/2)</f>
        <v>45</v>
      </c>
      <c r="N293" s="2">
        <f>ROUND(E293 * 0.7+F293 * 0.2+G293 * 0.1,2)</f>
        <v>68.099999999999994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65</v>
      </c>
      <c r="P293" s="2">
        <f>E293 - O293</f>
        <v>6</v>
      </c>
      <c r="Q293" s="2">
        <f>ROUND(
  SIGN(P293)*
  IF(ABS(P293)&lt;=10,ABS(P293)*0.5,
     IF(ABS(P293)&lt;=15,5+(ABS(P293)-10)*(1.67/5),
        6.67+(ABS(P293)-15)*0.333)),
2)</f>
        <v>3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71.069999999999993</v>
      </c>
      <c r="D294" s="2" t="s">
        <v>1447</v>
      </c>
      <c r="E294" s="5">
        <v>72</v>
      </c>
      <c r="F294" s="2">
        <v>50</v>
      </c>
      <c r="G294" s="2">
        <v>50</v>
      </c>
      <c r="H294" s="2" t="s">
        <v>1450</v>
      </c>
      <c r="I294" s="2" t="s">
        <v>1452</v>
      </c>
      <c r="J294" s="3" t="s">
        <v>1455</v>
      </c>
      <c r="M294" s="2">
        <f>IF(J294="1000+", 1000, (LEFT(J294,FIND("-",J294)-1)+RIGHT(J294,LEN(J294)-FIND("-",J294)))/2)</f>
        <v>20</v>
      </c>
      <c r="N294" s="2">
        <f>ROUND(E294 * 0.7+F294 * 0.2+G294 * 0.1,2)</f>
        <v>65.400000000000006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60</v>
      </c>
      <c r="P294" s="2">
        <f>E294 - O294</f>
        <v>12</v>
      </c>
      <c r="Q294" s="2">
        <f>ROUND(
  SIGN(P294)*
  IF(ABS(P294)&lt;=10,ABS(P294)*0.5,
     IF(ABS(P294)&lt;=15,5+(ABS(P294)-10)*(1.67/5),
        6.67+(ABS(P294)-15)*0.333)),
2)</f>
        <v>5.67</v>
      </c>
    </row>
    <row r="295" spans="1:17" ht="34.5" customHeight="1" x14ac:dyDescent="0.3">
      <c r="B295" s="2">
        <v>294</v>
      </c>
      <c r="C295" s="16">
        <f>ROUND(MAX(MIN(N295 + Q295, 100), 0), 2)</f>
        <v>71</v>
      </c>
      <c r="D295" s="2" t="s">
        <v>374</v>
      </c>
      <c r="E295" s="5">
        <v>74</v>
      </c>
      <c r="F295" s="7">
        <v>65</v>
      </c>
      <c r="G295" s="2">
        <v>42</v>
      </c>
      <c r="H295" s="2" t="s">
        <v>324</v>
      </c>
      <c r="I295" s="2" t="s">
        <v>36</v>
      </c>
      <c r="J295" s="3" t="s">
        <v>18</v>
      </c>
      <c r="M295" s="2">
        <f>IF(J295="1000+", 1000, (LEFT(J295,FIND("-",J295)-1)+RIGHT(J295,LEN(J295)-FIND("-",J295)))/2)</f>
        <v>75</v>
      </c>
      <c r="N295" s="2">
        <f>ROUND(E295 * 0.7+F295 * 0.2+G295 * 0.1,2)</f>
        <v>69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70</v>
      </c>
      <c r="P295" s="2">
        <f>E295 - O295</f>
        <v>4</v>
      </c>
      <c r="Q295" s="2">
        <f>ROUND(
  SIGN(P295)*
  IF(ABS(P295)&lt;=10,ABS(P295)*0.5,
     IF(ABS(P295)&lt;=15,5+(ABS(P295)-10)*(1.67/5),
        6.67+(ABS(P295)-15)*0.333)),
2)</f>
        <v>2</v>
      </c>
    </row>
    <row r="296" spans="1:17" ht="34.5" customHeight="1" x14ac:dyDescent="0.3">
      <c r="A296" s="2">
        <v>2026</v>
      </c>
      <c r="B296" s="2">
        <v>295</v>
      </c>
      <c r="C296" s="16">
        <f>ROUND(MAX(MIN(N296 + Q296, 100), 0), 2)</f>
        <v>71</v>
      </c>
      <c r="D296" s="2" t="s">
        <v>1783</v>
      </c>
      <c r="E296" s="5">
        <v>70</v>
      </c>
      <c r="F296" s="7">
        <v>64</v>
      </c>
      <c r="G296" s="2">
        <v>52</v>
      </c>
      <c r="H296" s="2" t="s">
        <v>1256</v>
      </c>
      <c r="I296" s="2" t="s">
        <v>36</v>
      </c>
      <c r="J296" s="3" t="s">
        <v>1263</v>
      </c>
      <c r="M296" s="2">
        <f>IF(J296="1000+", 1000, (LEFT(J296,FIND("-",J296)-1)+RIGHT(J296,LEN(J296)-FIND("-",J296)))/2)</f>
        <v>30</v>
      </c>
      <c r="N296" s="2">
        <f>ROUND(E296 * 0.7+F296 * 0.2+G296 * 0.1,2)</f>
        <v>67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62</v>
      </c>
      <c r="P296" s="2">
        <f>E296 - O296</f>
        <v>8</v>
      </c>
      <c r="Q296" s="2">
        <f>ROUND(
  SIGN(P296)*
  IF(ABS(P296)&lt;=10,ABS(P296)*0.5,
     IF(ABS(P296)&lt;=15,5+(ABS(P296)-10)*(1.67/5),
        6.67+(ABS(P296)-15)*0.333)),
2)</f>
        <v>4</v>
      </c>
    </row>
    <row r="297" spans="1:17" ht="34.5" customHeight="1" x14ac:dyDescent="0.3">
      <c r="B297" s="2">
        <v>296</v>
      </c>
      <c r="C297" s="16">
        <f>ROUND(MAX(MIN(N297 + Q297, 100), 0), 2)</f>
        <v>70.900000000000006</v>
      </c>
      <c r="D297" s="2" t="s">
        <v>260</v>
      </c>
      <c r="E297" s="5">
        <v>77</v>
      </c>
      <c r="F297" s="5">
        <v>78</v>
      </c>
      <c r="G297" s="2">
        <v>54</v>
      </c>
      <c r="H297" s="2" t="s">
        <v>261</v>
      </c>
      <c r="I297" s="2" t="s">
        <v>17</v>
      </c>
      <c r="J297" s="3" t="s">
        <v>14</v>
      </c>
      <c r="K297" s="2" t="s">
        <v>262</v>
      </c>
      <c r="M297" s="2">
        <f>IF(J297="1000+", 1000, (LEFT(J297,FIND("-",J297)-1)+RIGHT(J297,LEN(J297)-FIND("-",J297)))/2)</f>
        <v>225</v>
      </c>
      <c r="N297" s="2">
        <f>ROUND(E297 * 0.7+F297 * 0.2+G297 * 0.1,2)</f>
        <v>74.900000000000006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85</v>
      </c>
      <c r="P297" s="2">
        <f>E297 - O297</f>
        <v>-8</v>
      </c>
      <c r="Q297" s="2">
        <f>ROUND(
  SIGN(P297)*
  IF(ABS(P297)&lt;=10,ABS(P297)*0.5,
     IF(ABS(P297)&lt;=15,5+(ABS(P297)-10)*(1.67/5),
        6.67+(ABS(P297)-15)*0.333)),
2)</f>
        <v>-4</v>
      </c>
    </row>
    <row r="298" spans="1:17" ht="34.5" customHeight="1" x14ac:dyDescent="0.3">
      <c r="B298" s="2">
        <v>297</v>
      </c>
      <c r="C298" s="16">
        <f>ROUND(MAX(MIN(N298 + Q298, 100), 0), 2)</f>
        <v>70.900000000000006</v>
      </c>
      <c r="D298" s="2" t="s">
        <v>303</v>
      </c>
      <c r="E298" s="5">
        <v>72</v>
      </c>
      <c r="F298" s="7">
        <v>65</v>
      </c>
      <c r="G298" s="5">
        <v>75</v>
      </c>
      <c r="H298" s="2" t="s">
        <v>135</v>
      </c>
      <c r="I298" s="2" t="s">
        <v>276</v>
      </c>
      <c r="J298" s="3" t="s">
        <v>122</v>
      </c>
      <c r="M298" s="2">
        <f>IF(J298="1000+", 1000, (LEFT(J298,FIND("-",J298)-1)+RIGHT(J298,LEN(J298)-FIND("-",J298)))/2)</f>
        <v>105</v>
      </c>
      <c r="N298" s="2">
        <f>ROUND(E298 * 0.7+F298 * 0.2+G298 * 0.1,2)</f>
        <v>70.900000000000006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72</v>
      </c>
      <c r="P298" s="2">
        <f>E298 - O298</f>
        <v>0</v>
      </c>
      <c r="Q298" s="2">
        <f>ROUND(
  SIGN(P298)*
  IF(ABS(P298)&lt;=10,ABS(P298)*0.5,
     IF(ABS(P298)&lt;=15,5+(ABS(P298)-10)*(1.67/5),
        6.67+(ABS(P298)-15)*0.333)),
2)</f>
        <v>0</v>
      </c>
    </row>
    <row r="299" spans="1:17" ht="34.5" customHeight="1" x14ac:dyDescent="0.3">
      <c r="B299" s="2">
        <v>298</v>
      </c>
      <c r="C299" s="16">
        <f>ROUND(MAX(MIN(N299 + Q299, 100), 0), 2)</f>
        <v>70.900000000000006</v>
      </c>
      <c r="D299" s="2" t="s">
        <v>338</v>
      </c>
      <c r="E299" s="7">
        <v>67</v>
      </c>
      <c r="F299" s="7">
        <v>68</v>
      </c>
      <c r="G299" s="7">
        <v>69</v>
      </c>
      <c r="H299" s="2" t="s">
        <v>339</v>
      </c>
      <c r="I299" s="2" t="s">
        <v>298</v>
      </c>
      <c r="J299" s="3" t="s">
        <v>132</v>
      </c>
      <c r="M299" s="2">
        <f>IF(J299="1000+", 1000, (LEFT(J299,FIND("-",J299)-1)+RIGHT(J299,LEN(J299)-FIND("-",J299)))/2)</f>
        <v>20</v>
      </c>
      <c r="N299" s="2">
        <f>ROUND(E299 * 0.7+F299 * 0.2+G299 * 0.1,2)</f>
        <v>67.400000000000006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60</v>
      </c>
      <c r="P299" s="2">
        <f>E299 - O299</f>
        <v>7</v>
      </c>
      <c r="Q299" s="2">
        <f>ROUND(
  SIGN(P299)*
  IF(ABS(P299)&lt;=10,ABS(P299)*0.5,
     IF(ABS(P299)&lt;=15,5+(ABS(P299)-10)*(1.67/5),
        6.67+(ABS(P299)-15)*0.333)),
2)</f>
        <v>3.5</v>
      </c>
    </row>
    <row r="300" spans="1:17" ht="34.5" customHeight="1" x14ac:dyDescent="0.3">
      <c r="B300" s="2">
        <v>299</v>
      </c>
      <c r="C300" s="16">
        <f>ROUND(MAX(MIN(N300 + Q300, 100), 0), 2)</f>
        <v>70.900000000000006</v>
      </c>
      <c r="D300" s="2" t="s">
        <v>199</v>
      </c>
      <c r="E300" s="7">
        <v>68</v>
      </c>
      <c r="F300" s="7">
        <v>69</v>
      </c>
      <c r="G300" s="6">
        <v>80</v>
      </c>
      <c r="H300" s="2" t="s">
        <v>31</v>
      </c>
      <c r="I300" s="2" t="s">
        <v>72</v>
      </c>
      <c r="J300" s="3" t="s">
        <v>32</v>
      </c>
      <c r="M300" s="2">
        <f>IF(J300="1000+", 1000, (LEFT(J300,FIND("-",J300)-1)+RIGHT(J300,LEN(J300)-FIND("-",J300)))/2)</f>
        <v>45</v>
      </c>
      <c r="N300" s="2">
        <f>ROUND(E300 * 0.7+F300 * 0.2+G300 * 0.1,2)</f>
        <v>69.400000000000006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65</v>
      </c>
      <c r="P300" s="2">
        <f>E300 - O300</f>
        <v>3</v>
      </c>
      <c r="Q300" s="2">
        <f>ROUND(
  SIGN(P300)*
  IF(ABS(P300)&lt;=10,ABS(P300)*0.5,
     IF(ABS(P300)&lt;=15,5+(ABS(P300)-10)*(1.67/5),
        6.67+(ABS(P300)-15)*0.333)),
2)</f>
        <v>1.5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70.900000000000006</v>
      </c>
      <c r="D301" s="2" t="s">
        <v>1964</v>
      </c>
      <c r="E301" s="5">
        <v>73</v>
      </c>
      <c r="F301" s="7">
        <v>63</v>
      </c>
      <c r="G301" s="7">
        <v>67</v>
      </c>
      <c r="H301" s="2" t="s">
        <v>1256</v>
      </c>
      <c r="I301" s="2" t="s">
        <v>1258</v>
      </c>
      <c r="J301" s="3" t="s">
        <v>1279</v>
      </c>
      <c r="M301" s="2">
        <f>IF(J301="1000+", 1000, (LEFT(J301,FIND("-",J301)-1)+RIGHT(J301,LEN(J301)-FIND("-",J301)))/2)</f>
        <v>105</v>
      </c>
      <c r="N301" s="2">
        <f>ROUND(E301 * 0.7+F301 * 0.2+G301 * 0.1,2)</f>
        <v>70.400000000000006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72</v>
      </c>
      <c r="P301" s="2">
        <f>E301 - O301</f>
        <v>1</v>
      </c>
      <c r="Q301" s="2">
        <f>ROUND(
  SIGN(P301)*
  IF(ABS(P301)&lt;=10,ABS(P301)*0.5,
     IF(ABS(P301)&lt;=15,5+(ABS(P301)-10)*(1.67/5),
        6.67+(ABS(P301)-15)*0.333)),
2)</f>
        <v>0.5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70.900000000000006</v>
      </c>
      <c r="D302" s="2" t="s">
        <v>2032</v>
      </c>
      <c r="E302" s="5">
        <v>74</v>
      </c>
      <c r="F302" s="2">
        <v>50</v>
      </c>
      <c r="G302" s="2">
        <v>46</v>
      </c>
      <c r="H302" s="2" t="s">
        <v>1256</v>
      </c>
      <c r="I302" s="2" t="s">
        <v>22</v>
      </c>
      <c r="J302" s="3" t="s">
        <v>1262</v>
      </c>
      <c r="M302" s="2">
        <f>IF(J302="1000+", 1000, (LEFT(J302,FIND("-",J302)-1)+RIGHT(J302,LEN(J302)-FIND("-",J302)))/2)</f>
        <v>45</v>
      </c>
      <c r="N302" s="2">
        <f>ROUND(E302 * 0.7+F302 * 0.2+G302 * 0.1,2)</f>
        <v>66.400000000000006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65</v>
      </c>
      <c r="P302" s="2">
        <f>E302 - O302</f>
        <v>9</v>
      </c>
      <c r="Q302" s="2">
        <f>ROUND(
  SIGN(P302)*
  IF(ABS(P302)&lt;=10,ABS(P302)*0.5,
     IF(ABS(P302)&lt;=15,5+(ABS(P302)-10)*(1.67/5),
        6.67+(ABS(P302)-15)*0.333)),
2)</f>
        <v>4.5</v>
      </c>
    </row>
    <row r="303" spans="1:17" ht="34.5" customHeight="1" x14ac:dyDescent="0.3">
      <c r="B303" s="2">
        <v>302</v>
      </c>
      <c r="C303" s="16">
        <f>ROUND(MAX(MIN(N303 + Q303, 100), 0), 2)</f>
        <v>70.84</v>
      </c>
      <c r="D303" s="2" t="s">
        <v>515</v>
      </c>
      <c r="E303" s="7">
        <v>67</v>
      </c>
      <c r="F303" s="7">
        <v>60</v>
      </c>
      <c r="G303" s="2">
        <v>46</v>
      </c>
      <c r="H303" s="2" t="s">
        <v>114</v>
      </c>
      <c r="I303" s="2" t="s">
        <v>36</v>
      </c>
      <c r="J303" s="3" t="s">
        <v>92</v>
      </c>
      <c r="M303" s="2">
        <f>IF(J303="1000+", 1000, (LEFT(J303,FIND("-",J303)-1)+RIGHT(J303,LEN(J303)-FIND("-",J303)))/2)</f>
        <v>12.5</v>
      </c>
      <c r="N303" s="2">
        <f>ROUND(E303 * 0.7+F303 * 0.2+G303 * 0.1,2)</f>
        <v>63.5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50</v>
      </c>
      <c r="P303" s="2">
        <f>E303 - O303</f>
        <v>17</v>
      </c>
      <c r="Q303" s="2">
        <f>ROUND(
  SIGN(P303)*
  IF(ABS(P303)&lt;=10,ABS(P303)*0.5,
     IF(ABS(P303)&lt;=15,5+(ABS(P303)-10)*(1.67/5),
        6.67+(ABS(P303)-15)*0.333)),
2)</f>
        <v>7.34</v>
      </c>
    </row>
    <row r="304" spans="1:17" ht="34.5" customHeight="1" x14ac:dyDescent="0.3">
      <c r="B304" s="2">
        <v>303</v>
      </c>
      <c r="C304" s="16">
        <f>ROUND(MAX(MIN(N304 + Q304, 100), 0), 2)</f>
        <v>70.8</v>
      </c>
      <c r="D304" s="2" t="s">
        <v>428</v>
      </c>
      <c r="E304" s="5">
        <v>72</v>
      </c>
      <c r="F304" s="2">
        <v>58</v>
      </c>
      <c r="G304" s="2">
        <v>38</v>
      </c>
      <c r="H304" s="2" t="s">
        <v>240</v>
      </c>
      <c r="I304" s="2" t="s">
        <v>36</v>
      </c>
      <c r="J304" s="3" t="s">
        <v>146</v>
      </c>
      <c r="M304" s="2">
        <f>IF(J304="1000+", 1000, (LEFT(J304,FIND("-",J304)-1)+RIGHT(J304,LEN(J304)-FIND("-",J304)))/2)</f>
        <v>30</v>
      </c>
      <c r="N304" s="2">
        <f>ROUND(E304 * 0.7+F304 * 0.2+G304 * 0.1,2)</f>
        <v>65.8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62</v>
      </c>
      <c r="P304" s="2">
        <f>E304 - O304</f>
        <v>10</v>
      </c>
      <c r="Q304" s="2">
        <f>ROUND(
  SIGN(P304)*
  IF(ABS(P304)&lt;=10,ABS(P304)*0.5,
     IF(ABS(P304)&lt;=15,5+(ABS(P304)-10)*(1.67/5),
        6.67+(ABS(P304)-15)*0.333)),
2)</f>
        <v>5</v>
      </c>
    </row>
    <row r="305" spans="1:17" ht="34.5" customHeight="1" x14ac:dyDescent="0.3">
      <c r="A305" s="2">
        <v>2026</v>
      </c>
      <c r="B305" s="2">
        <v>304</v>
      </c>
      <c r="C305" s="16">
        <f>ROUND(MAX(MIN(N305 + Q305, 100), 0), 2)</f>
        <v>70.8</v>
      </c>
      <c r="D305" s="2" t="s">
        <v>1639</v>
      </c>
      <c r="E305" s="5">
        <v>72</v>
      </c>
      <c r="F305" s="2">
        <v>57</v>
      </c>
      <c r="G305" s="2">
        <v>55</v>
      </c>
      <c r="H305" s="2" t="s">
        <v>1645</v>
      </c>
      <c r="I305" s="2" t="s">
        <v>1647</v>
      </c>
      <c r="J305" s="3" t="s">
        <v>1659</v>
      </c>
      <c r="M305" s="2">
        <f>IF(J305="1000+", 1000, (LEFT(J305,FIND("-",J305)-1)+RIGHT(J305,LEN(J305)-FIND("-",J305)))/2)</f>
        <v>45</v>
      </c>
      <c r="N305" s="2">
        <f>ROUND(E305 * 0.7+F305 * 0.2+G305 * 0.1,2)</f>
        <v>67.3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65</v>
      </c>
      <c r="P305" s="2">
        <f>E305 - O305</f>
        <v>7</v>
      </c>
      <c r="Q305" s="2">
        <f>ROUND(
  SIGN(P305)*
  IF(ABS(P305)&lt;=10,ABS(P305)*0.5,
     IF(ABS(P305)&lt;=15,5+(ABS(P305)-10)*(1.67/5),
        6.67+(ABS(P305)-15)*0.333)),
2)</f>
        <v>3.5</v>
      </c>
    </row>
    <row r="306" spans="1:17" ht="34.5" customHeight="1" x14ac:dyDescent="0.3">
      <c r="B306" s="2">
        <v>305</v>
      </c>
      <c r="C306" s="16">
        <f>ROUND(MAX(MIN(N306 + Q306, 100), 0), 2)</f>
        <v>70.8</v>
      </c>
      <c r="D306" s="2" t="s">
        <v>102</v>
      </c>
      <c r="E306" s="5">
        <v>78</v>
      </c>
      <c r="F306" s="5">
        <v>77</v>
      </c>
      <c r="G306" s="2">
        <v>53</v>
      </c>
      <c r="H306" s="2" t="s">
        <v>40</v>
      </c>
      <c r="I306" s="2" t="s">
        <v>41</v>
      </c>
      <c r="J306" s="3" t="s">
        <v>65</v>
      </c>
      <c r="K306" s="2" t="s">
        <v>103</v>
      </c>
      <c r="M306" s="2">
        <f>IF(J306="1000+", 1000, (LEFT(J306,FIND("-",J306)-1)+RIGHT(J306,LEN(J306)-FIND("-",J306)))/2)</f>
        <v>250</v>
      </c>
      <c r="N306" s="2">
        <f>ROUND(E306 * 0.7+F306 * 0.2+G306 * 0.1,2)</f>
        <v>75.3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87</v>
      </c>
      <c r="P306" s="2">
        <f>E306 - O306</f>
        <v>-9</v>
      </c>
      <c r="Q306" s="2">
        <f>ROUND(
  SIGN(P306)*
  IF(ABS(P306)&lt;=10,ABS(P306)*0.5,
     IF(ABS(P306)&lt;=15,5+(ABS(P306)-10)*(1.67/5),
        6.67+(ABS(P306)-15)*0.333)),
2)</f>
        <v>-4.5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70.8</v>
      </c>
      <c r="D307" s="2" t="s">
        <v>1983</v>
      </c>
      <c r="E307" s="5">
        <v>74</v>
      </c>
      <c r="F307" s="7">
        <v>60</v>
      </c>
      <c r="G307" s="2">
        <v>50</v>
      </c>
      <c r="H307" s="2" t="s">
        <v>1994</v>
      </c>
      <c r="I307" s="2" t="s">
        <v>1258</v>
      </c>
      <c r="J307" s="3" t="s">
        <v>1264</v>
      </c>
      <c r="K307" s="2" t="s">
        <v>1991</v>
      </c>
      <c r="M307" s="2">
        <f>IF(J307="1000+", 1000, (LEFT(J307,FIND("-",J307)-1)+RIGHT(J307,LEN(J307)-FIND("-",J307)))/2)</f>
        <v>75</v>
      </c>
      <c r="N307" s="2">
        <f>ROUND(E307 * 0.7+F307 * 0.2+G307 * 0.1,2)</f>
        <v>68.8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70</v>
      </c>
      <c r="P307" s="2">
        <f>E307 - O307</f>
        <v>4</v>
      </c>
      <c r="Q307" s="2">
        <f>ROUND(
  SIGN(P307)*
  IF(ABS(P307)&lt;=10,ABS(P307)*0.5,
     IF(ABS(P307)&lt;=15,5+(ABS(P307)-10)*(1.67/5),
        6.67+(ABS(P307)-15)*0.333)),
2)</f>
        <v>2</v>
      </c>
    </row>
    <row r="308" spans="1:17" ht="34.5" customHeight="1" x14ac:dyDescent="0.3">
      <c r="B308" s="2">
        <v>307</v>
      </c>
      <c r="C308" s="16">
        <f>ROUND(MAX(MIN(N308 + Q308, 100), 0), 2)</f>
        <v>70.7</v>
      </c>
      <c r="D308" s="2" t="s">
        <v>364</v>
      </c>
      <c r="E308" s="5">
        <v>72</v>
      </c>
      <c r="F308" s="2">
        <v>56</v>
      </c>
      <c r="G308" s="2">
        <v>56</v>
      </c>
      <c r="H308" s="2" t="s">
        <v>48</v>
      </c>
      <c r="I308" s="2" t="s">
        <v>36</v>
      </c>
      <c r="J308" s="3" t="s">
        <v>32</v>
      </c>
      <c r="K308" s="2" t="s">
        <v>365</v>
      </c>
      <c r="M308" s="2">
        <f>IF(J308="1000+", 1000, (LEFT(J308,FIND("-",J308)-1)+RIGHT(J308,LEN(J308)-FIND("-",J308)))/2)</f>
        <v>45</v>
      </c>
      <c r="N308" s="2">
        <f>ROUND(E308 * 0.7+F308 * 0.2+G308 * 0.1,2)</f>
        <v>67.2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65</v>
      </c>
      <c r="P308" s="2">
        <f>E308 - O308</f>
        <v>7</v>
      </c>
      <c r="Q308" s="2">
        <f>ROUND(
  SIGN(P308)*
  IF(ABS(P308)&lt;=10,ABS(P308)*0.5,
     IF(ABS(P308)&lt;=15,5+(ABS(P308)-10)*(1.67/5),
        6.67+(ABS(P308)-15)*0.333)),
2)</f>
        <v>3.5</v>
      </c>
    </row>
    <row r="309" spans="1:17" ht="34.5" customHeight="1" x14ac:dyDescent="0.3">
      <c r="B309" s="2">
        <v>308</v>
      </c>
      <c r="C309" s="16">
        <f>ROUND(MAX(MIN(N309 + Q309, 100), 0), 2)</f>
        <v>70.7</v>
      </c>
      <c r="D309" s="2" t="s">
        <v>308</v>
      </c>
      <c r="E309" s="5">
        <v>71</v>
      </c>
      <c r="F309" s="5">
        <v>70</v>
      </c>
      <c r="G309" s="7">
        <v>65</v>
      </c>
      <c r="H309" s="2" t="s">
        <v>53</v>
      </c>
      <c r="I309" s="2" t="s">
        <v>22</v>
      </c>
      <c r="J309" s="3" t="s">
        <v>18</v>
      </c>
      <c r="M309" s="2">
        <f>IF(J309="1000+", 1000, (LEFT(J309,FIND("-",J309)-1)+RIGHT(J309,LEN(J309)-FIND("-",J309)))/2)</f>
        <v>75</v>
      </c>
      <c r="N309" s="2">
        <f>ROUND(E309 * 0.7+F309 * 0.2+G309 * 0.1,2)</f>
        <v>70.2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70</v>
      </c>
      <c r="P309" s="2">
        <f>E309 - O309</f>
        <v>1</v>
      </c>
      <c r="Q309" s="2">
        <f>ROUND(
  SIGN(P309)*
  IF(ABS(P309)&lt;=10,ABS(P309)*0.5,
     IF(ABS(P309)&lt;=15,5+(ABS(P309)-10)*(1.67/5),
        6.67+(ABS(P309)-15)*0.333)),
2)</f>
        <v>0.5</v>
      </c>
    </row>
    <row r="310" spans="1:17" ht="34.5" customHeight="1" x14ac:dyDescent="0.3">
      <c r="B310" s="2">
        <v>309</v>
      </c>
      <c r="C310" s="16">
        <f>ROUND(MAX(MIN(N310 + Q310, 100), 0), 2)</f>
        <v>70.67</v>
      </c>
      <c r="D310" s="2" t="s">
        <v>437</v>
      </c>
      <c r="E310" s="5">
        <v>75</v>
      </c>
      <c r="F310" s="2">
        <v>45</v>
      </c>
      <c r="G310" s="2">
        <v>25</v>
      </c>
      <c r="H310" s="2" t="s">
        <v>64</v>
      </c>
      <c r="I310" s="2" t="s">
        <v>36</v>
      </c>
      <c r="J310" s="3" t="s">
        <v>132</v>
      </c>
      <c r="K310" s="2" t="s">
        <v>438</v>
      </c>
      <c r="M310" s="2">
        <f>IF(J310="1000+", 1000, (LEFT(J310,FIND("-",J310)-1)+RIGHT(J310,LEN(J310)-FIND("-",J310)))/2)</f>
        <v>20</v>
      </c>
      <c r="N310" s="2">
        <f>ROUND(E310 * 0.7+F310 * 0.2+G310 * 0.1,2)</f>
        <v>64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60</v>
      </c>
      <c r="P310" s="2">
        <f>E310 - O310</f>
        <v>15</v>
      </c>
      <c r="Q310" s="2">
        <f>ROUND(
  SIGN(P310)*
  IF(ABS(P310)&lt;=10,ABS(P310)*0.5,
     IF(ABS(P310)&lt;=15,5+(ABS(P310)-10)*(1.67/5),
        6.67+(ABS(P310)-15)*0.333)),
2)</f>
        <v>6.67</v>
      </c>
    </row>
    <row r="311" spans="1:17" ht="34.5" customHeight="1" x14ac:dyDescent="0.3">
      <c r="B311" s="2">
        <v>310</v>
      </c>
      <c r="C311" s="16">
        <f>ROUND(MAX(MIN(N311 + Q311, 100), 0), 2)</f>
        <v>70.599999999999994</v>
      </c>
      <c r="D311" s="2" t="s">
        <v>432</v>
      </c>
      <c r="E311" s="5">
        <v>75</v>
      </c>
      <c r="F311" s="2">
        <v>50</v>
      </c>
      <c r="G311" s="2">
        <v>46</v>
      </c>
      <c r="H311" s="2" t="s">
        <v>163</v>
      </c>
      <c r="I311" s="2" t="s">
        <v>22</v>
      </c>
      <c r="J311" s="3" t="s">
        <v>160</v>
      </c>
      <c r="M311" s="2">
        <f>IF(J311="1000+", 1000, (LEFT(J311,FIND("-",J311)-1)+RIGHT(J311,LEN(J311)-FIND("-",J311)))/2)</f>
        <v>60</v>
      </c>
      <c r="N311" s="2">
        <f>ROUND(E311 * 0.7+F311 * 0.2+G311 * 0.1,2)</f>
        <v>67.099999999999994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68</v>
      </c>
      <c r="P311" s="2">
        <f>E311 - O311</f>
        <v>7</v>
      </c>
      <c r="Q311" s="2">
        <f>ROUND(
  SIGN(P311)*
  IF(ABS(P311)&lt;=10,ABS(P311)*0.5,
     IF(ABS(P311)&lt;=15,5+(ABS(P311)-10)*(1.67/5),
        6.67+(ABS(P311)-15)*0.333)),
2)</f>
        <v>3.5</v>
      </c>
    </row>
    <row r="312" spans="1:17" ht="34.5" customHeight="1" x14ac:dyDescent="0.3">
      <c r="A312" s="2">
        <v>2026</v>
      </c>
      <c r="B312" s="2">
        <v>311</v>
      </c>
      <c r="C312" s="16">
        <f>ROUND(MAX(MIN(N312 + Q312, 100), 0), 2)</f>
        <v>70.599999999999994</v>
      </c>
      <c r="D312" s="2" t="s">
        <v>1710</v>
      </c>
      <c r="E312" s="5">
        <v>72</v>
      </c>
      <c r="F312" s="2">
        <v>56</v>
      </c>
      <c r="G312" s="2">
        <v>55</v>
      </c>
      <c r="H312" s="2" t="s">
        <v>1724</v>
      </c>
      <c r="I312" s="2" t="s">
        <v>36</v>
      </c>
      <c r="J312" s="3" t="s">
        <v>1734</v>
      </c>
      <c r="M312" s="2">
        <f>IF(J312="1000+", 1000, (LEFT(J312,FIND("-",J312)-1)+RIGHT(J312,LEN(J312)-FIND("-",J312)))/2)</f>
        <v>45</v>
      </c>
      <c r="N312" s="2">
        <f>ROUND(E312 * 0.7+F312 * 0.2+G312 * 0.1,2)</f>
        <v>67.099999999999994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65</v>
      </c>
      <c r="P312" s="2">
        <f>E312 - O312</f>
        <v>7</v>
      </c>
      <c r="Q312" s="2">
        <f>ROUND(
  SIGN(P312)*
  IF(ABS(P312)&lt;=10,ABS(P312)*0.5,
     IF(ABS(P312)&lt;=15,5+(ABS(P312)-10)*(1.67/5),
        6.67+(ABS(P312)-15)*0.333)),
2)</f>
        <v>3.5</v>
      </c>
    </row>
    <row r="313" spans="1:17" ht="34.5" customHeight="1" x14ac:dyDescent="0.3">
      <c r="B313" s="2">
        <v>312</v>
      </c>
      <c r="C313" s="16">
        <f>ROUND(MAX(MIN(N313 + Q313, 100), 0), 2)</f>
        <v>70.599999999999994</v>
      </c>
      <c r="D313" s="2" t="s">
        <v>290</v>
      </c>
      <c r="E313" s="5">
        <v>71</v>
      </c>
      <c r="F313" s="5">
        <v>74</v>
      </c>
      <c r="G313" s="6">
        <v>81</v>
      </c>
      <c r="H313" s="2" t="s">
        <v>291</v>
      </c>
      <c r="I313" s="2" t="s">
        <v>13</v>
      </c>
      <c r="J313" s="3" t="s">
        <v>140</v>
      </c>
      <c r="M313" s="2">
        <f>IF(J313="1000+", 1000, (LEFT(J313,FIND("-",J313)-1)+RIGHT(J313,LEN(J313)-FIND("-",J313)))/2)</f>
        <v>115</v>
      </c>
      <c r="N313" s="2">
        <f>ROUND(E313 * 0.7+F313 * 0.2+G313 * 0.1,2)</f>
        <v>72.599999999999994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75</v>
      </c>
      <c r="P313" s="2">
        <f>E313 - O313</f>
        <v>-4</v>
      </c>
      <c r="Q313" s="2">
        <f>ROUND(
  SIGN(P313)*
  IF(ABS(P313)&lt;=10,ABS(P313)*0.5,
     IF(ABS(P313)&lt;=15,5+(ABS(P313)-10)*(1.67/5),
        6.67+(ABS(P313)-15)*0.333)),
2)</f>
        <v>-2</v>
      </c>
    </row>
    <row r="314" spans="1:17" ht="34.5" customHeight="1" x14ac:dyDescent="0.3">
      <c r="A314" s="2">
        <v>2026</v>
      </c>
      <c r="B314" s="2">
        <v>313</v>
      </c>
      <c r="C314" s="16">
        <f>ROUND(MAX(MIN(N314 + Q314, 100), 0), 2)</f>
        <v>70.5</v>
      </c>
      <c r="D314" s="2" t="s">
        <v>1497</v>
      </c>
      <c r="E314" s="5">
        <v>71</v>
      </c>
      <c r="F314" s="7">
        <v>61</v>
      </c>
      <c r="G314" s="2">
        <v>56</v>
      </c>
      <c r="H314" s="2" t="s">
        <v>1518</v>
      </c>
      <c r="I314" s="2" t="s">
        <v>1523</v>
      </c>
      <c r="J314" s="3" t="s">
        <v>1536</v>
      </c>
      <c r="M314" s="2">
        <f>IF(J314="1000+", 1000, (LEFT(J314,FIND("-",J314)-1)+RIGHT(J314,LEN(J314)-FIND("-",J314)))/2)</f>
        <v>45</v>
      </c>
      <c r="N314" s="2">
        <f>ROUND(E314 * 0.7+F314 * 0.2+G314 * 0.1,2)</f>
        <v>67.5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65</v>
      </c>
      <c r="P314" s="2">
        <f>E314 - O314</f>
        <v>6</v>
      </c>
      <c r="Q314" s="2">
        <f>ROUND(
  SIGN(P314)*
  IF(ABS(P314)&lt;=10,ABS(P314)*0.5,
     IF(ABS(P314)&lt;=15,5+(ABS(P314)-10)*(1.67/5),
        6.67+(ABS(P314)-15)*0.333)),
2)</f>
        <v>3</v>
      </c>
    </row>
    <row r="315" spans="1:17" ht="34.5" customHeight="1" x14ac:dyDescent="0.3">
      <c r="B315" s="2">
        <v>314</v>
      </c>
      <c r="C315" s="16">
        <f>ROUND(MAX(MIN(N315 + Q315, 100), 0), 2)</f>
        <v>70.5</v>
      </c>
      <c r="D315" s="2" t="s">
        <v>403</v>
      </c>
      <c r="E315" s="5">
        <v>70</v>
      </c>
      <c r="F315" s="2">
        <v>55</v>
      </c>
      <c r="G315" s="7">
        <v>65</v>
      </c>
      <c r="H315" s="2" t="s">
        <v>31</v>
      </c>
      <c r="I315" s="2" t="s">
        <v>72</v>
      </c>
      <c r="J315" s="3" t="s">
        <v>146</v>
      </c>
      <c r="M315" s="2">
        <f>IF(J315="1000+", 1000, (LEFT(J315,FIND("-",J315)-1)+RIGHT(J315,LEN(J315)-FIND("-",J315)))/2)</f>
        <v>30</v>
      </c>
      <c r="N315" s="2">
        <f>ROUND(E315 * 0.7+F315 * 0.2+G315 * 0.1,2)</f>
        <v>66.5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62</v>
      </c>
      <c r="P315" s="2">
        <f>E315 - O315</f>
        <v>8</v>
      </c>
      <c r="Q315" s="2">
        <f>ROUND(
  SIGN(P315)*
  IF(ABS(P315)&lt;=10,ABS(P315)*0.5,
     IF(ABS(P315)&lt;=15,5+(ABS(P315)-10)*(1.67/5),
        6.67+(ABS(P315)-15)*0.333)),
2)</f>
        <v>4</v>
      </c>
    </row>
    <row r="316" spans="1:17" ht="34.5" customHeight="1" x14ac:dyDescent="0.3">
      <c r="B316" s="2">
        <v>315</v>
      </c>
      <c r="C316" s="16">
        <f>ROUND(MAX(MIN(N316 + Q316, 100), 0), 2)</f>
        <v>70.5</v>
      </c>
      <c r="D316" s="2" t="s">
        <v>278</v>
      </c>
      <c r="E316" s="5">
        <v>71</v>
      </c>
      <c r="F316" s="7">
        <v>66</v>
      </c>
      <c r="G316" s="5">
        <v>71</v>
      </c>
      <c r="H316" s="2" t="s">
        <v>279</v>
      </c>
      <c r="I316" s="2" t="s">
        <v>280</v>
      </c>
      <c r="J316" s="3" t="s">
        <v>18</v>
      </c>
      <c r="K316" s="2" t="s">
        <v>281</v>
      </c>
      <c r="M316" s="2">
        <f>IF(J316="1000+", 1000, (LEFT(J316,FIND("-",J316)-1)+RIGHT(J316,LEN(J316)-FIND("-",J316)))/2)</f>
        <v>75</v>
      </c>
      <c r="N316" s="2">
        <f>ROUND(E316 * 0.7+F316 * 0.2+G316 * 0.1,2)</f>
        <v>70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70</v>
      </c>
      <c r="P316" s="2">
        <f>E316 - O316</f>
        <v>1</v>
      </c>
      <c r="Q316" s="2">
        <f>ROUND(
  SIGN(P316)*
  IF(ABS(P316)&lt;=10,ABS(P316)*0.5,
     IF(ABS(P316)&lt;=15,5+(ABS(P316)-10)*(1.67/5),
        6.67+(ABS(P316)-15)*0.333)),
2)</f>
        <v>0.5</v>
      </c>
    </row>
    <row r="317" spans="1:17" ht="34.5" customHeight="1" x14ac:dyDescent="0.3">
      <c r="A317" s="2">
        <v>2026</v>
      </c>
      <c r="B317" s="2">
        <v>316</v>
      </c>
      <c r="C317" s="16">
        <f>ROUND(MAX(MIN(N317 + Q317, 100), 0), 2)</f>
        <v>70.5</v>
      </c>
      <c r="D317" s="2" t="s">
        <v>1865</v>
      </c>
      <c r="E317" s="5">
        <v>76</v>
      </c>
      <c r="F317" s="5">
        <v>70</v>
      </c>
      <c r="G317" s="7">
        <v>63</v>
      </c>
      <c r="H317" s="2" t="s">
        <v>1895</v>
      </c>
      <c r="I317" s="2" t="s">
        <v>1258</v>
      </c>
      <c r="J317" s="3" t="s">
        <v>1265</v>
      </c>
      <c r="M317" s="2">
        <f>IF(J317="1000+", 1000, (LEFT(J317,FIND("-",J317)-1)+RIGHT(J317,LEN(J317)-FIND("-",J317)))/2)</f>
        <v>200</v>
      </c>
      <c r="N317" s="2">
        <f>ROUND(E317 * 0.7+F317 * 0.2+G317 * 0.1,2)</f>
        <v>73.5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82</v>
      </c>
      <c r="P317" s="2">
        <f>E317 - O317</f>
        <v>-6</v>
      </c>
      <c r="Q317" s="2">
        <f>ROUND(
  SIGN(P317)*
  IF(ABS(P317)&lt;=10,ABS(P317)*0.5,
     IF(ABS(P317)&lt;=15,5+(ABS(P317)-10)*(1.67/5),
        6.67+(ABS(P317)-15)*0.333)),
2)</f>
        <v>-3</v>
      </c>
    </row>
    <row r="318" spans="1:17" ht="34.5" customHeight="1" x14ac:dyDescent="0.3">
      <c r="A318" s="2">
        <v>2026</v>
      </c>
      <c r="B318" s="2">
        <v>317</v>
      </c>
      <c r="C318" s="16">
        <f>ROUND(MAX(MIN(N318 + Q318, 100), 0), 2)</f>
        <v>70.400000000000006</v>
      </c>
      <c r="D318" s="11" t="s">
        <v>1324</v>
      </c>
      <c r="E318" s="5">
        <v>73</v>
      </c>
      <c r="F318" s="2">
        <v>54</v>
      </c>
      <c r="G318" s="2">
        <v>45</v>
      </c>
      <c r="H318" s="11" t="s">
        <v>1257</v>
      </c>
      <c r="I318" s="11" t="s">
        <v>1259</v>
      </c>
      <c r="J318" s="19" t="s">
        <v>1262</v>
      </c>
      <c r="M318" s="2">
        <f>IF(J318="1000+", 1000, (LEFT(J318,FIND("-",J318)-1)+RIGHT(J318,LEN(J318)-FIND("-",J318)))/2)</f>
        <v>45</v>
      </c>
      <c r="N318" s="2">
        <f>ROUND(E318 * 0.7+F318 * 0.2+G318 * 0.1,2)</f>
        <v>66.400000000000006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65</v>
      </c>
      <c r="P318" s="2">
        <f>E318 - O318</f>
        <v>8</v>
      </c>
      <c r="Q318" s="2">
        <f>ROUND(
  SIGN(P318)*
  IF(ABS(P318)&lt;=10,ABS(P318)*0.5,
     IF(ABS(P318)&lt;=15,5+(ABS(P318)-10)*(1.67/5),
        6.67+(ABS(P318)-15)*0.333)),
2)</f>
        <v>4</v>
      </c>
    </row>
    <row r="319" spans="1:17" ht="34.5" customHeight="1" x14ac:dyDescent="0.3">
      <c r="B319" s="2">
        <v>318</v>
      </c>
      <c r="C319" s="16">
        <f>ROUND(MAX(MIN(N319 + Q319, 100), 0), 2)</f>
        <v>70.400000000000006</v>
      </c>
      <c r="D319" s="2" t="s">
        <v>340</v>
      </c>
      <c r="E319" s="5">
        <v>72</v>
      </c>
      <c r="F319" s="2">
        <v>55</v>
      </c>
      <c r="G319" s="2">
        <v>55</v>
      </c>
      <c r="H319" s="2" t="s">
        <v>48</v>
      </c>
      <c r="I319" s="2" t="s">
        <v>218</v>
      </c>
      <c r="J319" s="3" t="s">
        <v>32</v>
      </c>
      <c r="K319" s="2" t="s">
        <v>341</v>
      </c>
      <c r="M319" s="2">
        <f>IF(J319="1000+", 1000, (LEFT(J319,FIND("-",J319)-1)+RIGHT(J319,LEN(J319)-FIND("-",J319)))/2)</f>
        <v>45</v>
      </c>
      <c r="N319" s="2">
        <f>ROUND(E319 * 0.7+F319 * 0.2+G319 * 0.1,2)</f>
        <v>66.900000000000006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65</v>
      </c>
      <c r="P319" s="2">
        <f>E319 - O319</f>
        <v>7</v>
      </c>
      <c r="Q319" s="2">
        <f>ROUND(
  SIGN(P319)*
  IF(ABS(P319)&lt;=10,ABS(P319)*0.5,
     IF(ABS(P319)&lt;=15,5+(ABS(P319)-10)*(1.67/5),
        6.67+(ABS(P319)-15)*0.333)),
2)</f>
        <v>3.5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70.400000000000006</v>
      </c>
      <c r="D320" s="11" t="s">
        <v>1344</v>
      </c>
      <c r="E320" s="5">
        <v>73</v>
      </c>
      <c r="F320" s="7">
        <v>66</v>
      </c>
      <c r="G320" s="5">
        <v>71</v>
      </c>
      <c r="H320" s="11" t="s">
        <v>1256</v>
      </c>
      <c r="I320" s="11" t="s">
        <v>1353</v>
      </c>
      <c r="J320" s="19" t="s">
        <v>1301</v>
      </c>
      <c r="K320" s="11" t="s">
        <v>1350</v>
      </c>
      <c r="M320" s="2">
        <f>IF(J320="1000+", 1000, (LEFT(J320,FIND("-",J320)-1)+RIGHT(J320,LEN(J320)-FIND("-",J320)))/2)</f>
        <v>115</v>
      </c>
      <c r="N320" s="2">
        <f>ROUND(E320 * 0.7+F320 * 0.2+G320 * 0.1,2)</f>
        <v>71.400000000000006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75</v>
      </c>
      <c r="P320" s="2">
        <f>E320 - O320</f>
        <v>-2</v>
      </c>
      <c r="Q320" s="2">
        <f>ROUND(
  SIGN(P320)*
  IF(ABS(P320)&lt;=10,ABS(P320)*0.5,
     IF(ABS(P320)&lt;=15,5+(ABS(P320)-10)*(1.67/5),
        6.67+(ABS(P320)-15)*0.333)),
2)</f>
        <v>-1</v>
      </c>
    </row>
    <row r="321" spans="1:17" ht="34.5" customHeight="1" x14ac:dyDescent="0.3">
      <c r="B321" s="2">
        <v>320</v>
      </c>
      <c r="C321" s="16">
        <f>ROUND(MAX(MIN(N321 + Q321, 100), 0), 2)</f>
        <v>70.400000000000006</v>
      </c>
      <c r="D321" s="2" t="s">
        <v>342</v>
      </c>
      <c r="E321" s="5">
        <v>71</v>
      </c>
      <c r="F321" s="7">
        <v>63</v>
      </c>
      <c r="G321" s="5">
        <v>76</v>
      </c>
      <c r="H321" s="2" t="s">
        <v>145</v>
      </c>
      <c r="I321" s="2" t="s">
        <v>13</v>
      </c>
      <c r="J321" s="3" t="s">
        <v>18</v>
      </c>
      <c r="M321" s="2">
        <f>IF(J321="1000+", 1000, (LEFT(J321,FIND("-",J321)-1)+RIGHT(J321,LEN(J321)-FIND("-",J321)))/2)</f>
        <v>75</v>
      </c>
      <c r="N321" s="2">
        <f>ROUND(E321 * 0.7+F321 * 0.2+G321 * 0.1,2)</f>
        <v>69.900000000000006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70</v>
      </c>
      <c r="P321" s="2">
        <f>E321 - O321</f>
        <v>1</v>
      </c>
      <c r="Q321" s="2">
        <f>ROUND(
  SIGN(P321)*
  IF(ABS(P321)&lt;=10,ABS(P321)*0.5,
     IF(ABS(P321)&lt;=15,5+(ABS(P321)-10)*(1.67/5),
        6.67+(ABS(P321)-15)*0.333)),
2)</f>
        <v>0.5</v>
      </c>
    </row>
    <row r="322" spans="1:17" ht="34.5" customHeight="1" x14ac:dyDescent="0.3">
      <c r="A322" s="2">
        <v>2026</v>
      </c>
      <c r="B322" s="2">
        <v>321</v>
      </c>
      <c r="C322" s="16">
        <f>ROUND(MAX(MIN(N322 + Q322, 100), 0), 2)</f>
        <v>70.37</v>
      </c>
      <c r="D322" s="2" t="s">
        <v>1410</v>
      </c>
      <c r="E322" s="7">
        <v>67</v>
      </c>
      <c r="F322" s="7">
        <v>63</v>
      </c>
      <c r="G322" s="2">
        <v>52</v>
      </c>
      <c r="H322" s="2" t="s">
        <v>1421</v>
      </c>
      <c r="I322" s="2" t="s">
        <v>36</v>
      </c>
      <c r="J322" s="3" t="s">
        <v>1432</v>
      </c>
      <c r="M322" s="2">
        <f>IF(J322="1000+", 1000, (LEFT(J322,FIND("-",J322)-1)+RIGHT(J322,LEN(J322)-FIND("-",J322)))/2)</f>
        <v>15</v>
      </c>
      <c r="N322" s="2">
        <f>ROUND(E322 * 0.7+F322 * 0.2+G322 * 0.1,2)</f>
        <v>64.7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55</v>
      </c>
      <c r="P322" s="2">
        <f>E322 - O322</f>
        <v>12</v>
      </c>
      <c r="Q322" s="2">
        <f>ROUND(
  SIGN(P322)*
  IF(ABS(P322)&lt;=10,ABS(P322)*0.5,
     IF(ABS(P322)&lt;=15,5+(ABS(P322)-10)*(1.67/5),
        6.67+(ABS(P322)-15)*0.333)),
2)</f>
        <v>5.67</v>
      </c>
    </row>
    <row r="323" spans="1:17" ht="34.5" customHeight="1" x14ac:dyDescent="0.3">
      <c r="A323" s="2">
        <v>2026</v>
      </c>
      <c r="B323" s="2">
        <v>322</v>
      </c>
      <c r="C323" s="16">
        <f>ROUND(MAX(MIN(N323 + Q323, 100), 0), 2)</f>
        <v>70.3</v>
      </c>
      <c r="D323" s="11" t="s">
        <v>1337</v>
      </c>
      <c r="E323" s="5">
        <v>70</v>
      </c>
      <c r="F323" s="7">
        <v>65</v>
      </c>
      <c r="G323" s="2">
        <v>58</v>
      </c>
      <c r="H323" s="2" t="s">
        <v>1257</v>
      </c>
      <c r="I323" s="2" t="s">
        <v>36</v>
      </c>
      <c r="J323" s="19" t="s">
        <v>1262</v>
      </c>
      <c r="K323" s="11" t="s">
        <v>1349</v>
      </c>
      <c r="M323" s="2">
        <f>IF(J323="1000+", 1000, (LEFT(J323,FIND("-",J323)-1)+RIGHT(J323,LEN(J323)-FIND("-",J323)))/2)</f>
        <v>45</v>
      </c>
      <c r="N323" s="2">
        <f>ROUND(E323 * 0.7+F323 * 0.2+G323 * 0.1,2)</f>
        <v>67.8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65</v>
      </c>
      <c r="P323" s="2">
        <f>E323 - O323</f>
        <v>5</v>
      </c>
      <c r="Q323" s="2">
        <f>ROUND(
  SIGN(P323)*
  IF(ABS(P323)&lt;=10,ABS(P323)*0.5,
     IF(ABS(P323)&lt;=15,5+(ABS(P323)-10)*(1.67/5),
        6.67+(ABS(P323)-15)*0.333)),
2)</f>
        <v>2.5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70.2</v>
      </c>
      <c r="D324" s="2" t="s">
        <v>1638</v>
      </c>
      <c r="E324" s="5">
        <v>72</v>
      </c>
      <c r="F324" s="7">
        <v>60</v>
      </c>
      <c r="G324" s="2">
        <v>58</v>
      </c>
      <c r="H324" s="2" t="s">
        <v>1644</v>
      </c>
      <c r="I324" s="2" t="s">
        <v>1650</v>
      </c>
      <c r="J324" s="3" t="s">
        <v>1656</v>
      </c>
      <c r="M324" s="2">
        <f>IF(J324="1000+", 1000, (LEFT(J324,FIND("-",J324)-1)+RIGHT(J324,LEN(J324)-FIND("-",J324)))/2)</f>
        <v>60</v>
      </c>
      <c r="N324" s="2">
        <f>ROUND(E324 * 0.7+F324 * 0.2+G324 * 0.1,2)</f>
        <v>68.2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68</v>
      </c>
      <c r="P324" s="2">
        <f>E324 - O324</f>
        <v>4</v>
      </c>
      <c r="Q324" s="2">
        <f>ROUND(
  SIGN(P324)*
  IF(ABS(P324)&lt;=10,ABS(P324)*0.5,
     IF(ABS(P324)&lt;=15,5+(ABS(P324)-10)*(1.67/5),
        6.67+(ABS(P324)-15)*0.333)),
2)</f>
        <v>2</v>
      </c>
    </row>
    <row r="325" spans="1:17" ht="34.5" customHeight="1" x14ac:dyDescent="0.3">
      <c r="B325" s="2">
        <v>324</v>
      </c>
      <c r="C325" s="16">
        <f>ROUND(MAX(MIN(N325 + Q325, 100), 0), 2)</f>
        <v>70.2</v>
      </c>
      <c r="D325" s="2" t="s">
        <v>429</v>
      </c>
      <c r="E325" s="7">
        <v>69</v>
      </c>
      <c r="F325" s="7">
        <v>60</v>
      </c>
      <c r="G325" s="2">
        <v>54</v>
      </c>
      <c r="H325" s="2" t="s">
        <v>12</v>
      </c>
      <c r="I325" s="2" t="s">
        <v>36</v>
      </c>
      <c r="J325" s="3" t="s">
        <v>132</v>
      </c>
      <c r="M325" s="2">
        <f>IF(J325="1000+", 1000, (LEFT(J325,FIND("-",J325)-1)+RIGHT(J325,LEN(J325)-FIND("-",J325)))/2)</f>
        <v>20</v>
      </c>
      <c r="N325" s="2">
        <f>ROUND(E325 * 0.7+F325 * 0.2+G325 * 0.1,2)</f>
        <v>65.7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60</v>
      </c>
      <c r="P325" s="2">
        <f>E325 - O325</f>
        <v>9</v>
      </c>
      <c r="Q325" s="2">
        <f>ROUND(
  SIGN(P325)*
  IF(ABS(P325)&lt;=10,ABS(P325)*0.5,
     IF(ABS(P325)&lt;=15,5+(ABS(P325)-10)*(1.67/5),
        6.67+(ABS(P325)-15)*0.333)),
2)</f>
        <v>4.5</v>
      </c>
    </row>
    <row r="326" spans="1:17" ht="34.5" customHeight="1" x14ac:dyDescent="0.3">
      <c r="A326" s="2">
        <v>2026</v>
      </c>
      <c r="B326" s="2">
        <v>325</v>
      </c>
      <c r="C326" s="16">
        <f>ROUND(MAX(MIN(N326 + Q326, 100), 0), 2)</f>
        <v>70.2</v>
      </c>
      <c r="D326" s="2" t="s">
        <v>1504</v>
      </c>
      <c r="E326" s="7">
        <v>68</v>
      </c>
      <c r="F326" s="2">
        <v>57</v>
      </c>
      <c r="G326" s="2">
        <v>52</v>
      </c>
      <c r="H326" s="2" t="s">
        <v>1483</v>
      </c>
      <c r="I326" s="2" t="s">
        <v>36</v>
      </c>
      <c r="J326" s="3" t="s">
        <v>1538</v>
      </c>
      <c r="M326" s="2">
        <f>IF(J326="1000+", 1000, (LEFT(J326,FIND("-",J326)-1)+RIGHT(J326,LEN(J326)-FIND("-",J326)))/2)</f>
        <v>15</v>
      </c>
      <c r="N326" s="2">
        <f>ROUND(E326 * 0.7+F326 * 0.2+G326 * 0.1,2)</f>
        <v>64.2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55</v>
      </c>
      <c r="P326" s="2">
        <f>E326 - O326</f>
        <v>13</v>
      </c>
      <c r="Q326" s="2">
        <f>ROUND(
  SIGN(P326)*
  IF(ABS(P326)&lt;=10,ABS(P326)*0.5,
     IF(ABS(P326)&lt;=15,5+(ABS(P326)-10)*(1.67/5),
        6.67+(ABS(P326)-15)*0.333)),
2)</f>
        <v>6</v>
      </c>
    </row>
    <row r="327" spans="1:17" ht="34.5" customHeight="1" x14ac:dyDescent="0.3">
      <c r="A327" s="2">
        <v>2026</v>
      </c>
      <c r="B327" s="2">
        <v>326</v>
      </c>
      <c r="C327" s="16">
        <f>ROUND(MAX(MIN(N327 + Q327, 100), 0), 2)</f>
        <v>70.14</v>
      </c>
      <c r="D327" s="2" t="s">
        <v>1582</v>
      </c>
      <c r="E327" s="7">
        <v>67</v>
      </c>
      <c r="F327" s="2">
        <v>57</v>
      </c>
      <c r="G327" s="2">
        <v>45</v>
      </c>
      <c r="H327" s="2" t="s">
        <v>1587</v>
      </c>
      <c r="I327" s="2" t="s">
        <v>1590</v>
      </c>
      <c r="J327" s="3" t="s">
        <v>1597</v>
      </c>
      <c r="M327" s="2">
        <f>IF(J327="1000+", 1000, (LEFT(J327,FIND("-",J327)-1)+RIGHT(J327,LEN(J327)-FIND("-",J327)))/2)</f>
        <v>12.5</v>
      </c>
      <c r="N327" s="2">
        <f>ROUND(E327 * 0.7+F327 * 0.2+G327 * 0.1,2)</f>
        <v>62.8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50</v>
      </c>
      <c r="P327" s="2">
        <f>E327 - O327</f>
        <v>17</v>
      </c>
      <c r="Q327" s="2">
        <f>ROUND(
  SIGN(P327)*
  IF(ABS(P327)&lt;=10,ABS(P327)*0.5,
     IF(ABS(P327)&lt;=15,5+(ABS(P327)-10)*(1.67/5),
        6.67+(ABS(P327)-15)*0.333)),
2)</f>
        <v>7.34</v>
      </c>
    </row>
    <row r="328" spans="1:17" ht="34.5" customHeight="1" x14ac:dyDescent="0.3">
      <c r="A328" s="2">
        <v>2026</v>
      </c>
      <c r="B328" s="2">
        <v>327</v>
      </c>
      <c r="C328" s="16">
        <f>ROUND(MAX(MIN(N328 + Q328, 100), 0), 2)</f>
        <v>70.099999999999994</v>
      </c>
      <c r="D328" s="2" t="s">
        <v>1502</v>
      </c>
      <c r="E328" s="5">
        <v>72</v>
      </c>
      <c r="F328" s="2">
        <v>57</v>
      </c>
      <c r="G328" s="7">
        <v>63</v>
      </c>
      <c r="H328" s="2" t="s">
        <v>1487</v>
      </c>
      <c r="I328" s="2" t="s">
        <v>1523</v>
      </c>
      <c r="J328" s="3" t="s">
        <v>1535</v>
      </c>
      <c r="M328" s="2">
        <f>IF(J328="1000+", 1000, (LEFT(J328,FIND("-",J328)-1)+RIGHT(J328,LEN(J328)-FIND("-",J328)))/2)</f>
        <v>60</v>
      </c>
      <c r="N328" s="2">
        <f>ROUND(E328 * 0.7+F328 * 0.2+G328 * 0.1,2)</f>
        <v>68.099999999999994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68</v>
      </c>
      <c r="P328" s="2">
        <f>E328 - O328</f>
        <v>4</v>
      </c>
      <c r="Q328" s="2">
        <f>ROUND(
  SIGN(P328)*
  IF(ABS(P328)&lt;=10,ABS(P328)*0.5,
     IF(ABS(P328)&lt;=15,5+(ABS(P328)-10)*(1.67/5),
        6.67+(ABS(P328)-15)*0.333)),
2)</f>
        <v>2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70.099999999999994</v>
      </c>
      <c r="D329" s="2" t="s">
        <v>1467</v>
      </c>
      <c r="E329" s="7">
        <v>68</v>
      </c>
      <c r="F329" s="5">
        <v>76</v>
      </c>
      <c r="G329" s="2">
        <v>33</v>
      </c>
      <c r="H329" s="2" t="s">
        <v>1474</v>
      </c>
      <c r="I329" s="2" t="s">
        <v>36</v>
      </c>
      <c r="J329" s="3" t="s">
        <v>1479</v>
      </c>
      <c r="M329" s="2">
        <f>IF(J329="1000+", 1000, (LEFT(J329,FIND("-",J329)-1)+RIGHT(J329,LEN(J329)-FIND("-",J329)))/2)</f>
        <v>20</v>
      </c>
      <c r="N329" s="2">
        <f>ROUND(E329 * 0.7+F329 * 0.2+G329 * 0.1,2)</f>
        <v>66.099999999999994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60</v>
      </c>
      <c r="P329" s="2">
        <f>E329 - O329</f>
        <v>8</v>
      </c>
      <c r="Q329" s="2">
        <f>ROUND(
  SIGN(P329)*
  IF(ABS(P329)&lt;=10,ABS(P329)*0.5,
     IF(ABS(P329)&lt;=15,5+(ABS(P329)-10)*(1.67/5),
        6.67+(ABS(P329)-15)*0.333)),
2)</f>
        <v>4</v>
      </c>
    </row>
    <row r="330" spans="1:17" ht="34.5" customHeight="1" x14ac:dyDescent="0.3">
      <c r="B330" s="2">
        <v>329</v>
      </c>
      <c r="C330" s="16">
        <f>ROUND(MAX(MIN(N330 + Q330, 100), 0), 2)</f>
        <v>70.099999999999994</v>
      </c>
      <c r="D330" s="2" t="s">
        <v>212</v>
      </c>
      <c r="E330" s="5">
        <v>72</v>
      </c>
      <c r="F330" s="5">
        <v>70</v>
      </c>
      <c r="G330" s="2">
        <v>57</v>
      </c>
      <c r="H330" s="2" t="s">
        <v>213</v>
      </c>
      <c r="I330" s="2" t="s">
        <v>17</v>
      </c>
      <c r="J330" s="3" t="s">
        <v>122</v>
      </c>
      <c r="K330" s="2" t="s">
        <v>115</v>
      </c>
      <c r="M330" s="2">
        <f>IF(J330="1000+", 1000, (LEFT(J330,FIND("-",J330)-1)+RIGHT(J330,LEN(J330)-FIND("-",J330)))/2)</f>
        <v>105</v>
      </c>
      <c r="N330" s="2">
        <f>ROUND(E330 * 0.7+F330 * 0.2+G330 * 0.1,2)</f>
        <v>70.099999999999994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72</v>
      </c>
      <c r="P330" s="2">
        <f>E330 - O330</f>
        <v>0</v>
      </c>
      <c r="Q330" s="2">
        <f>ROUND(
  SIGN(P330)*
  IF(ABS(P330)&lt;=10,ABS(P330)*0.5,
     IF(ABS(P330)&lt;=15,5+(ABS(P330)-10)*(1.67/5),
        6.67+(ABS(P330)-15)*0.333)),
2)</f>
        <v>0</v>
      </c>
    </row>
    <row r="331" spans="1:17" ht="34.5" customHeight="1" x14ac:dyDescent="0.3">
      <c r="A331" s="2">
        <v>2026</v>
      </c>
      <c r="B331" s="2">
        <v>330</v>
      </c>
      <c r="C331" s="16">
        <f>ROUND(MAX(MIN(N331 + Q331, 100), 0), 2)</f>
        <v>70.099999999999994</v>
      </c>
      <c r="D331" s="2" t="s">
        <v>1968</v>
      </c>
      <c r="E331" s="5">
        <v>71</v>
      </c>
      <c r="F331" s="2">
        <v>58</v>
      </c>
      <c r="G331" s="2">
        <v>58</v>
      </c>
      <c r="H331" s="2" t="s">
        <v>1257</v>
      </c>
      <c r="I331" s="2" t="s">
        <v>1300</v>
      </c>
      <c r="J331" s="3" t="s">
        <v>1262</v>
      </c>
      <c r="M331" s="2">
        <f>IF(J331="1000+", 1000, (LEFT(J331,FIND("-",J331)-1)+RIGHT(J331,LEN(J331)-FIND("-",J331)))/2)</f>
        <v>45</v>
      </c>
      <c r="N331" s="2">
        <f>ROUND(E331 * 0.7+F331 * 0.2+G331 * 0.1,2)</f>
        <v>67.099999999999994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65</v>
      </c>
      <c r="P331" s="2">
        <f>E331 - O331</f>
        <v>6</v>
      </c>
      <c r="Q331" s="2">
        <f>ROUND(
  SIGN(P331)*
  IF(ABS(P331)&lt;=10,ABS(P331)*0.5,
     IF(ABS(P331)&lt;=15,5+(ABS(P331)-10)*(1.67/5),
        6.67+(ABS(P331)-15)*0.333)),
2)</f>
        <v>3</v>
      </c>
    </row>
    <row r="332" spans="1:17" ht="34.5" customHeight="1" x14ac:dyDescent="0.3">
      <c r="A332" s="2">
        <v>2026</v>
      </c>
      <c r="B332" s="2">
        <v>331</v>
      </c>
      <c r="C332" s="16">
        <f>ROUND(MAX(MIN(N332 + Q332, 100), 0), 2)</f>
        <v>70.03</v>
      </c>
      <c r="D332" s="2" t="s">
        <v>1713</v>
      </c>
      <c r="E332" s="5">
        <v>71</v>
      </c>
      <c r="F332" s="2">
        <v>50</v>
      </c>
      <c r="G332" s="2">
        <v>50</v>
      </c>
      <c r="H332" s="2" t="s">
        <v>1725</v>
      </c>
      <c r="I332" s="2" t="s">
        <v>1729</v>
      </c>
      <c r="J332" s="3" t="s">
        <v>1708</v>
      </c>
      <c r="M332" s="2">
        <f>IF(J332="1000+", 1000, (LEFT(J332,FIND("-",J332)-1)+RIGHT(J332,LEN(J332)-FIND("-",J332)))/2)</f>
        <v>20</v>
      </c>
      <c r="N332" s="2">
        <f>ROUND(E332 * 0.7+F332 * 0.2+G332 * 0.1,2)</f>
        <v>64.7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60</v>
      </c>
      <c r="P332" s="2">
        <f>E332 - O332</f>
        <v>11</v>
      </c>
      <c r="Q332" s="2">
        <f>ROUND(
  SIGN(P332)*
  IF(ABS(P332)&lt;=10,ABS(P332)*0.5,
     IF(ABS(P332)&lt;=15,5+(ABS(P332)-10)*(1.67/5),
        6.67+(ABS(P332)-15)*0.333)),
2)</f>
        <v>5.33</v>
      </c>
    </row>
    <row r="333" spans="1:17" ht="34.5" customHeight="1" x14ac:dyDescent="0.3">
      <c r="B333" s="2">
        <v>332</v>
      </c>
      <c r="C333" s="16">
        <v>70</v>
      </c>
      <c r="D333" s="10" t="s">
        <v>259</v>
      </c>
      <c r="E333" s="5">
        <v>70</v>
      </c>
      <c r="F333" s="2">
        <v>50</v>
      </c>
      <c r="G333" s="6">
        <v>80</v>
      </c>
      <c r="H333" s="2" t="s">
        <v>118</v>
      </c>
      <c r="I333" s="2" t="s">
        <v>119</v>
      </c>
      <c r="J333" s="3" t="s">
        <v>120</v>
      </c>
      <c r="M333" s="2">
        <f>IF(J333="1000+", 1000, (LEFT(J333,FIND("-",J333)-1)+RIGHT(J333,LEN(J333)-FIND("-",J333)))/2)</f>
        <v>60</v>
      </c>
      <c r="N333" s="2">
        <f>ROUND(E333 * 0.7+F333 * 0.2+G333 * 0.1,2)</f>
        <v>67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68</v>
      </c>
      <c r="P333" s="2">
        <f>E333 - O333</f>
        <v>2</v>
      </c>
      <c r="Q333" s="2">
        <f>ROUND(
  SIGN(P333)*
  IF(ABS(P333)&lt;=10,ABS(P333)*0.5,
     IF(ABS(P333)&lt;=15,5+(ABS(P333)-10)*(1.67/5),
        6.67+(ABS(P333)-15)*0.333)),
2)</f>
        <v>1</v>
      </c>
    </row>
    <row r="334" spans="1:17" ht="34.5" customHeight="1" x14ac:dyDescent="0.3">
      <c r="B334" s="2">
        <v>333</v>
      </c>
      <c r="C334" s="16">
        <f>ROUND(MAX(MIN(N334 + Q334, 100), 0), 2)</f>
        <v>70</v>
      </c>
      <c r="D334" s="2" t="s">
        <v>372</v>
      </c>
      <c r="E334" s="5">
        <v>73</v>
      </c>
      <c r="F334" s="2">
        <v>57</v>
      </c>
      <c r="G334" s="2">
        <v>50</v>
      </c>
      <c r="H334" s="2" t="s">
        <v>53</v>
      </c>
      <c r="I334" s="2" t="s">
        <v>22</v>
      </c>
      <c r="J334" s="3" t="s">
        <v>23</v>
      </c>
      <c r="K334" s="2" t="s">
        <v>373</v>
      </c>
      <c r="M334" s="2">
        <f>IF(J334="1000+", 1000, (LEFT(J334,FIND("-",J334)-1)+RIGHT(J334,LEN(J334)-FIND("-",J334)))/2)</f>
        <v>60</v>
      </c>
      <c r="N334" s="2">
        <f>ROUND(E334 * 0.7+F334 * 0.2+G334 * 0.1,2)</f>
        <v>67.5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68</v>
      </c>
      <c r="P334" s="2">
        <f>E334 - O334</f>
        <v>5</v>
      </c>
      <c r="Q334" s="2">
        <f>ROUND(
  SIGN(P334)*
  IF(ABS(P334)&lt;=10,ABS(P334)*0.5,
     IF(ABS(P334)&lt;=15,5+(ABS(P334)-10)*(1.67/5),
        6.67+(ABS(P334)-15)*0.333)),
2)</f>
        <v>2.5</v>
      </c>
    </row>
    <row r="335" spans="1:17" ht="34.5" customHeight="1" x14ac:dyDescent="0.3">
      <c r="A335" s="2">
        <v>2026</v>
      </c>
      <c r="B335" s="2">
        <v>334</v>
      </c>
      <c r="C335" s="16">
        <f>ROUND(MAX(MIN(N335 + Q335, 100), 0), 2)</f>
        <v>70</v>
      </c>
      <c r="D335" s="2" t="s">
        <v>1832</v>
      </c>
      <c r="E335" s="5">
        <v>70</v>
      </c>
      <c r="F335" s="7">
        <v>63</v>
      </c>
      <c r="G335" s="2">
        <v>44</v>
      </c>
      <c r="H335" s="2" t="s">
        <v>1257</v>
      </c>
      <c r="I335" s="2" t="s">
        <v>36</v>
      </c>
      <c r="J335" s="3" t="s">
        <v>1263</v>
      </c>
      <c r="M335" s="2">
        <f>IF(J335="1000+", 1000, (LEFT(J335,FIND("-",J335)-1)+RIGHT(J335,LEN(J335)-FIND("-",J335)))/2)</f>
        <v>30</v>
      </c>
      <c r="N335" s="2">
        <f>ROUND(E335 * 0.7+F335 * 0.2+G335 * 0.1,2)</f>
        <v>66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62</v>
      </c>
      <c r="P335" s="2">
        <f>E335 - O335</f>
        <v>8</v>
      </c>
      <c r="Q335" s="2">
        <f>ROUND(
  SIGN(P335)*
  IF(ABS(P335)&lt;=10,ABS(P335)*0.5,
     IF(ABS(P335)&lt;=15,5+(ABS(P335)-10)*(1.67/5),
        6.67+(ABS(P335)-15)*0.333)),
2)</f>
        <v>4</v>
      </c>
    </row>
    <row r="336" spans="1:17" ht="34.5" customHeight="1" x14ac:dyDescent="0.3">
      <c r="A336" s="2">
        <v>2026</v>
      </c>
      <c r="B336" s="2">
        <v>335</v>
      </c>
      <c r="C336" s="16">
        <f>ROUND(MAX(MIN(N336 + Q336, 100), 0), 2)</f>
        <v>70</v>
      </c>
      <c r="D336" s="2" t="s">
        <v>1633</v>
      </c>
      <c r="E336" s="5">
        <v>70</v>
      </c>
      <c r="F336" s="2">
        <v>59</v>
      </c>
      <c r="G336" s="2">
        <v>52</v>
      </c>
      <c r="H336" s="2" t="s">
        <v>1645</v>
      </c>
      <c r="I336" s="2" t="s">
        <v>1647</v>
      </c>
      <c r="J336" s="3" t="s">
        <v>1654</v>
      </c>
      <c r="M336" s="2">
        <f>IF(J336="1000+", 1000, (LEFT(J336,FIND("-",J336)-1)+RIGHT(J336,LEN(J336)-FIND("-",J336)))/2)</f>
        <v>30</v>
      </c>
      <c r="N336" s="2">
        <f>ROUND(E336 * 0.7+F336 * 0.2+G336 * 0.1,2)</f>
        <v>66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62</v>
      </c>
      <c r="P336" s="2">
        <f>E336 - O336</f>
        <v>8</v>
      </c>
      <c r="Q336" s="2">
        <f>ROUND(
  SIGN(P336)*
  IF(ABS(P336)&lt;=10,ABS(P336)*0.5,
     IF(ABS(P336)&lt;=15,5+(ABS(P336)-10)*(1.67/5),
        6.67+(ABS(P336)-15)*0.333)),
2)</f>
        <v>4</v>
      </c>
    </row>
    <row r="337" spans="1:17" ht="34.5" customHeight="1" x14ac:dyDescent="0.3">
      <c r="A337" s="2">
        <v>2026</v>
      </c>
      <c r="B337" s="2">
        <v>336</v>
      </c>
      <c r="C337" s="16">
        <f>ROUND(MAX(MIN(N337 + Q337, 100), 0), 2)</f>
        <v>70</v>
      </c>
      <c r="D337" s="2" t="s">
        <v>1720</v>
      </c>
      <c r="E337" s="5">
        <v>71</v>
      </c>
      <c r="F337" s="7">
        <v>68</v>
      </c>
      <c r="G337" s="7">
        <v>62</v>
      </c>
      <c r="H337" s="2" t="s">
        <v>1723</v>
      </c>
      <c r="I337" s="2" t="s">
        <v>1728</v>
      </c>
      <c r="J337" s="3" t="s">
        <v>1738</v>
      </c>
      <c r="M337" s="2">
        <f>IF(J337="1000+", 1000, (LEFT(J337,FIND("-",J337)-1)+RIGHT(J337,LEN(J337)-FIND("-",J337)))/2)</f>
        <v>75</v>
      </c>
      <c r="N337" s="2">
        <f>ROUND(E337 * 0.7+F337 * 0.2+G337 * 0.1,2)</f>
        <v>69.5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70</v>
      </c>
      <c r="P337" s="2">
        <f>E337 - O337</f>
        <v>1</v>
      </c>
      <c r="Q337" s="2">
        <f>ROUND(
  SIGN(P337)*
  IF(ABS(P337)&lt;=10,ABS(P337)*0.5,
     IF(ABS(P337)&lt;=15,5+(ABS(P337)-10)*(1.67/5),
        6.67+(ABS(P337)-15)*0.333)),
2)</f>
        <v>0.5</v>
      </c>
    </row>
    <row r="338" spans="1:17" ht="34.5" customHeight="1" x14ac:dyDescent="0.3">
      <c r="B338" s="2">
        <v>337</v>
      </c>
      <c r="C338" s="16">
        <f>ROUND(MAX(MIN(N338 + Q338, 100), 0), 2)</f>
        <v>69.97</v>
      </c>
      <c r="D338" s="2" t="s">
        <v>275</v>
      </c>
      <c r="E338" s="5">
        <v>74</v>
      </c>
      <c r="F338" s="6">
        <v>84</v>
      </c>
      <c r="G338" s="7">
        <v>67</v>
      </c>
      <c r="H338" s="2" t="s">
        <v>135</v>
      </c>
      <c r="I338" s="2" t="s">
        <v>276</v>
      </c>
      <c r="J338" s="3" t="s">
        <v>14</v>
      </c>
      <c r="M338" s="2">
        <f>IF(J338="1000+", 1000, (LEFT(J338,FIND("-",J338)-1)+RIGHT(J338,LEN(J338)-FIND("-",J338)))/2)</f>
        <v>225</v>
      </c>
      <c r="N338" s="2">
        <f>ROUND(E338 * 0.7+F338 * 0.2+G338 * 0.1,2)</f>
        <v>75.3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85</v>
      </c>
      <c r="P338" s="2">
        <f>E338 - O338</f>
        <v>-11</v>
      </c>
      <c r="Q338" s="2">
        <f>ROUND(
  SIGN(P338)*
  IF(ABS(P338)&lt;=10,ABS(P338)*0.5,
     IF(ABS(P338)&lt;=15,5+(ABS(P338)-10)*(1.67/5),
        6.67+(ABS(P338)-15)*0.333)),
2)</f>
        <v>-5.33</v>
      </c>
    </row>
    <row r="339" spans="1:17" ht="34.5" customHeight="1" x14ac:dyDescent="0.3">
      <c r="A339" s="2">
        <v>2026</v>
      </c>
      <c r="B339" s="2">
        <v>338</v>
      </c>
      <c r="C339" s="17">
        <f>ROUND(MAX(MIN(N339 + Q339, 100), 0), 2)</f>
        <v>69.900000000000006</v>
      </c>
      <c r="D339" s="2" t="s">
        <v>1753</v>
      </c>
      <c r="E339" s="5">
        <v>72</v>
      </c>
      <c r="F339" s="2">
        <v>50</v>
      </c>
      <c r="G339" s="2">
        <v>45</v>
      </c>
      <c r="H339" s="2" t="s">
        <v>1761</v>
      </c>
      <c r="I339" s="2" t="s">
        <v>1763</v>
      </c>
      <c r="J339" s="3" t="s">
        <v>1774</v>
      </c>
      <c r="M339" s="2">
        <f>IF(J339="1000+", 1000, (LEFT(J339,FIND("-",J339)-1)+RIGHT(J339,LEN(J339)-FIND("-",J339)))/2)</f>
        <v>30</v>
      </c>
      <c r="N339" s="2">
        <f>ROUND(E339 * 0.7+F339 * 0.2+G339 * 0.1,2)</f>
        <v>64.900000000000006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62</v>
      </c>
      <c r="P339" s="2">
        <f>E339 - O339</f>
        <v>10</v>
      </c>
      <c r="Q339" s="2">
        <f>ROUND(
  SIGN(P339)*
  IF(ABS(P339)&lt;=10,ABS(P339)*0.5,
     IF(ABS(P339)&lt;=15,5+(ABS(P339)-10)*(1.67/5),
        6.67+(ABS(P339)-15)*0.333)),
2)</f>
        <v>5</v>
      </c>
    </row>
    <row r="340" spans="1:17" ht="34.5" customHeight="1" x14ac:dyDescent="0.3">
      <c r="B340" s="2">
        <v>339</v>
      </c>
      <c r="C340" s="17">
        <f>ROUND(MAX(MIN(N340 + Q340, 100), 0), 2)</f>
        <v>69.900000000000006</v>
      </c>
      <c r="D340" s="2" t="s">
        <v>376</v>
      </c>
      <c r="E340" s="5">
        <v>72</v>
      </c>
      <c r="F340" s="7">
        <v>60</v>
      </c>
      <c r="G340" s="7">
        <v>65</v>
      </c>
      <c r="H340" s="2" t="s">
        <v>21</v>
      </c>
      <c r="I340" s="2" t="s">
        <v>72</v>
      </c>
      <c r="J340" s="3" t="s">
        <v>18</v>
      </c>
      <c r="M340" s="2">
        <f>IF(J340="1000+", 1000, (LEFT(J340,FIND("-",J340)-1)+RIGHT(J340,LEN(J340)-FIND("-",J340)))/2)</f>
        <v>75</v>
      </c>
      <c r="N340" s="2">
        <f>ROUND(E340 * 0.7+F340 * 0.2+G340 * 0.1,2)</f>
        <v>68.900000000000006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70</v>
      </c>
      <c r="P340" s="2">
        <f>E340 - O340</f>
        <v>2</v>
      </c>
      <c r="Q340" s="2">
        <f>ROUND(
  SIGN(P340)*
  IF(ABS(P340)&lt;=10,ABS(P340)*0.5,
     IF(ABS(P340)&lt;=15,5+(ABS(P340)-10)*(1.67/5),
        6.67+(ABS(P340)-15)*0.333)),
2)</f>
        <v>1</v>
      </c>
    </row>
    <row r="341" spans="1:17" ht="34.5" customHeight="1" x14ac:dyDescent="0.3">
      <c r="B341" s="2">
        <v>340</v>
      </c>
      <c r="C341" s="17">
        <f>ROUND(MAX(MIN(N341 + Q341, 100), 0), 2)</f>
        <v>69.900000000000006</v>
      </c>
      <c r="D341" s="2" t="s">
        <v>1707</v>
      </c>
      <c r="E341" s="5">
        <v>70</v>
      </c>
      <c r="F341" s="7">
        <v>62</v>
      </c>
      <c r="G341" s="7">
        <v>60</v>
      </c>
      <c r="H341" s="2" t="s">
        <v>48</v>
      </c>
      <c r="I341" s="2" t="s">
        <v>36</v>
      </c>
      <c r="J341" s="3" t="s">
        <v>32</v>
      </c>
      <c r="M341" s="2">
        <f>IF(J341="1000+", 1000, (LEFT(J341,FIND("-",J341)-1)+RIGHT(J341,LEN(J341)-FIND("-",J341)))/2)</f>
        <v>45</v>
      </c>
      <c r="N341" s="2">
        <f>ROUND(E341 * 0.7+F341 * 0.2+G341 * 0.1,2)</f>
        <v>67.400000000000006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65</v>
      </c>
      <c r="P341" s="2">
        <f>E341 - O341</f>
        <v>5</v>
      </c>
      <c r="Q341" s="2">
        <f>ROUND(
  SIGN(P341)*
  IF(ABS(P341)&lt;=10,ABS(P341)*0.5,
     IF(ABS(P341)&lt;=15,5+(ABS(P341)-10)*(1.67/5),
        6.67+(ABS(P341)-15)*0.333)),
2)</f>
        <v>2.5</v>
      </c>
    </row>
    <row r="342" spans="1:17" ht="34.5" customHeight="1" x14ac:dyDescent="0.3">
      <c r="A342" s="2">
        <v>2026</v>
      </c>
      <c r="B342" s="2">
        <v>341</v>
      </c>
      <c r="C342" s="17">
        <f>ROUND(MAX(MIN(N342 + Q342, 100), 0), 2)</f>
        <v>69.900000000000006</v>
      </c>
      <c r="D342" s="2" t="s">
        <v>1907</v>
      </c>
      <c r="E342" s="2">
        <v>71</v>
      </c>
      <c r="F342" s="2">
        <v>60</v>
      </c>
      <c r="G342" s="2">
        <v>67</v>
      </c>
      <c r="H342" s="2" t="s">
        <v>1256</v>
      </c>
      <c r="I342" s="2" t="s">
        <v>79</v>
      </c>
      <c r="J342" s="3" t="s">
        <v>1302</v>
      </c>
      <c r="M342" s="2">
        <f>IF(J342="1000+", 1000, (LEFT(J342,FIND("-",J342)-1)+RIGHT(J342,LEN(J342)-FIND("-",J342)))/2)</f>
        <v>60</v>
      </c>
      <c r="N342" s="2">
        <f>ROUND(E342 * 0.7+F342 * 0.2+G342 * 0.1,2)</f>
        <v>68.400000000000006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68</v>
      </c>
      <c r="P342" s="2">
        <f>E342 - O342</f>
        <v>3</v>
      </c>
      <c r="Q342" s="2">
        <f>ROUND(
  SIGN(P342)*
  IF(ABS(P342)&lt;=10,ABS(P342)*0.5,
     IF(ABS(P342)&lt;=15,5+(ABS(P342)-10)*(1.67/5),
        6.67+(ABS(P342)-15)*0.333)),
2)</f>
        <v>1.5</v>
      </c>
    </row>
    <row r="343" spans="1:17" ht="34.5" customHeight="1" x14ac:dyDescent="0.3">
      <c r="A343" s="2">
        <v>2026</v>
      </c>
      <c r="B343" s="2">
        <v>342</v>
      </c>
      <c r="C343" s="17">
        <f>ROUND(MAX(MIN(N343 + Q343, 100), 0), 2)</f>
        <v>69.900000000000006</v>
      </c>
      <c r="D343" s="2" t="s">
        <v>1988</v>
      </c>
      <c r="E343" s="5">
        <v>74</v>
      </c>
      <c r="F343" s="2">
        <v>54</v>
      </c>
      <c r="G343" s="2">
        <v>28</v>
      </c>
      <c r="H343" s="2" t="s">
        <v>1994</v>
      </c>
      <c r="I343" s="2" t="s">
        <v>1258</v>
      </c>
      <c r="J343" s="3" t="s">
        <v>1262</v>
      </c>
      <c r="M343" s="2">
        <f>IF(J343="1000+", 1000, (LEFT(J343,FIND("-",J343)-1)+RIGHT(J343,LEN(J343)-FIND("-",J343)))/2)</f>
        <v>45</v>
      </c>
      <c r="N343" s="2">
        <f>ROUND(E343 * 0.7+F343 * 0.2+G343 * 0.1,2)</f>
        <v>65.400000000000006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65</v>
      </c>
      <c r="P343" s="2">
        <f>E343 - O343</f>
        <v>9</v>
      </c>
      <c r="Q343" s="2">
        <f>ROUND(
  SIGN(P343)*
  IF(ABS(P343)&lt;=10,ABS(P343)*0.5,
     IF(ABS(P343)&lt;=15,5+(ABS(P343)-10)*(1.67/5),
        6.67+(ABS(P343)-15)*0.333)),
2)</f>
        <v>4.5</v>
      </c>
    </row>
    <row r="344" spans="1:17" ht="34.5" customHeight="1" x14ac:dyDescent="0.3">
      <c r="A344" s="2">
        <v>2026</v>
      </c>
      <c r="B344" s="2">
        <v>343</v>
      </c>
      <c r="C344" s="17">
        <f>ROUND(MAX(MIN(N344 + Q344, 100), 0), 2)</f>
        <v>69.8</v>
      </c>
      <c r="D344" s="2" t="s">
        <v>1442</v>
      </c>
      <c r="E344" s="5">
        <v>74</v>
      </c>
      <c r="F344" s="2">
        <v>50</v>
      </c>
      <c r="G344" s="2">
        <v>35</v>
      </c>
      <c r="H344" s="2" t="s">
        <v>1443</v>
      </c>
      <c r="I344" s="2" t="s">
        <v>1444</v>
      </c>
      <c r="J344" s="3" t="s">
        <v>1453</v>
      </c>
      <c r="M344" s="2">
        <f>IF(J344="1000+", 1000, (LEFT(J344,FIND("-",J344)-1)+RIGHT(J344,LEN(J344)-FIND("-",J344)))/2)</f>
        <v>45</v>
      </c>
      <c r="N344" s="2">
        <f>ROUND(E344 * 0.7+F344 * 0.2+G344 * 0.1,2)</f>
        <v>65.3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65</v>
      </c>
      <c r="P344" s="2">
        <f>E344 - O344</f>
        <v>9</v>
      </c>
      <c r="Q344" s="2">
        <f>ROUND(
  SIGN(P344)*
  IF(ABS(P344)&lt;=10,ABS(P344)*0.5,
     IF(ABS(P344)&lt;=15,5+(ABS(P344)-10)*(1.67/5),
        6.67+(ABS(P344)-15)*0.333)),
2)</f>
        <v>4.5</v>
      </c>
    </row>
    <row r="345" spans="1:17" ht="34.5" customHeight="1" x14ac:dyDescent="0.3">
      <c r="B345" s="2">
        <v>344</v>
      </c>
      <c r="C345" s="17">
        <f>ROUND(MAX(MIN(N345 + Q345, 100), 0), 2)</f>
        <v>69.8</v>
      </c>
      <c r="D345" s="2" t="s">
        <v>450</v>
      </c>
      <c r="E345" s="5">
        <v>75</v>
      </c>
      <c r="F345" s="2">
        <v>55</v>
      </c>
      <c r="G345" s="2">
        <v>38</v>
      </c>
      <c r="H345" s="2" t="s">
        <v>197</v>
      </c>
      <c r="I345" s="2" t="s">
        <v>72</v>
      </c>
      <c r="J345" s="3" t="s">
        <v>18</v>
      </c>
      <c r="M345" s="2">
        <f>IF(J345="1000+", 1000, (LEFT(J345,FIND("-",J345)-1)+RIGHT(J345,LEN(J345)-FIND("-",J345)))/2)</f>
        <v>75</v>
      </c>
      <c r="N345" s="2">
        <f>ROUND(E345 * 0.7+F345 * 0.2+G345 * 0.1,2)</f>
        <v>67.3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70</v>
      </c>
      <c r="P345" s="2">
        <f>E345 - O345</f>
        <v>5</v>
      </c>
      <c r="Q345" s="2">
        <f>ROUND(
  SIGN(P345)*
  IF(ABS(P345)&lt;=10,ABS(P345)*0.5,
     IF(ABS(P345)&lt;=15,5+(ABS(P345)-10)*(1.67/5),
        6.67+(ABS(P345)-15)*0.333)),
2)</f>
        <v>2.5</v>
      </c>
    </row>
    <row r="346" spans="1:17" ht="34.5" customHeight="1" x14ac:dyDescent="0.3">
      <c r="A346" s="2">
        <v>2026</v>
      </c>
      <c r="B346" s="2">
        <v>345</v>
      </c>
      <c r="C346" s="17">
        <f>ROUND(MAX(MIN(N346 + Q346, 100), 0), 2)</f>
        <v>69.8</v>
      </c>
      <c r="D346" s="2" t="s">
        <v>1722</v>
      </c>
      <c r="E346" s="7">
        <v>69</v>
      </c>
      <c r="F346" s="2">
        <v>55</v>
      </c>
      <c r="G346" s="2">
        <v>25</v>
      </c>
      <c r="H346" s="2" t="s">
        <v>1723</v>
      </c>
      <c r="I346" s="2" t="s">
        <v>36</v>
      </c>
      <c r="J346" s="3" t="s">
        <v>1739</v>
      </c>
      <c r="M346" s="2">
        <f>IF(J346="1000+", 1000, (LEFT(J346,FIND("-",J346)-1)+RIGHT(J346,LEN(J346)-FIND("-",J346)))/2)</f>
        <v>12.5</v>
      </c>
      <c r="N346" s="2">
        <f>ROUND(E346 * 0.7+F346 * 0.2+G346 * 0.1,2)</f>
        <v>61.8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50</v>
      </c>
      <c r="P346" s="2">
        <f>E346 - O346</f>
        <v>19</v>
      </c>
      <c r="Q346" s="2">
        <f>ROUND(
  SIGN(P346)*
  IF(ABS(P346)&lt;=10,ABS(P346)*0.5,
     IF(ABS(P346)&lt;=15,5+(ABS(P346)-10)*(1.67/5),
        6.67+(ABS(P346)-15)*0.333)),
2)</f>
        <v>8</v>
      </c>
    </row>
    <row r="347" spans="1:17" ht="34.5" customHeight="1" x14ac:dyDescent="0.3">
      <c r="B347" s="2">
        <v>346</v>
      </c>
      <c r="C347" s="17">
        <f>ROUND(MAX(MIN(N347 + Q347, 100), 0), 2)</f>
        <v>69.8</v>
      </c>
      <c r="D347" s="2" t="s">
        <v>540</v>
      </c>
      <c r="E347" s="7">
        <v>69</v>
      </c>
      <c r="F347" s="2">
        <v>50</v>
      </c>
      <c r="G347" s="2">
        <v>35</v>
      </c>
      <c r="H347" s="2" t="s">
        <v>104</v>
      </c>
      <c r="I347" s="2" t="s">
        <v>447</v>
      </c>
      <c r="J347" s="3" t="s">
        <v>92</v>
      </c>
      <c r="K347" s="2" t="s">
        <v>541</v>
      </c>
      <c r="M347" s="2">
        <f>IF(J347="1000+", 1000, (LEFT(J347,FIND("-",J347)-1)+RIGHT(J347,LEN(J347)-FIND("-",J347)))/2)</f>
        <v>12.5</v>
      </c>
      <c r="N347" s="2">
        <f>ROUND(E347 * 0.7+F347 * 0.2+G347 * 0.1,2)</f>
        <v>61.8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50</v>
      </c>
      <c r="P347" s="2">
        <f>E347 - O347</f>
        <v>19</v>
      </c>
      <c r="Q347" s="2">
        <f>ROUND(
  SIGN(P347)*
  IF(ABS(P347)&lt;=10,ABS(P347)*0.5,
     IF(ABS(P347)&lt;=15,5+(ABS(P347)-10)*(1.67/5),
        6.67+(ABS(P347)-15)*0.333)),
2)</f>
        <v>8</v>
      </c>
    </row>
    <row r="348" spans="1:17" ht="34.5" customHeight="1" x14ac:dyDescent="0.3">
      <c r="A348" s="2">
        <v>2026</v>
      </c>
      <c r="B348" s="2">
        <v>347</v>
      </c>
      <c r="C348" s="17">
        <f>ROUND(MAX(MIN(N348 + Q348, 100), 0), 2)</f>
        <v>69.8</v>
      </c>
      <c r="D348" s="2" t="s">
        <v>1877</v>
      </c>
      <c r="E348" s="5">
        <v>71</v>
      </c>
      <c r="F348" s="7">
        <v>69</v>
      </c>
      <c r="G348" s="7">
        <v>68</v>
      </c>
      <c r="H348" s="2" t="s">
        <v>1896</v>
      </c>
      <c r="I348" s="2" t="s">
        <v>1727</v>
      </c>
      <c r="J348" s="3" t="s">
        <v>1279</v>
      </c>
      <c r="M348" s="2">
        <f>IF(J348="1000+", 1000, (LEFT(J348,FIND("-",J348)-1)+RIGHT(J348,LEN(J348)-FIND("-",J348)))/2)</f>
        <v>105</v>
      </c>
      <c r="N348" s="2">
        <f>ROUND(E348 * 0.7+F348 * 0.2+G348 * 0.1,2)</f>
        <v>70.3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72</v>
      </c>
      <c r="P348" s="2">
        <f>E348 - O348</f>
        <v>-1</v>
      </c>
      <c r="Q348" s="2">
        <f>ROUND(
  SIGN(P348)*
  IF(ABS(P348)&lt;=10,ABS(P348)*0.5,
     IF(ABS(P348)&lt;=15,5+(ABS(P348)-10)*(1.67/5),
        6.67+(ABS(P348)-15)*0.333)),
2)</f>
        <v>-0.5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69.8</v>
      </c>
      <c r="D349" s="2" t="s">
        <v>1948</v>
      </c>
      <c r="E349" s="2">
        <v>68</v>
      </c>
      <c r="F349" s="2">
        <v>62</v>
      </c>
      <c r="G349" s="2">
        <v>58</v>
      </c>
      <c r="H349" s="2" t="s">
        <v>1483</v>
      </c>
      <c r="I349" s="2" t="s">
        <v>36</v>
      </c>
      <c r="J349" s="3" t="s">
        <v>1261</v>
      </c>
      <c r="M349" s="2">
        <f>IF(J349="1000+", 1000, (LEFT(J349,FIND("-",J349)-1)+RIGHT(J349,LEN(J349)-FIND("-",J349)))/2)</f>
        <v>20</v>
      </c>
      <c r="N349" s="2">
        <f>ROUND(E349 * 0.7+F349 * 0.2+G349 * 0.1,2)</f>
        <v>65.8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60</v>
      </c>
      <c r="P349" s="2">
        <f>E349 - O349</f>
        <v>8</v>
      </c>
      <c r="Q349" s="2">
        <f>ROUND(
  SIGN(P349)*
  IF(ABS(P349)&lt;=10,ABS(P349)*0.5,
     IF(ABS(P349)&lt;=15,5+(ABS(P349)-10)*(1.67/5),
        6.67+(ABS(P349)-15)*0.333)),
2)</f>
        <v>4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69.8</v>
      </c>
      <c r="D350" s="2" t="s">
        <v>2011</v>
      </c>
      <c r="E350" s="5">
        <v>71</v>
      </c>
      <c r="F350" s="7">
        <v>67</v>
      </c>
      <c r="G350" s="2">
        <v>52</v>
      </c>
      <c r="H350" s="2" t="s">
        <v>1257</v>
      </c>
      <c r="I350" s="2" t="s">
        <v>1300</v>
      </c>
      <c r="J350" s="3" t="s">
        <v>1302</v>
      </c>
      <c r="M350" s="2">
        <f>IF(J350="1000+", 1000, (LEFT(J350,FIND("-",J350)-1)+RIGHT(J350,LEN(J350)-FIND("-",J350)))/2)</f>
        <v>60</v>
      </c>
      <c r="N350" s="2">
        <f>ROUND(E350 * 0.7+F350 * 0.2+G350 * 0.1,2)</f>
        <v>68.3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68</v>
      </c>
      <c r="P350" s="2">
        <f>E350 - O350</f>
        <v>3</v>
      </c>
      <c r="Q350" s="2">
        <f>ROUND(
  SIGN(P350)*
  IF(ABS(P350)&lt;=10,ABS(P350)*0.5,
     IF(ABS(P350)&lt;=15,5+(ABS(P350)-10)*(1.67/5),
        6.67+(ABS(P350)-15)*0.333)),
2)</f>
        <v>1.5</v>
      </c>
    </row>
    <row r="351" spans="1:17" ht="34.5" customHeight="1" x14ac:dyDescent="0.3">
      <c r="B351" s="2">
        <v>350</v>
      </c>
      <c r="C351" s="17">
        <f>ROUND(MAX(MIN(N351 + Q351, 100), 0), 2)</f>
        <v>69.7</v>
      </c>
      <c r="D351" s="2" t="s">
        <v>478</v>
      </c>
      <c r="E351" s="5">
        <v>73</v>
      </c>
      <c r="F351" s="2">
        <v>58</v>
      </c>
      <c r="G351" s="2">
        <v>30</v>
      </c>
      <c r="H351" s="2" t="s">
        <v>85</v>
      </c>
      <c r="I351" s="2" t="s">
        <v>22</v>
      </c>
      <c r="J351" s="3" t="s">
        <v>32</v>
      </c>
      <c r="M351" s="2">
        <f>IF(J351="1000+", 1000, (LEFT(J351,FIND("-",J351)-1)+RIGHT(J351,LEN(J351)-FIND("-",J351)))/2)</f>
        <v>45</v>
      </c>
      <c r="N351" s="2">
        <f>ROUND(E351 * 0.7+F351 * 0.2+G351 * 0.1,2)</f>
        <v>65.7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65</v>
      </c>
      <c r="P351" s="2">
        <f>E351 - O351</f>
        <v>8</v>
      </c>
      <c r="Q351" s="2">
        <f>ROUND(
  SIGN(P351)*
  IF(ABS(P351)&lt;=10,ABS(P351)*0.5,
     IF(ABS(P351)&lt;=15,5+(ABS(P351)-10)*(1.67/5),
        6.67+(ABS(P351)-15)*0.333)),
2)</f>
        <v>4</v>
      </c>
    </row>
    <row r="352" spans="1:17" ht="34.5" customHeight="1" x14ac:dyDescent="0.3">
      <c r="B352" s="2">
        <v>351</v>
      </c>
      <c r="C352" s="17">
        <f>ROUND(MAX(MIN(N352 + Q352, 100), 0), 2)</f>
        <v>69.7</v>
      </c>
      <c r="D352" s="2" t="s">
        <v>393</v>
      </c>
      <c r="E352" s="7">
        <v>69</v>
      </c>
      <c r="F352" s="7">
        <v>64</v>
      </c>
      <c r="G352" s="7">
        <v>66</v>
      </c>
      <c r="H352" s="2" t="s">
        <v>104</v>
      </c>
      <c r="I352" s="2" t="s">
        <v>394</v>
      </c>
      <c r="J352" s="3" t="s">
        <v>32</v>
      </c>
      <c r="M352" s="2">
        <f>IF(J352="1000+", 1000, (LEFT(J352,FIND("-",J352)-1)+RIGHT(J352,LEN(J352)-FIND("-",J352)))/2)</f>
        <v>45</v>
      </c>
      <c r="N352" s="2">
        <f>ROUND(E352 * 0.7+F352 * 0.2+G352 * 0.1,2)</f>
        <v>67.7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65</v>
      </c>
      <c r="P352" s="2">
        <f>E352 - O352</f>
        <v>4</v>
      </c>
      <c r="Q352" s="2">
        <f>ROUND(
  SIGN(P352)*
  IF(ABS(P352)&lt;=10,ABS(P352)*0.5,
     IF(ABS(P352)&lt;=15,5+(ABS(P352)-10)*(1.67/5),
        6.67+(ABS(P352)-15)*0.333)),
2)</f>
        <v>2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69.7</v>
      </c>
      <c r="D353" s="2" t="s">
        <v>1960</v>
      </c>
      <c r="E353" s="5">
        <v>72</v>
      </c>
      <c r="F353" s="7">
        <v>62</v>
      </c>
      <c r="G353" s="2">
        <v>59</v>
      </c>
      <c r="H353" s="2" t="s">
        <v>1256</v>
      </c>
      <c r="I353" s="2" t="s">
        <v>1258</v>
      </c>
      <c r="J353" s="3" t="s">
        <v>1264</v>
      </c>
      <c r="M353" s="2">
        <f>IF(J353="1000+", 1000, (LEFT(J353,FIND("-",J353)-1)+RIGHT(J353,LEN(J353)-FIND("-",J353)))/2)</f>
        <v>75</v>
      </c>
      <c r="N353" s="2">
        <f>ROUND(E353 * 0.7+F353 * 0.2+G353 * 0.1,2)</f>
        <v>68.7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70</v>
      </c>
      <c r="P353" s="2">
        <f>E353 - O353</f>
        <v>2</v>
      </c>
      <c r="Q353" s="2">
        <f>ROUND(
  SIGN(P353)*
  IF(ABS(P353)&lt;=10,ABS(P353)*0.5,
     IF(ABS(P353)&lt;=15,5+(ABS(P353)-10)*(1.67/5),
        6.67+(ABS(P353)-15)*0.333)),
2)</f>
        <v>1</v>
      </c>
    </row>
    <row r="354" spans="1:17" ht="34.5" customHeight="1" x14ac:dyDescent="0.3">
      <c r="A354" s="2">
        <v>2026</v>
      </c>
      <c r="B354" s="2">
        <v>353</v>
      </c>
      <c r="C354" s="17">
        <f>ROUND(MAX(MIN(N354 + Q354, 100), 0), 2)</f>
        <v>69.599999999999994</v>
      </c>
      <c r="D354" s="11" t="s">
        <v>1287</v>
      </c>
      <c r="E354" s="5">
        <v>72</v>
      </c>
      <c r="F354" s="2">
        <v>52</v>
      </c>
      <c r="G354" s="2">
        <v>38</v>
      </c>
      <c r="H354" s="11" t="s">
        <v>1256</v>
      </c>
      <c r="I354" s="11" t="s">
        <v>1288</v>
      </c>
      <c r="J354" s="19" t="s">
        <v>1263</v>
      </c>
      <c r="K354" s="11" t="s">
        <v>1290</v>
      </c>
      <c r="M354" s="2">
        <f>IF(J354="1000+", 1000, (LEFT(J354,FIND("-",J354)-1)+RIGHT(J354,LEN(J354)-FIND("-",J354)))/2)</f>
        <v>30</v>
      </c>
      <c r="N354" s="2">
        <f>ROUND(E354 * 0.7+F354 * 0.2+G354 * 0.1,2)</f>
        <v>64.599999999999994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62</v>
      </c>
      <c r="P354" s="2">
        <f>E354 - O354</f>
        <v>10</v>
      </c>
      <c r="Q354" s="2">
        <f>ROUND(
  SIGN(P354)*
  IF(ABS(P354)&lt;=10,ABS(P354)*0.5,
     IF(ABS(P354)&lt;=15,5+(ABS(P354)-10)*(1.67/5),
        6.67+(ABS(P354)-15)*0.333)),
2)</f>
        <v>5</v>
      </c>
    </row>
    <row r="355" spans="1:17" ht="34.5" customHeight="1" x14ac:dyDescent="0.3">
      <c r="B355" s="2">
        <v>354</v>
      </c>
      <c r="C355" s="17">
        <f>ROUND(MAX(MIN(N355 + Q355, 100), 0), 2)</f>
        <v>69.5</v>
      </c>
      <c r="D355" s="2" t="s">
        <v>467</v>
      </c>
      <c r="E355" s="5">
        <v>71</v>
      </c>
      <c r="F355" s="2">
        <v>58</v>
      </c>
      <c r="G355" s="2">
        <v>37</v>
      </c>
      <c r="H355" s="2" t="s">
        <v>256</v>
      </c>
      <c r="I355" s="2" t="s">
        <v>36</v>
      </c>
      <c r="J355" s="3" t="s">
        <v>146</v>
      </c>
      <c r="M355" s="2">
        <f>IF(J355="1000+", 1000, (LEFT(J355,FIND("-",J355)-1)+RIGHT(J355,LEN(J355)-FIND("-",J355)))/2)</f>
        <v>30</v>
      </c>
      <c r="N355" s="2">
        <f>ROUND(E355 * 0.7+F355 * 0.2+G355 * 0.1,2)</f>
        <v>65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62</v>
      </c>
      <c r="P355" s="2">
        <f>E355 - O355</f>
        <v>9</v>
      </c>
      <c r="Q355" s="2">
        <f>ROUND(
  SIGN(P355)*
  IF(ABS(P355)&lt;=10,ABS(P355)*0.5,
     IF(ABS(P355)&lt;=15,5+(ABS(P355)-10)*(1.67/5),
        6.67+(ABS(P355)-15)*0.333)),
2)</f>
        <v>4.5</v>
      </c>
    </row>
    <row r="356" spans="1:17" ht="34.5" customHeight="1" x14ac:dyDescent="0.3">
      <c r="B356" s="2">
        <v>355</v>
      </c>
      <c r="C356" s="17">
        <f>ROUND(MAX(MIN(N356 + Q356, 100), 0), 2)</f>
        <v>69.5</v>
      </c>
      <c r="D356" s="2" t="s">
        <v>420</v>
      </c>
      <c r="E356" s="5">
        <v>70</v>
      </c>
      <c r="F356" s="2">
        <v>55</v>
      </c>
      <c r="G356" s="5">
        <v>70</v>
      </c>
      <c r="H356" s="2" t="s">
        <v>48</v>
      </c>
      <c r="I356" s="2" t="s">
        <v>72</v>
      </c>
      <c r="J356" s="3" t="s">
        <v>32</v>
      </c>
      <c r="M356" s="2">
        <f>IF(J356="1000+", 1000, (LEFT(J356,FIND("-",J356)-1)+RIGHT(J356,LEN(J356)-FIND("-",J356)))/2)</f>
        <v>45</v>
      </c>
      <c r="N356" s="2">
        <f>ROUND(E356 * 0.7+F356 * 0.2+G356 * 0.1,2)</f>
        <v>67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65</v>
      </c>
      <c r="P356" s="2">
        <f>E356 - O356</f>
        <v>5</v>
      </c>
      <c r="Q356" s="2">
        <f>ROUND(
  SIGN(P356)*
  IF(ABS(P356)&lt;=10,ABS(P356)*0.5,
     IF(ABS(P356)&lt;=15,5+(ABS(P356)-10)*(1.67/5),
        6.67+(ABS(P356)-15)*0.333)),
2)</f>
        <v>2.5</v>
      </c>
    </row>
    <row r="357" spans="1:17" ht="34.5" customHeight="1" x14ac:dyDescent="0.3">
      <c r="A357" s="2">
        <v>2026</v>
      </c>
      <c r="B357" s="2">
        <v>356</v>
      </c>
      <c r="C357" s="17">
        <f>ROUND(MAX(MIN(N357 + Q357, 100), 0), 2)</f>
        <v>69.400000000000006</v>
      </c>
      <c r="D357" s="2" t="s">
        <v>1986</v>
      </c>
      <c r="E357" s="5">
        <v>71</v>
      </c>
      <c r="F357" s="2">
        <v>58</v>
      </c>
      <c r="G357" s="2">
        <v>51</v>
      </c>
      <c r="H357" s="2" t="s">
        <v>1994</v>
      </c>
      <c r="I357" s="2" t="s">
        <v>1385</v>
      </c>
      <c r="J357" s="3" t="s">
        <v>1262</v>
      </c>
      <c r="M357" s="2">
        <f>IF(J357="1000+", 1000, (LEFT(J357,FIND("-",J357)-1)+RIGHT(J357,LEN(J357)-FIND("-",J357)))/2)</f>
        <v>45</v>
      </c>
      <c r="N357" s="2">
        <f>ROUND(E357 * 0.7+F357 * 0.2+G357 * 0.1,2)</f>
        <v>66.400000000000006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65</v>
      </c>
      <c r="P357" s="2">
        <f>E357 - O357</f>
        <v>6</v>
      </c>
      <c r="Q357" s="2">
        <f>ROUND(
  SIGN(P357)*
  IF(ABS(P357)&lt;=10,ABS(P357)*0.5,
     IF(ABS(P357)&lt;=15,5+(ABS(P357)-10)*(1.67/5),
        6.67+(ABS(P357)-15)*0.333)),
2)</f>
        <v>3</v>
      </c>
    </row>
    <row r="358" spans="1:17" ht="34.5" customHeight="1" x14ac:dyDescent="0.3">
      <c r="B358" s="2">
        <v>357</v>
      </c>
      <c r="C358" s="17">
        <f>ROUND(MAX(MIN(N358 + Q358, 100), 0), 2)</f>
        <v>69.3</v>
      </c>
      <c r="D358" s="2" t="s">
        <v>408</v>
      </c>
      <c r="E358" s="5">
        <v>72</v>
      </c>
      <c r="F358" s="7">
        <v>67</v>
      </c>
      <c r="G358" s="2">
        <v>45</v>
      </c>
      <c r="H358" s="2" t="s">
        <v>185</v>
      </c>
      <c r="I358" s="2" t="s">
        <v>72</v>
      </c>
      <c r="J358" s="3" t="s">
        <v>18</v>
      </c>
      <c r="M358" s="2">
        <f>IF(J358="1000+", 1000, (LEFT(J358,FIND("-",J358)-1)+RIGHT(J358,LEN(J358)-FIND("-",J358)))/2)</f>
        <v>75</v>
      </c>
      <c r="N358" s="2">
        <f>ROUND(E358 * 0.7+F358 * 0.2+G358 * 0.1,2)</f>
        <v>68.3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70</v>
      </c>
      <c r="P358" s="2">
        <f>E358 - O358</f>
        <v>2</v>
      </c>
      <c r="Q358" s="2">
        <f>ROUND(
  SIGN(P358)*
  IF(ABS(P358)&lt;=10,ABS(P358)*0.5,
     IF(ABS(P358)&lt;=15,5+(ABS(P358)-10)*(1.67/5),
        6.67+(ABS(P358)-15)*0.333)),
2)</f>
        <v>1</v>
      </c>
    </row>
    <row r="359" spans="1:17" ht="34.5" customHeight="1" x14ac:dyDescent="0.3">
      <c r="B359" s="2">
        <v>358</v>
      </c>
      <c r="C359" s="17">
        <f>ROUND(MAX(MIN(N359 + Q359, 100), 0), 2)</f>
        <v>69.3</v>
      </c>
      <c r="D359" s="2" t="s">
        <v>386</v>
      </c>
      <c r="E359" s="5">
        <v>70</v>
      </c>
      <c r="F359" s="7">
        <v>63</v>
      </c>
      <c r="G359" s="5">
        <v>77</v>
      </c>
      <c r="H359" s="2" t="s">
        <v>31</v>
      </c>
      <c r="I359" s="2" t="s">
        <v>165</v>
      </c>
      <c r="J359" s="3" t="s">
        <v>18</v>
      </c>
      <c r="M359" s="2">
        <f>IF(J359="1000+", 1000, (LEFT(J359,FIND("-",J359)-1)+RIGHT(J359,LEN(J359)-FIND("-",J359)))/2)</f>
        <v>75</v>
      </c>
      <c r="N359" s="2">
        <f>ROUND(E359 * 0.7+F359 * 0.2+G359 * 0.1,2)</f>
        <v>69.3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70</v>
      </c>
      <c r="P359" s="2">
        <f>E359 - O359</f>
        <v>0</v>
      </c>
      <c r="Q359" s="2">
        <f>ROUND(
  SIGN(P359)*
  IF(ABS(P359)&lt;=10,ABS(P359)*0.5,
     IF(ABS(P359)&lt;=15,5+(ABS(P359)-10)*(1.67/5),
        6.67+(ABS(P359)-15)*0.333)),
2)</f>
        <v>0</v>
      </c>
    </row>
    <row r="360" spans="1:17" ht="34.5" customHeight="1" x14ac:dyDescent="0.3">
      <c r="B360" s="2">
        <v>359</v>
      </c>
      <c r="C360" s="17">
        <f>ROUND(MAX(MIN(N360 + Q360, 100), 0), 2)</f>
        <v>69.3</v>
      </c>
      <c r="D360" s="2" t="s">
        <v>350</v>
      </c>
      <c r="E360" s="5">
        <v>71</v>
      </c>
      <c r="F360" s="5">
        <v>76</v>
      </c>
      <c r="G360" s="7">
        <v>64</v>
      </c>
      <c r="H360" s="2" t="s">
        <v>71</v>
      </c>
      <c r="I360" s="2" t="s">
        <v>228</v>
      </c>
      <c r="J360" s="3" t="s">
        <v>140</v>
      </c>
      <c r="M360" s="2">
        <f>IF(J360="1000+", 1000, (LEFT(J360,FIND("-",J360)-1)+RIGHT(J360,LEN(J360)-FIND("-",J360)))/2)</f>
        <v>115</v>
      </c>
      <c r="N360" s="2">
        <f>ROUND(E360 * 0.7+F360 * 0.2+G360 * 0.1,2)</f>
        <v>71.3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75</v>
      </c>
      <c r="P360" s="2">
        <f>E360 - O360</f>
        <v>-4</v>
      </c>
      <c r="Q360" s="2">
        <f>ROUND(
  SIGN(P360)*
  IF(ABS(P360)&lt;=10,ABS(P360)*0.5,
     IF(ABS(P360)&lt;=15,5+(ABS(P360)-10)*(1.67/5),
        6.67+(ABS(P360)-15)*0.333)),
2)</f>
        <v>-2</v>
      </c>
    </row>
    <row r="361" spans="1:17" ht="34.5" customHeight="1" x14ac:dyDescent="0.3">
      <c r="B361" s="2">
        <v>360</v>
      </c>
      <c r="C361" s="17">
        <f>ROUND(MAX(MIN(N361 + Q361, 100), 0), 2)</f>
        <v>69.3</v>
      </c>
      <c r="D361" s="2" t="s">
        <v>258</v>
      </c>
      <c r="E361" s="5">
        <v>74</v>
      </c>
      <c r="F361" s="6">
        <v>85</v>
      </c>
      <c r="G361" s="5">
        <v>75</v>
      </c>
      <c r="H361" s="2" t="s">
        <v>64</v>
      </c>
      <c r="I361" s="2" t="s">
        <v>13</v>
      </c>
      <c r="J361" s="3" t="s">
        <v>42</v>
      </c>
      <c r="M361" s="2">
        <f>IF(J361="1000+", 1000, (LEFT(J361,FIND("-",J361)-1)+RIGHT(J361,LEN(J361)-FIND("-",J361)))/2)</f>
        <v>600</v>
      </c>
      <c r="N361" s="2">
        <f>ROUND(E361 * 0.7+F361 * 0.2+G361 * 0.1,2)</f>
        <v>76.3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90</v>
      </c>
      <c r="P361" s="2">
        <f>E361 - O361</f>
        <v>-16</v>
      </c>
      <c r="Q361" s="2">
        <f>ROUND(
  SIGN(P361)*
  IF(ABS(P361)&lt;=10,ABS(P361)*0.5,
     IF(ABS(P361)&lt;=15,5+(ABS(P361)-10)*(1.67/5),
        6.67+(ABS(P361)-15)*0.333)),
2)</f>
        <v>-7</v>
      </c>
    </row>
    <row r="362" spans="1:17" ht="34.5" customHeight="1" x14ac:dyDescent="0.3">
      <c r="B362" s="2">
        <v>361</v>
      </c>
      <c r="C362" s="17">
        <f>ROUND(MAX(MIN(N362 + Q362, 100), 0), 2)</f>
        <v>69.3</v>
      </c>
      <c r="D362" s="2" t="s">
        <v>277</v>
      </c>
      <c r="E362" s="5">
        <v>72</v>
      </c>
      <c r="F362" s="6">
        <v>85</v>
      </c>
      <c r="G362" s="5">
        <v>79</v>
      </c>
      <c r="H362" s="2" t="s">
        <v>12</v>
      </c>
      <c r="I362" s="2" t="s">
        <v>183</v>
      </c>
      <c r="J362" s="3" t="s">
        <v>14</v>
      </c>
      <c r="M362" s="2">
        <f>IF(J362="1000+", 1000, (LEFT(J362,FIND("-",J362)-1)+RIGHT(J362,LEN(J362)-FIND("-",J362)))/2)</f>
        <v>225</v>
      </c>
      <c r="N362" s="2">
        <f>ROUND(E362 * 0.7+F362 * 0.2+G362 * 0.1,2)</f>
        <v>75.3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85</v>
      </c>
      <c r="P362" s="2">
        <f>E362 - O362</f>
        <v>-13</v>
      </c>
      <c r="Q362" s="2">
        <f>ROUND(
  SIGN(P362)*
  IF(ABS(P362)&lt;=10,ABS(P362)*0.5,
     IF(ABS(P362)&lt;=15,5+(ABS(P362)-10)*(1.67/5),
        6.67+(ABS(P362)-15)*0.333)),
2)</f>
        <v>-6</v>
      </c>
    </row>
    <row r="363" spans="1:17" ht="34.5" customHeight="1" x14ac:dyDescent="0.3">
      <c r="B363" s="2">
        <v>362</v>
      </c>
      <c r="C363" s="17">
        <f>ROUND(MAX(MIN(N363 + Q363, 100), 0), 2)</f>
        <v>69.27</v>
      </c>
      <c r="D363" s="2" t="s">
        <v>588</v>
      </c>
      <c r="E363" s="7">
        <v>68</v>
      </c>
      <c r="F363" s="2">
        <v>50</v>
      </c>
      <c r="G363" s="2">
        <v>40</v>
      </c>
      <c r="H363" s="2" t="s">
        <v>31</v>
      </c>
      <c r="I363" s="2" t="s">
        <v>36</v>
      </c>
      <c r="J363" s="3" t="s">
        <v>92</v>
      </c>
      <c r="M363" s="2">
        <f>IF(J363="1000+", 1000, (LEFT(J363,FIND("-",J363)-1)+RIGHT(J363,LEN(J363)-FIND("-",J363)))/2)</f>
        <v>12.5</v>
      </c>
      <c r="N363" s="2">
        <f>ROUND(E363 * 0.7+F363 * 0.2+G363 * 0.1,2)</f>
        <v>61.6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50</v>
      </c>
      <c r="P363" s="2">
        <f>E363 - O363</f>
        <v>18</v>
      </c>
      <c r="Q363" s="2">
        <f>ROUND(
  SIGN(P363)*
  IF(ABS(P363)&lt;=10,ABS(P363)*0.5,
     IF(ABS(P363)&lt;=15,5+(ABS(P363)-10)*(1.67/5),
        6.67+(ABS(P363)-15)*0.333)),
2)</f>
        <v>7.67</v>
      </c>
    </row>
    <row r="364" spans="1:17" ht="34.5" customHeight="1" x14ac:dyDescent="0.3">
      <c r="A364" s="2">
        <v>2026</v>
      </c>
      <c r="B364" s="2">
        <v>363</v>
      </c>
      <c r="C364" s="17">
        <f>ROUND(MAX(MIN(N364 + Q364, 100), 0), 2)</f>
        <v>69.2</v>
      </c>
      <c r="D364" s="2" t="s">
        <v>1544</v>
      </c>
      <c r="E364" s="5">
        <v>71</v>
      </c>
      <c r="F364" s="2">
        <v>52</v>
      </c>
      <c r="G364" s="2">
        <v>46</v>
      </c>
      <c r="H364" s="2" t="s">
        <v>1564</v>
      </c>
      <c r="I364" s="2" t="s">
        <v>36</v>
      </c>
      <c r="J364" s="3" t="s">
        <v>1570</v>
      </c>
      <c r="M364" s="2">
        <f>IF(J364="1000+", 1000, (LEFT(J364,FIND("-",J364)-1)+RIGHT(J364,LEN(J364)-FIND("-",J364)))/2)</f>
        <v>30</v>
      </c>
      <c r="N364" s="2">
        <f>ROUND(E364 * 0.7+F364 * 0.2+G364 * 0.1,2)</f>
        <v>64.7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62</v>
      </c>
      <c r="P364" s="2">
        <f>E364 - O364</f>
        <v>9</v>
      </c>
      <c r="Q364" s="2">
        <f>ROUND(
  SIGN(P364)*
  IF(ABS(P364)&lt;=10,ABS(P364)*0.5,
     IF(ABS(P364)&lt;=15,5+(ABS(P364)-10)*(1.67/5),
        6.67+(ABS(P364)-15)*0.333)),
2)</f>
        <v>4.5</v>
      </c>
    </row>
    <row r="365" spans="1:17" ht="34.5" customHeight="1" x14ac:dyDescent="0.3">
      <c r="B365" s="2">
        <v>364</v>
      </c>
      <c r="C365" s="17">
        <f>ROUND(MAX(MIN(N365 + Q365, 100), 0), 2)</f>
        <v>69.2</v>
      </c>
      <c r="D365" s="2" t="s">
        <v>412</v>
      </c>
      <c r="E365" s="5">
        <v>71</v>
      </c>
      <c r="F365" s="2">
        <v>55</v>
      </c>
      <c r="G365" s="2">
        <v>55</v>
      </c>
      <c r="H365" s="2" t="s">
        <v>48</v>
      </c>
      <c r="I365" s="2" t="s">
        <v>218</v>
      </c>
      <c r="J365" s="3" t="s">
        <v>32</v>
      </c>
      <c r="K365" s="2" t="s">
        <v>413</v>
      </c>
      <c r="M365" s="2">
        <f>IF(J365="1000+", 1000, (LEFT(J365,FIND("-",J365)-1)+RIGHT(J365,LEN(J365)-FIND("-",J365)))/2)</f>
        <v>45</v>
      </c>
      <c r="N365" s="2">
        <f>ROUND(E365 * 0.7+F365 * 0.2+G365 * 0.1,2)</f>
        <v>66.2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65</v>
      </c>
      <c r="P365" s="2">
        <f>E365 - O365</f>
        <v>6</v>
      </c>
      <c r="Q365" s="2">
        <f>ROUND(
  SIGN(P365)*
  IF(ABS(P365)&lt;=10,ABS(P365)*0.5,
     IF(ABS(P365)&lt;=15,5+(ABS(P365)-10)*(1.67/5),
        6.67+(ABS(P365)-15)*0.333)),
2)</f>
        <v>3</v>
      </c>
    </row>
    <row r="366" spans="1:17" ht="34.5" customHeight="1" x14ac:dyDescent="0.3">
      <c r="A366" s="2">
        <v>2026</v>
      </c>
      <c r="B366" s="2">
        <v>365</v>
      </c>
      <c r="C366" s="17">
        <f>ROUND(MAX(MIN(N366 + Q366, 100), 0), 2)</f>
        <v>69.2</v>
      </c>
      <c r="D366" s="2" t="s">
        <v>1401</v>
      </c>
      <c r="E366" s="5">
        <v>74</v>
      </c>
      <c r="F366" s="7">
        <v>68</v>
      </c>
      <c r="G366" s="7">
        <v>68</v>
      </c>
      <c r="H366" s="2" t="s">
        <v>1409</v>
      </c>
      <c r="I366" s="2" t="s">
        <v>1423</v>
      </c>
      <c r="J366" s="3" t="s">
        <v>1430</v>
      </c>
      <c r="M366" s="2">
        <f>IF(J366="1000+", 1000, (LEFT(J366,FIND("-",J366)-1)+RIGHT(J366,LEN(J366)-FIND("-",J366)))/2)</f>
        <v>150</v>
      </c>
      <c r="N366" s="2">
        <f>ROUND(E366 * 0.7+F366 * 0.2+G366 * 0.1,2)</f>
        <v>72.2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80</v>
      </c>
      <c r="P366" s="2">
        <f>E366 - O366</f>
        <v>-6</v>
      </c>
      <c r="Q366" s="2">
        <f>ROUND(
  SIGN(P366)*
  IF(ABS(P366)&lt;=10,ABS(P366)*0.5,
     IF(ABS(P366)&lt;=15,5+(ABS(P366)-10)*(1.67/5),
        6.67+(ABS(P366)-15)*0.333)),
2)</f>
        <v>-3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69.17</v>
      </c>
      <c r="D367" s="2" t="s">
        <v>1403</v>
      </c>
      <c r="E367" s="5">
        <v>70</v>
      </c>
      <c r="F367" s="2">
        <v>50</v>
      </c>
      <c r="G367" s="2">
        <v>35</v>
      </c>
      <c r="H367" s="2" t="s">
        <v>1409</v>
      </c>
      <c r="I367" s="2" t="s">
        <v>1424</v>
      </c>
      <c r="J367" s="3" t="s">
        <v>1432</v>
      </c>
      <c r="K367" s="2" t="s">
        <v>1435</v>
      </c>
      <c r="M367" s="2">
        <f>IF(J367="1000+", 1000, (LEFT(J367,FIND("-",J367)-1)+RIGHT(J367,LEN(J367)-FIND("-",J367)))/2)</f>
        <v>15</v>
      </c>
      <c r="N367" s="2">
        <f>ROUND(E367 * 0.7+F367 * 0.2+G367 * 0.1,2)</f>
        <v>62.5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55</v>
      </c>
      <c r="P367" s="2">
        <f>E367 - O367</f>
        <v>15</v>
      </c>
      <c r="Q367" s="2">
        <f>ROUND(
  SIGN(P367)*
  IF(ABS(P367)&lt;=10,ABS(P367)*0.5,
     IF(ABS(P367)&lt;=15,5+(ABS(P367)-10)*(1.67/5),
        6.67+(ABS(P367)-15)*0.333)),
2)</f>
        <v>6.67</v>
      </c>
    </row>
    <row r="368" spans="1:17" ht="34.5" customHeight="1" x14ac:dyDescent="0.3">
      <c r="B368" s="2">
        <v>367</v>
      </c>
      <c r="C368" s="17">
        <f>ROUND(MAX(MIN(N368 + Q368, 100), 0), 2)</f>
        <v>69.099999999999994</v>
      </c>
      <c r="D368" s="2" t="s">
        <v>398</v>
      </c>
      <c r="E368" s="5">
        <v>70</v>
      </c>
      <c r="F368" s="7">
        <v>65</v>
      </c>
      <c r="G368" s="7">
        <v>61</v>
      </c>
      <c r="H368" s="2" t="s">
        <v>322</v>
      </c>
      <c r="I368" s="2" t="s">
        <v>27</v>
      </c>
      <c r="J368" s="3" t="s">
        <v>23</v>
      </c>
      <c r="M368" s="2">
        <f>IF(J368="1000+", 1000, (LEFT(J368,FIND("-",J368)-1)+RIGHT(J368,LEN(J368)-FIND("-",J368)))/2)</f>
        <v>60</v>
      </c>
      <c r="N368" s="2">
        <f>ROUND(E368 * 0.7+F368 * 0.2+G368 * 0.1,2)</f>
        <v>68.099999999999994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68</v>
      </c>
      <c r="P368" s="2">
        <f>E368 - O368</f>
        <v>2</v>
      </c>
      <c r="Q368" s="2">
        <f>ROUND(
  SIGN(P368)*
  IF(ABS(P368)&lt;=10,ABS(P368)*0.5,
     IF(ABS(P368)&lt;=15,5+(ABS(P368)-10)*(1.67/5),
        6.67+(ABS(P368)-15)*0.333)),
2)</f>
        <v>1</v>
      </c>
    </row>
    <row r="369" spans="1:17" ht="34.5" customHeight="1" x14ac:dyDescent="0.3">
      <c r="B369" s="2">
        <v>368</v>
      </c>
      <c r="C369" s="17">
        <f>ROUND(MAX(MIN(N369 + Q369, 100), 0), 2)</f>
        <v>69.099999999999994</v>
      </c>
      <c r="D369" s="2" t="s">
        <v>395</v>
      </c>
      <c r="E369" s="5">
        <v>70</v>
      </c>
      <c r="F369" s="7">
        <v>68</v>
      </c>
      <c r="G369" s="2">
        <v>55</v>
      </c>
      <c r="H369" s="2" t="s">
        <v>396</v>
      </c>
      <c r="I369" s="2" t="s">
        <v>72</v>
      </c>
      <c r="J369" s="3" t="s">
        <v>23</v>
      </c>
      <c r="M369" s="2">
        <f>IF(J369="1000+", 1000, (LEFT(J369,FIND("-",J369)-1)+RIGHT(J369,LEN(J369)-FIND("-",J369)))/2)</f>
        <v>60</v>
      </c>
      <c r="N369" s="2">
        <f>ROUND(E369 * 0.7+F369 * 0.2+G369 * 0.1,2)</f>
        <v>68.099999999999994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68</v>
      </c>
      <c r="P369" s="2">
        <f>E369 - O369</f>
        <v>2</v>
      </c>
      <c r="Q369" s="2">
        <f>ROUND(
  SIGN(P369)*
  IF(ABS(P369)&lt;=10,ABS(P369)*0.5,
     IF(ABS(P369)&lt;=15,5+(ABS(P369)-10)*(1.67/5),
        6.67+(ABS(P369)-15)*0.333)),
2)</f>
        <v>1</v>
      </c>
    </row>
    <row r="370" spans="1:17" ht="34.5" customHeight="1" x14ac:dyDescent="0.3">
      <c r="B370" s="2">
        <v>369</v>
      </c>
      <c r="C370" s="17">
        <f>ROUND(MAX(MIN(N370 + Q370, 100), 0), 2)</f>
        <v>69.099999999999994</v>
      </c>
      <c r="D370" s="2" t="s">
        <v>326</v>
      </c>
      <c r="E370" s="5">
        <v>75</v>
      </c>
      <c r="F370" s="5">
        <v>75</v>
      </c>
      <c r="G370" s="7">
        <v>66</v>
      </c>
      <c r="H370" s="2" t="s">
        <v>291</v>
      </c>
      <c r="I370" s="2" t="s">
        <v>13</v>
      </c>
      <c r="J370" s="3" t="s">
        <v>14</v>
      </c>
      <c r="M370" s="2">
        <f>IF(J370="1000+", 1000, (LEFT(J370,FIND("-",J370)-1)+RIGHT(J370,LEN(J370)-FIND("-",J370)))/2)</f>
        <v>225</v>
      </c>
      <c r="N370" s="2">
        <f>ROUND(E370 * 0.7+F370 * 0.2+G370 * 0.1,2)</f>
        <v>74.099999999999994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85</v>
      </c>
      <c r="P370" s="2">
        <f>E370 - O370</f>
        <v>-10</v>
      </c>
      <c r="Q370" s="2">
        <f>ROUND(
  SIGN(P370)*
  IF(ABS(P370)&lt;=10,ABS(P370)*0.5,
     IF(ABS(P370)&lt;=15,5+(ABS(P370)-10)*(1.67/5),
        6.67+(ABS(P370)-15)*0.333)),
2)</f>
        <v>-5</v>
      </c>
    </row>
    <row r="371" spans="1:17" ht="34.5" customHeight="1" x14ac:dyDescent="0.3">
      <c r="B371" s="2">
        <v>370</v>
      </c>
      <c r="C371" s="17">
        <f>ROUND(MAX(MIN(N371 + Q371, 100), 0), 2)</f>
        <v>69</v>
      </c>
      <c r="D371" s="2" t="s">
        <v>442</v>
      </c>
      <c r="E371" s="5">
        <v>73</v>
      </c>
      <c r="F371" s="2">
        <v>58</v>
      </c>
      <c r="G371" s="2">
        <v>48</v>
      </c>
      <c r="H371" s="2" t="s">
        <v>48</v>
      </c>
      <c r="I371" s="2" t="s">
        <v>177</v>
      </c>
      <c r="J371" s="3" t="s">
        <v>18</v>
      </c>
      <c r="M371" s="2">
        <f>IF(J371="1000+", 1000, (LEFT(J371,FIND("-",J371)-1)+RIGHT(J371,LEN(J371)-FIND("-",J371)))/2)</f>
        <v>75</v>
      </c>
      <c r="N371" s="2">
        <f>ROUND(E371 * 0.7+F371 * 0.2+G371 * 0.1,2)</f>
        <v>67.5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70</v>
      </c>
      <c r="P371" s="2">
        <f>E371 - O371</f>
        <v>3</v>
      </c>
      <c r="Q371" s="2">
        <f>ROUND(
  SIGN(P371)*
  IF(ABS(P371)&lt;=10,ABS(P371)*0.5,
     IF(ABS(P371)&lt;=15,5+(ABS(P371)-10)*(1.67/5),
        6.67+(ABS(P371)-15)*0.333)),
2)</f>
        <v>1.5</v>
      </c>
    </row>
    <row r="372" spans="1:17" ht="34.5" customHeight="1" x14ac:dyDescent="0.3">
      <c r="B372" s="2">
        <v>371</v>
      </c>
      <c r="C372" s="17">
        <f>ROUND(MAX(MIN(N372 + Q372, 100), 0), 2)</f>
        <v>69</v>
      </c>
      <c r="D372" s="2" t="s">
        <v>331</v>
      </c>
      <c r="E372" s="5">
        <v>70</v>
      </c>
      <c r="F372" s="5">
        <v>77</v>
      </c>
      <c r="G372" s="5">
        <v>71</v>
      </c>
      <c r="H372" s="2" t="s">
        <v>48</v>
      </c>
      <c r="I372" s="2" t="s">
        <v>332</v>
      </c>
      <c r="J372" s="3" t="s">
        <v>140</v>
      </c>
      <c r="M372" s="2">
        <f>IF(J372="1000+", 1000, (LEFT(J372,FIND("-",J372)-1)+RIGHT(J372,LEN(J372)-FIND("-",J372)))/2)</f>
        <v>115</v>
      </c>
      <c r="N372" s="2">
        <f>ROUND(E372 * 0.7+F372 * 0.2+G372 * 0.1,2)</f>
        <v>71.5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75</v>
      </c>
      <c r="P372" s="2">
        <f>E372 - O372</f>
        <v>-5</v>
      </c>
      <c r="Q372" s="2">
        <f>ROUND(
  SIGN(P372)*
  IF(ABS(P372)&lt;=10,ABS(P372)*0.5,
     IF(ABS(P372)&lt;=15,5+(ABS(P372)-10)*(1.67/5),
        6.67+(ABS(P372)-15)*0.333)),
2)</f>
        <v>-2.5</v>
      </c>
    </row>
    <row r="373" spans="1:17" ht="34.5" customHeight="1" x14ac:dyDescent="0.3">
      <c r="B373" s="2">
        <v>372</v>
      </c>
      <c r="C373" s="17">
        <f>ROUND(MAX(MIN(N373 + Q373, 100), 0), 2)</f>
        <v>68.900000000000006</v>
      </c>
      <c r="D373" s="2" t="s">
        <v>526</v>
      </c>
      <c r="E373" s="5">
        <v>72</v>
      </c>
      <c r="F373" s="2">
        <v>50</v>
      </c>
      <c r="G373" s="2">
        <v>35</v>
      </c>
      <c r="H373" s="2" t="s">
        <v>149</v>
      </c>
      <c r="I373" s="2" t="s">
        <v>36</v>
      </c>
      <c r="J373" s="3" t="s">
        <v>146</v>
      </c>
      <c r="K373" s="2" t="s">
        <v>527</v>
      </c>
      <c r="M373" s="2">
        <f>IF(J373="1000+", 1000, (LEFT(J373,FIND("-",J373)-1)+RIGHT(J373,LEN(J373)-FIND("-",J373)))/2)</f>
        <v>30</v>
      </c>
      <c r="N373" s="2">
        <f>ROUND(E373 * 0.7+F373 * 0.2+G373 * 0.1,2)</f>
        <v>63.9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62</v>
      </c>
      <c r="P373" s="2">
        <f>E373 - O373</f>
        <v>10</v>
      </c>
      <c r="Q373" s="2">
        <f>ROUND(
  SIGN(P373)*
  IF(ABS(P373)&lt;=10,ABS(P373)*0.5,
     IF(ABS(P373)&lt;=15,5+(ABS(P373)-10)*(1.67/5),
        6.67+(ABS(P373)-15)*0.333)),
2)</f>
        <v>5</v>
      </c>
    </row>
    <row r="374" spans="1:17" ht="34.5" customHeight="1" x14ac:dyDescent="0.3">
      <c r="B374" s="2">
        <v>373</v>
      </c>
      <c r="C374" s="17">
        <f>ROUND(MAX(MIN(N374 + Q374, 100), 0), 2)</f>
        <v>68.900000000000006</v>
      </c>
      <c r="D374" s="2" t="s">
        <v>528</v>
      </c>
      <c r="E374" s="5">
        <v>70</v>
      </c>
      <c r="F374" s="2">
        <v>57</v>
      </c>
      <c r="G374" s="2">
        <v>35</v>
      </c>
      <c r="H374" s="2" t="s">
        <v>153</v>
      </c>
      <c r="I374" s="2" t="s">
        <v>36</v>
      </c>
      <c r="J374" s="3" t="s">
        <v>132</v>
      </c>
      <c r="M374" s="2">
        <f>IF(J374="1000+", 1000, (LEFT(J374,FIND("-",J374)-1)+RIGHT(J374,LEN(J374)-FIND("-",J374)))/2)</f>
        <v>20</v>
      </c>
      <c r="N374" s="2">
        <f>ROUND(E374 * 0.7+F374 * 0.2+G374 * 0.1,2)</f>
        <v>63.9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60</v>
      </c>
      <c r="P374" s="2">
        <f>E374 - O374</f>
        <v>10</v>
      </c>
      <c r="Q374" s="2">
        <f>ROUND(
  SIGN(P374)*
  IF(ABS(P374)&lt;=10,ABS(P374)*0.5,
     IF(ABS(P374)&lt;=15,5+(ABS(P374)-10)*(1.67/5),
        6.67+(ABS(P374)-15)*0.333)),
2)</f>
        <v>5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68.900000000000006</v>
      </c>
      <c r="D375" s="2" t="s">
        <v>1359</v>
      </c>
      <c r="E375" s="7">
        <v>69</v>
      </c>
      <c r="F375" s="7">
        <v>60</v>
      </c>
      <c r="G375" s="2">
        <v>51</v>
      </c>
      <c r="H375" s="2" t="s">
        <v>1256</v>
      </c>
      <c r="I375" s="2" t="s">
        <v>1258</v>
      </c>
      <c r="J375" s="3" t="s">
        <v>1263</v>
      </c>
      <c r="M375" s="2">
        <f>IF(J375="1000+", 1000, (LEFT(J375,FIND("-",J375)-1)+RIGHT(J375,LEN(J375)-FIND("-",J375)))/2)</f>
        <v>30</v>
      </c>
      <c r="N375" s="2">
        <f>ROUND(E375 * 0.7+F375 * 0.2+G375 * 0.1,2)</f>
        <v>65.400000000000006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62</v>
      </c>
      <c r="P375" s="2">
        <f>E375 - O375</f>
        <v>7</v>
      </c>
      <c r="Q375" s="2">
        <f>ROUND(
  SIGN(P375)*
  IF(ABS(P375)&lt;=10,ABS(P375)*0.5,
     IF(ABS(P375)&lt;=15,5+(ABS(P375)-10)*(1.67/5),
        6.67+(ABS(P375)-15)*0.333)),
2)</f>
        <v>3.5</v>
      </c>
    </row>
    <row r="376" spans="1:17" ht="34.5" customHeight="1" x14ac:dyDescent="0.3">
      <c r="B376" s="2">
        <v>375</v>
      </c>
      <c r="C376" s="17">
        <f>ROUND(MAX(MIN(N376 + Q376, 100), 0), 2)</f>
        <v>68.900000000000006</v>
      </c>
      <c r="D376" s="2" t="s">
        <v>377</v>
      </c>
      <c r="E376" s="5">
        <v>70</v>
      </c>
      <c r="F376" s="7">
        <v>65</v>
      </c>
      <c r="G376" s="7">
        <v>69</v>
      </c>
      <c r="H376" s="2" t="s">
        <v>61</v>
      </c>
      <c r="I376" s="2" t="s">
        <v>72</v>
      </c>
      <c r="J376" s="3" t="s">
        <v>18</v>
      </c>
      <c r="M376" s="2">
        <f>IF(J376="1000+", 1000, (LEFT(J376,FIND("-",J376)-1)+RIGHT(J376,LEN(J376)-FIND("-",J376)))/2)</f>
        <v>75</v>
      </c>
      <c r="N376" s="2">
        <f>ROUND(E376 * 0.7+F376 * 0.2+G376 * 0.1,2)</f>
        <v>68.900000000000006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70</v>
      </c>
      <c r="P376" s="2">
        <f>E376 - O376</f>
        <v>0</v>
      </c>
      <c r="Q376" s="2">
        <f>ROUND(
  SIGN(P376)*
  IF(ABS(P376)&lt;=10,ABS(P376)*0.5,
     IF(ABS(P376)&lt;=15,5+(ABS(P376)-10)*(1.67/5),
        6.67+(ABS(P376)-15)*0.333)),
2)</f>
        <v>0</v>
      </c>
    </row>
    <row r="377" spans="1:17" ht="34.5" customHeight="1" x14ac:dyDescent="0.3">
      <c r="B377" s="2">
        <v>376</v>
      </c>
      <c r="C377" s="17">
        <f>ROUND(MAX(MIN(N377 + Q377, 100), 0), 2)</f>
        <v>68.83</v>
      </c>
      <c r="D377" s="2" t="s">
        <v>492</v>
      </c>
      <c r="E377" s="5">
        <v>71</v>
      </c>
      <c r="F377" s="2">
        <v>45</v>
      </c>
      <c r="G377" s="2">
        <v>48</v>
      </c>
      <c r="H377" s="2" t="s">
        <v>135</v>
      </c>
      <c r="I377" s="2" t="s">
        <v>36</v>
      </c>
      <c r="J377" s="3" t="s">
        <v>132</v>
      </c>
      <c r="K377" s="2" t="s">
        <v>215</v>
      </c>
      <c r="M377" s="2">
        <f>IF(J377="1000+", 1000, (LEFT(J377,FIND("-",J377)-1)+RIGHT(J377,LEN(J377)-FIND("-",J377)))/2)</f>
        <v>20</v>
      </c>
      <c r="N377" s="2">
        <f>ROUND(E377 * 0.7+F377 * 0.2+G377 * 0.1,2)</f>
        <v>63.5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60</v>
      </c>
      <c r="P377" s="2">
        <f>E377 - O377</f>
        <v>11</v>
      </c>
      <c r="Q377" s="2">
        <f>ROUND(
  SIGN(P377)*
  IF(ABS(P377)&lt;=10,ABS(P377)*0.5,
     IF(ABS(P377)&lt;=15,5+(ABS(P377)-10)*(1.67/5),
        6.67+(ABS(P377)-15)*0.333)),
2)</f>
        <v>5.33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68.8</v>
      </c>
      <c r="D378" s="2" t="s">
        <v>1496</v>
      </c>
      <c r="E378" s="5">
        <v>73</v>
      </c>
      <c r="F378" s="2">
        <v>51</v>
      </c>
      <c r="G378" s="2">
        <v>50</v>
      </c>
      <c r="H378" s="2" t="s">
        <v>1518</v>
      </c>
      <c r="I378" s="2" t="s">
        <v>1525</v>
      </c>
      <c r="J378" s="3" t="s">
        <v>1535</v>
      </c>
      <c r="K378" s="2" t="s">
        <v>1530</v>
      </c>
      <c r="M378" s="2">
        <f>IF(J378="1000+", 1000, (LEFT(J378,FIND("-",J378)-1)+RIGHT(J378,LEN(J378)-FIND("-",J378)))/2)</f>
        <v>60</v>
      </c>
      <c r="N378" s="2">
        <f>ROUND(E378 * 0.7+F378 * 0.2+G378 * 0.1,2)</f>
        <v>66.3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68</v>
      </c>
      <c r="P378" s="2">
        <f>E378 - O378</f>
        <v>5</v>
      </c>
      <c r="Q378" s="2">
        <f>ROUND(
  SIGN(P378)*
  IF(ABS(P378)&lt;=10,ABS(P378)*0.5,
     IF(ABS(P378)&lt;=15,5+(ABS(P378)-10)*(1.67/5),
        6.67+(ABS(P378)-15)*0.333)),
2)</f>
        <v>2.5</v>
      </c>
    </row>
    <row r="379" spans="1:17" ht="34.5" customHeight="1" x14ac:dyDescent="0.3">
      <c r="B379" s="2">
        <v>378</v>
      </c>
      <c r="C379" s="17">
        <f>ROUND(MAX(MIN(N379 + Q379, 100), 0), 2)</f>
        <v>68.77</v>
      </c>
      <c r="D379" s="2" t="s">
        <v>572</v>
      </c>
      <c r="E379" s="5">
        <v>79</v>
      </c>
      <c r="F379" s="7">
        <v>68</v>
      </c>
      <c r="G379" s="2">
        <v>52</v>
      </c>
      <c r="H379" s="2" t="s">
        <v>87</v>
      </c>
      <c r="I379" s="2" t="s">
        <v>27</v>
      </c>
      <c r="J379" s="3" t="s">
        <v>42</v>
      </c>
      <c r="M379" s="2">
        <f>IF(J379="1000+", 1000, (LEFT(J379,FIND("-",J379)-1)+RIGHT(J379,LEN(J379)-FIND("-",J379)))/2)</f>
        <v>600</v>
      </c>
      <c r="N379" s="2">
        <f>ROUND(E379 * 0.7+F379 * 0.2+G379 * 0.1,2)</f>
        <v>74.099999999999994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90</v>
      </c>
      <c r="P379" s="2">
        <f>E379 - O379</f>
        <v>-11</v>
      </c>
      <c r="Q379" s="2">
        <f>ROUND(
  SIGN(P379)*
  IF(ABS(P379)&lt;=10,ABS(P379)*0.5,
     IF(ABS(P379)&lt;=15,5+(ABS(P379)-10)*(1.67/5),
        6.67+(ABS(P379)-15)*0.333)),
2)</f>
        <v>-5.33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68.7</v>
      </c>
      <c r="D380" s="2" t="s">
        <v>1963</v>
      </c>
      <c r="E380" s="7">
        <v>69</v>
      </c>
      <c r="F380" s="7">
        <v>67</v>
      </c>
      <c r="G380" s="2">
        <v>50</v>
      </c>
      <c r="H380" s="2" t="s">
        <v>1256</v>
      </c>
      <c r="I380" s="2" t="s">
        <v>1334</v>
      </c>
      <c r="J380" s="3" t="s">
        <v>1262</v>
      </c>
      <c r="M380" s="2">
        <f>IF(J380="1000+", 1000, (LEFT(J380,FIND("-",J380)-1)+RIGHT(J380,LEN(J380)-FIND("-",J380)))/2)</f>
        <v>45</v>
      </c>
      <c r="N380" s="2">
        <f>ROUND(E380 * 0.7+F380 * 0.2+G380 * 0.1,2)</f>
        <v>66.7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65</v>
      </c>
      <c r="P380" s="2">
        <f>E380 - O380</f>
        <v>4</v>
      </c>
      <c r="Q380" s="2">
        <f>ROUND(
  SIGN(P380)*
  IF(ABS(P380)&lt;=10,ABS(P380)*0.5,
     IF(ABS(P380)&lt;=15,5+(ABS(P380)-10)*(1.67/5),
        6.67+(ABS(P380)-15)*0.333)),
2)</f>
        <v>2</v>
      </c>
    </row>
    <row r="381" spans="1:17" ht="34.5" customHeight="1" x14ac:dyDescent="0.3">
      <c r="A381" s="2">
        <v>2026</v>
      </c>
      <c r="B381" s="2">
        <v>380</v>
      </c>
      <c r="C381" s="17">
        <f>ROUND(MAX(MIN(N381 + Q381, 100), 0), 2)</f>
        <v>68.7</v>
      </c>
      <c r="D381" s="2" t="s">
        <v>1604</v>
      </c>
      <c r="E381" s="7">
        <v>69</v>
      </c>
      <c r="F381" s="2">
        <v>59</v>
      </c>
      <c r="G381" s="2">
        <v>41</v>
      </c>
      <c r="H381" s="2" t="s">
        <v>1615</v>
      </c>
      <c r="I381" s="2" t="s">
        <v>36</v>
      </c>
      <c r="J381" s="3" t="s">
        <v>1623</v>
      </c>
      <c r="M381" s="2">
        <f>IF(J381="1000+", 1000, (LEFT(J381,FIND("-",J381)-1)+RIGHT(J381,LEN(J381)-FIND("-",J381)))/2)</f>
        <v>20</v>
      </c>
      <c r="N381" s="2">
        <f>ROUND(E381 * 0.7+F381 * 0.2+G381 * 0.1,2)</f>
        <v>64.2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60</v>
      </c>
      <c r="P381" s="2">
        <f>E381 - O381</f>
        <v>9</v>
      </c>
      <c r="Q381" s="2">
        <f>ROUND(
  SIGN(P381)*
  IF(ABS(P381)&lt;=10,ABS(P381)*0.5,
     IF(ABS(P381)&lt;=15,5+(ABS(P381)-10)*(1.67/5),
        6.67+(ABS(P381)-15)*0.333)),
2)</f>
        <v>4.5</v>
      </c>
    </row>
    <row r="382" spans="1:17" ht="34.5" customHeight="1" x14ac:dyDescent="0.3">
      <c r="B382" s="2">
        <v>381</v>
      </c>
      <c r="C382" s="17">
        <f>ROUND(MAX(MIN(N382 + Q382, 100), 0), 2)</f>
        <v>68.7</v>
      </c>
      <c r="D382" s="2" t="s">
        <v>387</v>
      </c>
      <c r="E382" s="5">
        <v>74</v>
      </c>
      <c r="F382" s="7">
        <v>62</v>
      </c>
      <c r="G382" s="2">
        <v>50</v>
      </c>
      <c r="H382" s="2" t="s">
        <v>185</v>
      </c>
      <c r="I382" s="2" t="s">
        <v>79</v>
      </c>
      <c r="J382" s="3" t="s">
        <v>140</v>
      </c>
      <c r="K382" s="2" t="s">
        <v>388</v>
      </c>
      <c r="M382" s="2">
        <f>IF(J382="1000+", 1000, (LEFT(J382,FIND("-",J382)-1)+RIGHT(J382,LEN(J382)-FIND("-",J382)))/2)</f>
        <v>115</v>
      </c>
      <c r="N382" s="2">
        <f>ROUND(E382 * 0.7+F382 * 0.2+G382 * 0.1,2)</f>
        <v>69.2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75</v>
      </c>
      <c r="P382" s="2">
        <f>E382 - O382</f>
        <v>-1</v>
      </c>
      <c r="Q382" s="2">
        <f>ROUND(
  SIGN(P382)*
  IF(ABS(P382)&lt;=10,ABS(P382)*0.5,
     IF(ABS(P382)&lt;=15,5+(ABS(P382)-10)*(1.67/5),
        6.67+(ABS(P382)-15)*0.333)),
2)</f>
        <v>-0.5</v>
      </c>
    </row>
    <row r="383" spans="1:17" ht="34.5" customHeight="1" x14ac:dyDescent="0.3">
      <c r="B383" s="2">
        <v>382</v>
      </c>
      <c r="C383" s="17">
        <f>ROUND(MAX(MIN(N383 + Q383, 100), 0), 2)</f>
        <v>68.7</v>
      </c>
      <c r="D383" s="2" t="s">
        <v>453</v>
      </c>
      <c r="E383" s="5">
        <v>70</v>
      </c>
      <c r="F383" s="7">
        <v>60</v>
      </c>
      <c r="G383" s="2">
        <v>52</v>
      </c>
      <c r="H383" s="2" t="s">
        <v>48</v>
      </c>
      <c r="I383" s="2" t="s">
        <v>41</v>
      </c>
      <c r="J383" s="3" t="s">
        <v>32</v>
      </c>
      <c r="M383" s="2">
        <f>IF(J383="1000+", 1000, (LEFT(J383,FIND("-",J383)-1)+RIGHT(J383,LEN(J383)-FIND("-",J383)))/2)</f>
        <v>45</v>
      </c>
      <c r="N383" s="2">
        <f>ROUND(E383 * 0.7+F383 * 0.2+G383 * 0.1,2)</f>
        <v>66.2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65</v>
      </c>
      <c r="P383" s="2">
        <f>E383 - O383</f>
        <v>5</v>
      </c>
      <c r="Q383" s="2">
        <f>ROUND(
  SIGN(P383)*
  IF(ABS(P383)&lt;=10,ABS(P383)*0.5,
     IF(ABS(P383)&lt;=15,5+(ABS(P383)-10)*(1.67/5),
        6.67+(ABS(P383)-15)*0.333)),
2)</f>
        <v>2.5</v>
      </c>
    </row>
    <row r="384" spans="1:17" ht="34.5" customHeight="1" x14ac:dyDescent="0.3">
      <c r="A384" s="2">
        <v>2026</v>
      </c>
      <c r="B384" s="2">
        <v>383</v>
      </c>
      <c r="C384" s="17">
        <f>ROUND(MAX(MIN(N384 + Q384, 100), 0), 2)</f>
        <v>68.7</v>
      </c>
      <c r="D384" s="2" t="s">
        <v>1835</v>
      </c>
      <c r="E384" s="5">
        <v>72</v>
      </c>
      <c r="F384" s="7">
        <v>68</v>
      </c>
      <c r="G384" s="7">
        <v>62</v>
      </c>
      <c r="H384" s="2" t="s">
        <v>1256</v>
      </c>
      <c r="I384" s="2" t="s">
        <v>1589</v>
      </c>
      <c r="J384" s="3" t="s">
        <v>1301</v>
      </c>
      <c r="M384" s="2">
        <f>IF(J384="1000+", 1000, (LEFT(J384,FIND("-",J384)-1)+RIGHT(J384,LEN(J384)-FIND("-",J384)))/2)</f>
        <v>115</v>
      </c>
      <c r="N384" s="2">
        <f>ROUND(E384 * 0.7+F384 * 0.2+G384 * 0.1,2)</f>
        <v>70.2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75</v>
      </c>
      <c r="P384" s="2">
        <f>E384 - O384</f>
        <v>-3</v>
      </c>
      <c r="Q384" s="2">
        <f>ROUND(
  SIGN(P384)*
  IF(ABS(P384)&lt;=10,ABS(P384)*0.5,
     IF(ABS(P384)&lt;=15,5+(ABS(P384)-10)*(1.67/5),
        6.67+(ABS(P384)-15)*0.333)),
2)</f>
        <v>-1.5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68.599999999999994</v>
      </c>
      <c r="D385" s="2" t="s">
        <v>1821</v>
      </c>
      <c r="E385" s="5">
        <v>72</v>
      </c>
      <c r="F385" s="7">
        <v>65</v>
      </c>
      <c r="G385" s="7">
        <v>67</v>
      </c>
      <c r="H385" s="2" t="s">
        <v>1256</v>
      </c>
      <c r="I385" s="2" t="s">
        <v>1258</v>
      </c>
      <c r="J385" s="3" t="s">
        <v>1301</v>
      </c>
      <c r="M385" s="2">
        <f>IF(J385="1000+", 1000, (LEFT(J385,FIND("-",J385)-1)+RIGHT(J385,LEN(J385)-FIND("-",J385)))/2)</f>
        <v>115</v>
      </c>
      <c r="N385" s="2">
        <f>ROUND(E385 * 0.7+F385 * 0.2+G385 * 0.1,2)</f>
        <v>70.099999999999994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75</v>
      </c>
      <c r="P385" s="2">
        <f>E385 - O385</f>
        <v>-3</v>
      </c>
      <c r="Q385" s="2">
        <f>ROUND(
  SIGN(P385)*
  IF(ABS(P385)&lt;=10,ABS(P385)*0.5,
     IF(ABS(P385)&lt;=15,5+(ABS(P385)-10)*(1.67/5),
        6.67+(ABS(P385)-15)*0.333)),
2)</f>
        <v>-1.5</v>
      </c>
    </row>
    <row r="386" spans="1:17" ht="34.5" customHeight="1" x14ac:dyDescent="0.3">
      <c r="A386" s="2">
        <v>2026</v>
      </c>
      <c r="B386" s="2">
        <v>385</v>
      </c>
      <c r="C386" s="17">
        <f>ROUND(MAX(MIN(N386 + Q386, 100), 0), 2)</f>
        <v>68.599999999999994</v>
      </c>
      <c r="D386" s="2" t="s">
        <v>328</v>
      </c>
      <c r="E386" s="5">
        <v>71</v>
      </c>
      <c r="F386" s="7">
        <v>68</v>
      </c>
      <c r="G386" s="2">
        <v>58</v>
      </c>
      <c r="H386" s="2" t="s">
        <v>45</v>
      </c>
      <c r="I386" s="2" t="s">
        <v>36</v>
      </c>
      <c r="J386" s="3" t="s">
        <v>122</v>
      </c>
      <c r="K386" s="2" t="s">
        <v>329</v>
      </c>
      <c r="M386" s="2">
        <f>IF(J386="1000+", 1000, (LEFT(J386,FIND("-",J386)-1)+RIGHT(J386,LEN(J386)-FIND("-",J386)))/2)</f>
        <v>105</v>
      </c>
      <c r="N386" s="2">
        <f>ROUND(E386 * 0.7+F386 * 0.2+G386 * 0.1,2)</f>
        <v>69.099999999999994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72</v>
      </c>
      <c r="P386" s="2">
        <f>E386 - O386</f>
        <v>-1</v>
      </c>
      <c r="Q386" s="2">
        <f>ROUND(
  SIGN(P386)*
  IF(ABS(P386)&lt;=10,ABS(P386)*0.5,
     IF(ABS(P386)&lt;=15,5+(ABS(P386)-10)*(1.67/5),
        6.67+(ABS(P386)-15)*0.333)),
2)</f>
        <v>-0.5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68.599999999999994</v>
      </c>
      <c r="D387" s="2" t="s">
        <v>1552</v>
      </c>
      <c r="E387" s="7">
        <v>65</v>
      </c>
      <c r="F387" s="7">
        <v>64</v>
      </c>
      <c r="G387" s="2">
        <v>53</v>
      </c>
      <c r="H387" s="2" t="s">
        <v>1564</v>
      </c>
      <c r="I387" s="2" t="s">
        <v>36</v>
      </c>
      <c r="J387" s="3" t="s">
        <v>1575</v>
      </c>
      <c r="M387" s="2">
        <f>IF(J387="1000+", 1000, (LEFT(J387,FIND("-",J387)-1)+RIGHT(J387,LEN(J387)-FIND("-",J387)))/2)</f>
        <v>15</v>
      </c>
      <c r="N387" s="2">
        <f>ROUND(E387 * 0.7+F387 * 0.2+G387 * 0.1,2)</f>
        <v>63.6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55</v>
      </c>
      <c r="P387" s="2">
        <f>E387 - O387</f>
        <v>10</v>
      </c>
      <c r="Q387" s="2">
        <f>ROUND(
  SIGN(P387)*
  IF(ABS(P387)&lt;=10,ABS(P387)*0.5,
     IF(ABS(P387)&lt;=15,5+(ABS(P387)-10)*(1.67/5),
        6.67+(ABS(P387)-15)*0.333)),
2)</f>
        <v>5</v>
      </c>
    </row>
    <row r="388" spans="1:17" ht="34.5" customHeight="1" x14ac:dyDescent="0.3">
      <c r="A388" s="2">
        <v>2026</v>
      </c>
      <c r="B388" s="2">
        <v>387</v>
      </c>
      <c r="C388" s="17">
        <f>ROUND(MAX(MIN(N388 + Q388, 100), 0), 2)</f>
        <v>68.5</v>
      </c>
      <c r="D388" s="2" t="s">
        <v>1511</v>
      </c>
      <c r="E388" s="5">
        <v>73</v>
      </c>
      <c r="F388" s="2">
        <v>52</v>
      </c>
      <c r="G388" s="2">
        <v>45</v>
      </c>
      <c r="H388" s="2" t="s">
        <v>1487</v>
      </c>
      <c r="I388" s="2" t="s">
        <v>1523</v>
      </c>
      <c r="J388" s="3" t="s">
        <v>1535</v>
      </c>
      <c r="K388" s="2" t="s">
        <v>1542</v>
      </c>
      <c r="M388" s="2">
        <f>IF(J388="1000+", 1000, (LEFT(J388,FIND("-",J388)-1)+RIGHT(J388,LEN(J388)-FIND("-",J388)))/2)</f>
        <v>60</v>
      </c>
      <c r="N388" s="2">
        <f>ROUND(E388 * 0.7+F388 * 0.2+G388 * 0.1,2)</f>
        <v>66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68</v>
      </c>
      <c r="P388" s="2">
        <f>E388 - O388</f>
        <v>5</v>
      </c>
      <c r="Q388" s="2">
        <f>ROUND(
  SIGN(P388)*
  IF(ABS(P388)&lt;=10,ABS(P388)*0.5,
     IF(ABS(P388)&lt;=15,5+(ABS(P388)-10)*(1.67/5),
        6.67+(ABS(P388)-15)*0.333)),
2)</f>
        <v>2.5</v>
      </c>
    </row>
    <row r="389" spans="1:17" ht="34.5" customHeight="1" x14ac:dyDescent="0.3">
      <c r="B389" s="2">
        <v>388</v>
      </c>
      <c r="C389" s="17">
        <f>ROUND(MAX(MIN(N389 + Q389, 100), 0), 2)</f>
        <v>68.5</v>
      </c>
      <c r="D389" s="2" t="s">
        <v>596</v>
      </c>
      <c r="E389" s="5">
        <v>70</v>
      </c>
      <c r="F389" s="2">
        <v>50</v>
      </c>
      <c r="G389" s="2">
        <v>45</v>
      </c>
      <c r="H389" s="2" t="s">
        <v>114</v>
      </c>
      <c r="I389" s="2" t="s">
        <v>447</v>
      </c>
      <c r="J389" s="3" t="s">
        <v>132</v>
      </c>
      <c r="M389" s="2">
        <f>IF(J389="1000+", 1000, (LEFT(J389,FIND("-",J389)-1)+RIGHT(J389,LEN(J389)-FIND("-",J389)))/2)</f>
        <v>20</v>
      </c>
      <c r="N389" s="2">
        <f>ROUND(E389 * 0.7+F389 * 0.2+G389 * 0.1,2)</f>
        <v>63.5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60</v>
      </c>
      <c r="P389" s="2">
        <f>E389 - O389</f>
        <v>10</v>
      </c>
      <c r="Q389" s="2">
        <f>ROUND(
  SIGN(P389)*
  IF(ABS(P389)&lt;=10,ABS(P389)*0.5,
     IF(ABS(P389)&lt;=15,5+(ABS(P389)-10)*(1.67/5),
        6.67+(ABS(P389)-15)*0.333)),
2)</f>
        <v>5</v>
      </c>
    </row>
    <row r="390" spans="1:17" ht="34.5" customHeight="1" x14ac:dyDescent="0.3">
      <c r="A390" s="2">
        <v>2026</v>
      </c>
      <c r="B390" s="2">
        <v>389</v>
      </c>
      <c r="C390" s="17">
        <f>ROUND(MAX(MIN(N390 + Q390, 100), 0), 2)</f>
        <v>68.5</v>
      </c>
      <c r="D390" s="11" t="s">
        <v>1275</v>
      </c>
      <c r="E390" s="5">
        <v>70</v>
      </c>
      <c r="F390" s="2">
        <v>50</v>
      </c>
      <c r="G390" s="2">
        <v>45</v>
      </c>
      <c r="H390" s="11" t="s">
        <v>1256</v>
      </c>
      <c r="I390" s="2" t="s">
        <v>36</v>
      </c>
      <c r="J390" s="19" t="s">
        <v>1261</v>
      </c>
      <c r="M390" s="2">
        <f>IF(J390="1000+", 1000, (LEFT(J390,FIND("-",J390)-1)+RIGHT(J390,LEN(J390)-FIND("-",J390)))/2)</f>
        <v>20</v>
      </c>
      <c r="N390" s="2">
        <f>ROUND(E390 * 0.7+F390 * 0.2+G390 * 0.1,2)</f>
        <v>63.5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60</v>
      </c>
      <c r="P390" s="2">
        <f>E390 - O390</f>
        <v>10</v>
      </c>
      <c r="Q390" s="2">
        <f>ROUND(
  SIGN(P390)*
  IF(ABS(P390)&lt;=10,ABS(P390)*0.5,
     IF(ABS(P390)&lt;=15,5+(ABS(P390)-10)*(1.67/5),
        6.67+(ABS(P390)-15)*0.333)),
2)</f>
        <v>5</v>
      </c>
    </row>
    <row r="391" spans="1:17" ht="34.5" customHeight="1" x14ac:dyDescent="0.3">
      <c r="B391" s="2">
        <v>390</v>
      </c>
      <c r="C391" s="17">
        <f>ROUND(MAX(MIN(N391 + Q391, 100), 0), 2)</f>
        <v>68.5</v>
      </c>
      <c r="D391" s="2" t="s">
        <v>334</v>
      </c>
      <c r="E391" s="7">
        <v>69</v>
      </c>
      <c r="F391" s="6">
        <v>80</v>
      </c>
      <c r="G391" s="5">
        <v>72</v>
      </c>
      <c r="H391" s="2" t="s">
        <v>256</v>
      </c>
      <c r="I391" s="2" t="s">
        <v>13</v>
      </c>
      <c r="J391" s="3" t="s">
        <v>140</v>
      </c>
      <c r="M391" s="2">
        <f>IF(J391="1000+", 1000, (LEFT(J391,FIND("-",J391)-1)+RIGHT(J391,LEN(J391)-FIND("-",J391)))/2)</f>
        <v>115</v>
      </c>
      <c r="N391" s="2">
        <f>ROUND(E391 * 0.7+F391 * 0.2+G391 * 0.1,2)</f>
        <v>71.5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75</v>
      </c>
      <c r="P391" s="2">
        <f>E391 - O391</f>
        <v>-6</v>
      </c>
      <c r="Q391" s="2">
        <f>ROUND(
  SIGN(P391)*
  IF(ABS(P391)&lt;=10,ABS(P391)*0.5,
     IF(ABS(P391)&lt;=15,5+(ABS(P391)-10)*(1.67/5),
        6.67+(ABS(P391)-15)*0.333)),
2)</f>
        <v>-3</v>
      </c>
    </row>
    <row r="392" spans="1:17" ht="34.5" customHeight="1" x14ac:dyDescent="0.3">
      <c r="B392" s="2">
        <v>391</v>
      </c>
      <c r="C392" s="17">
        <f>ROUND(MAX(MIN(N392 + Q392, 100), 0), 2)</f>
        <v>68.5</v>
      </c>
      <c r="D392" s="2" t="s">
        <v>304</v>
      </c>
      <c r="E392" s="5">
        <v>71</v>
      </c>
      <c r="F392" s="6">
        <v>85</v>
      </c>
      <c r="G392" s="6">
        <v>88</v>
      </c>
      <c r="H392" s="2" t="s">
        <v>48</v>
      </c>
      <c r="I392" s="2" t="s">
        <v>41</v>
      </c>
      <c r="J392" s="3" t="s">
        <v>65</v>
      </c>
      <c r="M392" s="2">
        <f>IF(J392="1000+", 1000, (LEFT(J392,FIND("-",J392)-1)+RIGHT(J392,LEN(J392)-FIND("-",J392)))/2)</f>
        <v>250</v>
      </c>
      <c r="N392" s="2">
        <f>ROUND(E392 * 0.7+F392 * 0.2+G392 * 0.1,2)</f>
        <v>75.5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87</v>
      </c>
      <c r="P392" s="2">
        <f>E392 - O392</f>
        <v>-16</v>
      </c>
      <c r="Q392" s="2">
        <f>ROUND(
  SIGN(P392)*
  IF(ABS(P392)&lt;=10,ABS(P392)*0.5,
     IF(ABS(P392)&lt;=15,5+(ABS(P392)-10)*(1.67/5),
        6.67+(ABS(P392)-15)*0.333)),
2)</f>
        <v>-7</v>
      </c>
    </row>
    <row r="393" spans="1:17" ht="34.5" customHeight="1" x14ac:dyDescent="0.3">
      <c r="B393" s="2">
        <v>392</v>
      </c>
      <c r="C393" s="17">
        <f>ROUND(MAX(MIN(N393 + Q393, 100), 0), 2)</f>
        <v>68.430000000000007</v>
      </c>
      <c r="D393" s="2" t="s">
        <v>567</v>
      </c>
      <c r="E393" s="5">
        <v>71</v>
      </c>
      <c r="F393" s="2">
        <v>40</v>
      </c>
      <c r="G393" s="2">
        <v>54</v>
      </c>
      <c r="H393" s="2" t="s">
        <v>31</v>
      </c>
      <c r="I393" s="2" t="s">
        <v>36</v>
      </c>
      <c r="J393" s="3" t="s">
        <v>132</v>
      </c>
      <c r="M393" s="2">
        <f>IF(J393="1000+", 1000, (LEFT(J393,FIND("-",J393)-1)+RIGHT(J393,LEN(J393)-FIND("-",J393)))/2)</f>
        <v>20</v>
      </c>
      <c r="N393" s="2">
        <f>ROUND(E393 * 0.7+F393 * 0.2+G393 * 0.1,2)</f>
        <v>63.1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60</v>
      </c>
      <c r="P393" s="2">
        <f>E393 - O393</f>
        <v>11</v>
      </c>
      <c r="Q393" s="2">
        <f>ROUND(
  SIGN(P393)*
  IF(ABS(P393)&lt;=10,ABS(P393)*0.5,
     IF(ABS(P393)&lt;=15,5+(ABS(P393)-10)*(1.67/5),
        6.67+(ABS(P393)-15)*0.333)),
2)</f>
        <v>5.33</v>
      </c>
    </row>
    <row r="394" spans="1:17" ht="34.5" customHeight="1" x14ac:dyDescent="0.3">
      <c r="A394" s="2">
        <v>2026</v>
      </c>
      <c r="B394" s="2">
        <v>393</v>
      </c>
      <c r="C394" s="17">
        <f>ROUND(MAX(MIN(N394 + Q394, 100), 0), 2)</f>
        <v>68.400000000000006</v>
      </c>
      <c r="D394" s="2" t="s">
        <v>1855</v>
      </c>
      <c r="E394" s="5">
        <v>71</v>
      </c>
      <c r="F394" s="7">
        <v>63</v>
      </c>
      <c r="G394" s="2">
        <v>56</v>
      </c>
      <c r="H394" s="2" t="s">
        <v>1857</v>
      </c>
      <c r="I394" s="2" t="s">
        <v>36</v>
      </c>
      <c r="J394" s="3" t="s">
        <v>1264</v>
      </c>
      <c r="K394" s="2" t="s">
        <v>1664</v>
      </c>
      <c r="M394" s="2">
        <f>IF(J394="1000+", 1000, (LEFT(J394,FIND("-",J394)-1)+RIGHT(J394,LEN(J394)-FIND("-",J394)))/2)</f>
        <v>75</v>
      </c>
      <c r="N394" s="2">
        <f>ROUND(E394 * 0.7+F394 * 0.2+G394 * 0.1,2)</f>
        <v>67.900000000000006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70</v>
      </c>
      <c r="P394" s="2">
        <f>E394 - O394</f>
        <v>1</v>
      </c>
      <c r="Q394" s="2">
        <f>ROUND(
  SIGN(P394)*
  IF(ABS(P394)&lt;=10,ABS(P394)*0.5,
     IF(ABS(P394)&lt;=15,5+(ABS(P394)-10)*(1.67/5),
        6.67+(ABS(P394)-15)*0.333)),
2)</f>
        <v>0.5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68.400000000000006</v>
      </c>
      <c r="D395" s="11" t="s">
        <v>1310</v>
      </c>
      <c r="E395" s="7">
        <v>68</v>
      </c>
      <c r="F395" s="7">
        <v>61</v>
      </c>
      <c r="G395" s="2">
        <v>56</v>
      </c>
      <c r="H395" s="11" t="s">
        <v>1256</v>
      </c>
      <c r="I395" s="11" t="s">
        <v>1288</v>
      </c>
      <c r="J395" s="19" t="s">
        <v>1263</v>
      </c>
      <c r="M395" s="2">
        <f>IF(J395="1000+", 1000, (LEFT(J395,FIND("-",J395)-1)+RIGHT(J395,LEN(J395)-FIND("-",J395)))/2)</f>
        <v>30</v>
      </c>
      <c r="N395" s="2">
        <f>ROUND(E395 * 0.7+F395 * 0.2+G395 * 0.1,2)</f>
        <v>65.400000000000006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62</v>
      </c>
      <c r="P395" s="2">
        <f>E395 - O395</f>
        <v>6</v>
      </c>
      <c r="Q395" s="2">
        <f>ROUND(
  SIGN(P395)*
  IF(ABS(P395)&lt;=10,ABS(P395)*0.5,
     IF(ABS(P395)&lt;=15,5+(ABS(P395)-10)*(1.67/5),
        6.67+(ABS(P395)-15)*0.333)),
2)</f>
        <v>3</v>
      </c>
    </row>
    <row r="396" spans="1:17" ht="34.5" customHeight="1" x14ac:dyDescent="0.3">
      <c r="B396" s="2">
        <v>395</v>
      </c>
      <c r="C396" s="17">
        <f>ROUND(MAX(MIN(N396 + Q396, 100), 0), 2)</f>
        <v>68.400000000000006</v>
      </c>
      <c r="D396" s="2" t="s">
        <v>407</v>
      </c>
      <c r="E396" s="7">
        <v>69</v>
      </c>
      <c r="F396" s="5">
        <v>70</v>
      </c>
      <c r="G396" s="2">
        <v>56</v>
      </c>
      <c r="H396" s="2" t="s">
        <v>48</v>
      </c>
      <c r="I396" s="2" t="s">
        <v>13</v>
      </c>
      <c r="J396" s="3" t="s">
        <v>23</v>
      </c>
      <c r="M396" s="2">
        <f>IF(J396="1000+", 1000, (LEFT(J396,FIND("-",J396)-1)+RIGHT(J396,LEN(J396)-FIND("-",J396)))/2)</f>
        <v>60</v>
      </c>
      <c r="N396" s="2">
        <f>ROUND(E396 * 0.7+F396 * 0.2+G396 * 0.1,2)</f>
        <v>67.900000000000006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68</v>
      </c>
      <c r="P396" s="2">
        <f>E396 - O396</f>
        <v>1</v>
      </c>
      <c r="Q396" s="2">
        <f>ROUND(
  SIGN(P396)*
  IF(ABS(P396)&lt;=10,ABS(P396)*0.5,
     IF(ABS(P396)&lt;=15,5+(ABS(P396)-10)*(1.67/5),
        6.67+(ABS(P396)-15)*0.333)),
2)</f>
        <v>0.5</v>
      </c>
    </row>
    <row r="397" spans="1:17" ht="34.5" customHeight="1" x14ac:dyDescent="0.3">
      <c r="B397" s="2">
        <v>396</v>
      </c>
      <c r="C397" s="17">
        <f>ROUND(MAX(MIN(N397 + Q397, 100), 0), 2)</f>
        <v>68.400000000000006</v>
      </c>
      <c r="D397" s="2" t="s">
        <v>426</v>
      </c>
      <c r="E397" s="5">
        <v>70</v>
      </c>
      <c r="F397" s="7">
        <v>68</v>
      </c>
      <c r="G397" s="7">
        <v>68</v>
      </c>
      <c r="H397" s="2" t="s">
        <v>64</v>
      </c>
      <c r="I397" s="2" t="s">
        <v>13</v>
      </c>
      <c r="J397" s="3" t="s">
        <v>122</v>
      </c>
      <c r="M397" s="2">
        <f>IF(J397="1000+", 1000, (LEFT(J397,FIND("-",J397)-1)+RIGHT(J397,LEN(J397)-FIND("-",J397)))/2)</f>
        <v>105</v>
      </c>
      <c r="N397" s="2">
        <f>ROUND(E397 * 0.7+F397 * 0.2+G397 * 0.1,2)</f>
        <v>69.400000000000006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72</v>
      </c>
      <c r="P397" s="2">
        <f>E397 - O397</f>
        <v>-2</v>
      </c>
      <c r="Q397" s="2">
        <f>ROUND(
  SIGN(P397)*
  IF(ABS(P397)&lt;=10,ABS(P397)*0.5,
     IF(ABS(P397)&lt;=15,5+(ABS(P397)-10)*(1.67/5),
        6.67+(ABS(P397)-15)*0.333)),
2)</f>
        <v>-1</v>
      </c>
    </row>
    <row r="398" spans="1:17" ht="34.5" customHeight="1" x14ac:dyDescent="0.3">
      <c r="B398" s="2">
        <v>397</v>
      </c>
      <c r="C398" s="17">
        <f>ROUND(MAX(MIN(N398 + Q398, 100), 0), 2)</f>
        <v>68.400000000000006</v>
      </c>
      <c r="D398" s="2" t="s">
        <v>362</v>
      </c>
      <c r="E398" s="5">
        <v>72</v>
      </c>
      <c r="F398" s="6">
        <v>87</v>
      </c>
      <c r="G398" s="2">
        <v>56</v>
      </c>
      <c r="H398" s="2" t="s">
        <v>48</v>
      </c>
      <c r="I398" s="2" t="s">
        <v>177</v>
      </c>
      <c r="J398" s="3" t="s">
        <v>1488</v>
      </c>
      <c r="M398" s="2">
        <f>IF(J398="1000+", 1000, (LEFT(J398,FIND("-",J398)-1)+RIGHT(J398,LEN(J398)-FIND("-",J398)))/2)</f>
        <v>200</v>
      </c>
      <c r="N398" s="2">
        <f>ROUND(E398 * 0.7+F398 * 0.2+G398 * 0.1,2)</f>
        <v>73.400000000000006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82</v>
      </c>
      <c r="P398" s="2">
        <f>E398 - O398</f>
        <v>-10</v>
      </c>
      <c r="Q398" s="2">
        <f>ROUND(
  SIGN(P398)*
  IF(ABS(P398)&lt;=10,ABS(P398)*0.5,
     IF(ABS(P398)&lt;=15,5+(ABS(P398)-10)*(1.67/5),
        6.67+(ABS(P398)-15)*0.333)),
2)</f>
        <v>-5</v>
      </c>
    </row>
    <row r="399" spans="1:17" ht="34.5" customHeight="1" x14ac:dyDescent="0.3">
      <c r="A399" s="2">
        <v>2026</v>
      </c>
      <c r="B399" s="2">
        <v>398</v>
      </c>
      <c r="C399" s="17">
        <f>ROUND(MAX(MIN(N399 + Q399, 100), 0), 2)</f>
        <v>68.400000000000006</v>
      </c>
      <c r="D399" s="2" t="s">
        <v>1637</v>
      </c>
      <c r="E399" s="5">
        <v>73</v>
      </c>
      <c r="F399" s="7">
        <v>63</v>
      </c>
      <c r="G399" s="2">
        <v>57</v>
      </c>
      <c r="H399" s="2" t="s">
        <v>1646</v>
      </c>
      <c r="I399" s="2" t="s">
        <v>1649</v>
      </c>
      <c r="J399" s="3" t="s">
        <v>1658</v>
      </c>
      <c r="K399" s="2" t="s">
        <v>1664</v>
      </c>
      <c r="M399" s="2">
        <f>IF(J399="1000+", 1000, (LEFT(J399,FIND("-",J399)-1)+RIGHT(J399,LEN(J399)-FIND("-",J399)))/2)</f>
        <v>115</v>
      </c>
      <c r="N399" s="2">
        <f>ROUND(E399 * 0.7+F399 * 0.2+G399 * 0.1,2)</f>
        <v>69.400000000000006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75</v>
      </c>
      <c r="P399" s="2">
        <f>E399 - O399</f>
        <v>-2</v>
      </c>
      <c r="Q399" s="2">
        <f>ROUND(
  SIGN(P399)*
  IF(ABS(P399)&lt;=10,ABS(P399)*0.5,
     IF(ABS(P399)&lt;=15,5+(ABS(P399)-10)*(1.67/5),
        6.67+(ABS(P399)-15)*0.333)),
2)</f>
        <v>-1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68.3</v>
      </c>
      <c r="D400" s="2" t="s">
        <v>1361</v>
      </c>
      <c r="E400" s="7">
        <v>69</v>
      </c>
      <c r="F400" s="2">
        <v>57</v>
      </c>
      <c r="G400" s="2">
        <v>41</v>
      </c>
      <c r="H400" s="2" t="s">
        <v>1256</v>
      </c>
      <c r="I400" s="2" t="s">
        <v>36</v>
      </c>
      <c r="J400" s="3" t="s">
        <v>1261</v>
      </c>
      <c r="M400" s="2">
        <f>IF(J400="1000+", 1000, (LEFT(J400,FIND("-",J400)-1)+RIGHT(J400,LEN(J400)-FIND("-",J400)))/2)</f>
        <v>20</v>
      </c>
      <c r="N400" s="2">
        <f>ROUND(E400 * 0.7+F400 * 0.2+G400 * 0.1,2)</f>
        <v>63.8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60</v>
      </c>
      <c r="P400" s="2">
        <f>E400 - O400</f>
        <v>9</v>
      </c>
      <c r="Q400" s="2">
        <f>ROUND(
  SIGN(P400)*
  IF(ABS(P400)&lt;=10,ABS(P400)*0.5,
     IF(ABS(P400)&lt;=15,5+(ABS(P400)-10)*(1.67/5),
        6.67+(ABS(P400)-15)*0.333)),
2)</f>
        <v>4.5</v>
      </c>
    </row>
    <row r="401" spans="1:17" ht="34.5" customHeight="1" x14ac:dyDescent="0.3">
      <c r="B401" s="2">
        <v>400</v>
      </c>
      <c r="C401" s="17">
        <f>ROUND(MAX(MIN(N401 + Q401, 100), 0), 2)</f>
        <v>68.3</v>
      </c>
      <c r="D401" s="2" t="s">
        <v>503</v>
      </c>
      <c r="E401" s="5">
        <v>73</v>
      </c>
      <c r="F401" s="7">
        <v>60</v>
      </c>
      <c r="G401" s="2">
        <v>47</v>
      </c>
      <c r="H401" s="2" t="s">
        <v>16</v>
      </c>
      <c r="I401" s="2" t="s">
        <v>177</v>
      </c>
      <c r="J401" s="3" t="s">
        <v>122</v>
      </c>
      <c r="M401" s="2">
        <f>IF(J401="1000+", 1000, (LEFT(J401,FIND("-",J401)-1)+RIGHT(J401,LEN(J401)-FIND("-",J401)))/2)</f>
        <v>105</v>
      </c>
      <c r="N401" s="2">
        <f>ROUND(E401 * 0.7+F401 * 0.2+G401 * 0.1,2)</f>
        <v>67.8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72</v>
      </c>
      <c r="P401" s="2">
        <f>E401 - O401</f>
        <v>1</v>
      </c>
      <c r="Q401" s="2">
        <f>ROUND(
  SIGN(P401)*
  IF(ABS(P401)&lt;=10,ABS(P401)*0.5,
     IF(ABS(P401)&lt;=15,5+(ABS(P401)-10)*(1.67/5),
        6.67+(ABS(P401)-15)*0.333)),
2)</f>
        <v>0.5</v>
      </c>
    </row>
    <row r="402" spans="1:17" ht="34.5" customHeight="1" x14ac:dyDescent="0.3">
      <c r="B402" s="2">
        <v>401</v>
      </c>
      <c r="C402" s="17">
        <f>ROUND(MAX(MIN(N402 + Q402, 100), 0), 2)</f>
        <v>68.3</v>
      </c>
      <c r="D402" s="2" t="s">
        <v>363</v>
      </c>
      <c r="E402" s="5">
        <v>70</v>
      </c>
      <c r="F402" s="5">
        <v>74</v>
      </c>
      <c r="G402" s="5">
        <v>70</v>
      </c>
      <c r="H402" s="2" t="s">
        <v>31</v>
      </c>
      <c r="I402" s="2" t="s">
        <v>41</v>
      </c>
      <c r="J402" s="3" t="s">
        <v>140</v>
      </c>
      <c r="M402" s="2">
        <f>IF(J402="1000+", 1000, (LEFT(J402,FIND("-",J402)-1)+RIGHT(J402,LEN(J402)-FIND("-",J402)))/2)</f>
        <v>115</v>
      </c>
      <c r="N402" s="2">
        <f>ROUND(E402 * 0.7+F402 * 0.2+G402 * 0.1,2)</f>
        <v>70.8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75</v>
      </c>
      <c r="P402" s="2">
        <f>E402 - O402</f>
        <v>-5</v>
      </c>
      <c r="Q402" s="2">
        <f>ROUND(
  SIGN(P402)*
  IF(ABS(P402)&lt;=10,ABS(P402)*0.5,
     IF(ABS(P402)&lt;=15,5+(ABS(P402)-10)*(1.67/5),
        6.67+(ABS(P402)-15)*0.333)),
2)</f>
        <v>-2.5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68.3</v>
      </c>
      <c r="D403" s="2" t="s">
        <v>1515</v>
      </c>
      <c r="E403" s="5">
        <v>72</v>
      </c>
      <c r="F403" s="6">
        <v>85</v>
      </c>
      <c r="G403" s="2">
        <v>59</v>
      </c>
      <c r="H403" s="2" t="s">
        <v>1487</v>
      </c>
      <c r="I403" s="2" t="s">
        <v>1522</v>
      </c>
      <c r="J403" s="3" t="s">
        <v>1488</v>
      </c>
      <c r="M403" s="2">
        <f>IF(J403="1000+", 1000, (LEFT(J403,FIND("-",J403)-1)+RIGHT(J403,LEN(J403)-FIND("-",J403)))/2)</f>
        <v>200</v>
      </c>
      <c r="N403" s="2">
        <f>ROUND(E403 * 0.7+F403 * 0.2+G403 * 0.1,2)</f>
        <v>73.3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82</v>
      </c>
      <c r="P403" s="2">
        <f>E403 - O403</f>
        <v>-10</v>
      </c>
      <c r="Q403" s="2">
        <f>ROUND(
  SIGN(P403)*
  IF(ABS(P403)&lt;=10,ABS(P403)*0.5,
     IF(ABS(P403)&lt;=15,5+(ABS(P403)-10)*(1.67/5),
        6.67+(ABS(P403)-15)*0.333)),
2)</f>
        <v>-5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68.2</v>
      </c>
      <c r="D404" s="2" t="s">
        <v>1867</v>
      </c>
      <c r="E404" s="5">
        <v>70</v>
      </c>
      <c r="F404" s="7">
        <v>64</v>
      </c>
      <c r="G404" s="2">
        <v>54</v>
      </c>
      <c r="H404" s="2" t="s">
        <v>1895</v>
      </c>
      <c r="I404" s="2" t="s">
        <v>1898</v>
      </c>
      <c r="J404" s="3" t="s">
        <v>1302</v>
      </c>
      <c r="K404" s="2" t="s">
        <v>1872</v>
      </c>
      <c r="M404" s="2">
        <f>IF(J404="1000+", 1000, (LEFT(J404,FIND("-",J404)-1)+RIGHT(J404,LEN(J404)-FIND("-",J404)))/2)</f>
        <v>60</v>
      </c>
      <c r="N404" s="2">
        <f>ROUND(E404 * 0.7+F404 * 0.2+G404 * 0.1,2)</f>
        <v>67.2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68</v>
      </c>
      <c r="P404" s="2">
        <f>E404 - O404</f>
        <v>2</v>
      </c>
      <c r="Q404" s="2">
        <f>ROUND(
  SIGN(P404)*
  IF(ABS(P404)&lt;=10,ABS(P404)*0.5,
     IF(ABS(P404)&lt;=15,5+(ABS(P404)-10)*(1.67/5),
        6.67+(ABS(P404)-15)*0.333)),
2)</f>
        <v>1</v>
      </c>
    </row>
    <row r="405" spans="1:17" ht="34.5" customHeight="1" x14ac:dyDescent="0.3">
      <c r="B405" s="2">
        <v>404</v>
      </c>
      <c r="C405" s="17">
        <f>ROUND(MAX(MIN(N405 + Q405, 100), 0), 2)</f>
        <v>68.2</v>
      </c>
      <c r="D405" s="2" t="s">
        <v>389</v>
      </c>
      <c r="E405" s="5">
        <v>74</v>
      </c>
      <c r="F405" s="7">
        <v>65</v>
      </c>
      <c r="G405" s="7">
        <v>64</v>
      </c>
      <c r="H405" s="2" t="s">
        <v>31</v>
      </c>
      <c r="I405" s="2" t="s">
        <v>41</v>
      </c>
      <c r="J405" s="3" t="s">
        <v>88</v>
      </c>
      <c r="M405" s="2">
        <f>IF(J405="1000+", 1000, (LEFT(J405,FIND("-",J405)-1)+RIGHT(J405,LEN(J405)-FIND("-",J405)))/2)</f>
        <v>150</v>
      </c>
      <c r="N405" s="2">
        <f>ROUND(E405 * 0.7+F405 * 0.2+G405 * 0.1,2)</f>
        <v>71.2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80</v>
      </c>
      <c r="P405" s="2">
        <f>E405 - O405</f>
        <v>-6</v>
      </c>
      <c r="Q405" s="2">
        <f>ROUND(
  SIGN(P405)*
  IF(ABS(P405)&lt;=10,ABS(P405)*0.5,
     IF(ABS(P405)&lt;=15,5+(ABS(P405)-10)*(1.67/5),
        6.67+(ABS(P405)-15)*0.333)),
2)</f>
        <v>-3</v>
      </c>
    </row>
    <row r="406" spans="1:17" ht="34.5" customHeight="1" x14ac:dyDescent="0.3">
      <c r="B406" s="2">
        <v>405</v>
      </c>
      <c r="C406" s="17">
        <f>ROUND(MAX(MIN(N406 + Q406, 100), 0), 2)</f>
        <v>68.099999999999994</v>
      </c>
      <c r="D406" s="2" t="s">
        <v>591</v>
      </c>
      <c r="E406" s="5">
        <v>73</v>
      </c>
      <c r="F406" s="2">
        <v>45</v>
      </c>
      <c r="G406" s="2">
        <v>40</v>
      </c>
      <c r="H406" s="2" t="s">
        <v>85</v>
      </c>
      <c r="I406" s="2" t="s">
        <v>22</v>
      </c>
      <c r="J406" s="3" t="s">
        <v>32</v>
      </c>
      <c r="M406" s="2">
        <f>IF(J406="1000+", 1000, (LEFT(J406,FIND("-",J406)-1)+RIGHT(J406,LEN(J406)-FIND("-",J406)))/2)</f>
        <v>45</v>
      </c>
      <c r="N406" s="2">
        <f>ROUND(E406 * 0.7+F406 * 0.2+G406 * 0.1,2)</f>
        <v>64.099999999999994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65</v>
      </c>
      <c r="P406" s="2">
        <f>E406 - O406</f>
        <v>8</v>
      </c>
      <c r="Q406" s="2">
        <f>ROUND(
  SIGN(P406)*
  IF(ABS(P406)&lt;=10,ABS(P406)*0.5,
     IF(ABS(P406)&lt;=15,5+(ABS(P406)-10)*(1.67/5),
        6.67+(ABS(P406)-15)*0.333)),
2)</f>
        <v>4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68.099999999999994</v>
      </c>
      <c r="D407" s="2" t="s">
        <v>1754</v>
      </c>
      <c r="E407" s="7">
        <v>69</v>
      </c>
      <c r="F407" s="2">
        <v>53</v>
      </c>
      <c r="G407" s="2">
        <v>47</v>
      </c>
      <c r="H407" s="2" t="s">
        <v>1761</v>
      </c>
      <c r="I407" s="2" t="s">
        <v>1765</v>
      </c>
      <c r="J407" s="3" t="s">
        <v>1770</v>
      </c>
      <c r="M407" s="2">
        <f>IF(J407="1000+", 1000, (LEFT(J407,FIND("-",J407)-1)+RIGHT(J407,LEN(J407)-FIND("-",J407)))/2)</f>
        <v>20</v>
      </c>
      <c r="N407" s="2">
        <f>ROUND(E407 * 0.7+F407 * 0.2+G407 * 0.1,2)</f>
        <v>63.6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60</v>
      </c>
      <c r="P407" s="2">
        <f>E407 - O407</f>
        <v>9</v>
      </c>
      <c r="Q407" s="2">
        <f>ROUND(
  SIGN(P407)*
  IF(ABS(P407)&lt;=10,ABS(P407)*0.5,
     IF(ABS(P407)&lt;=15,5+(ABS(P407)-10)*(1.67/5),
        6.67+(ABS(P407)-15)*0.333)),
2)</f>
        <v>4.5</v>
      </c>
    </row>
    <row r="408" spans="1:17" ht="34.5" customHeight="1" x14ac:dyDescent="0.3">
      <c r="B408" s="2">
        <v>407</v>
      </c>
      <c r="C408" s="17">
        <f>ROUND(MAX(MIN(N408 + Q408, 100), 0), 2)</f>
        <v>68.099999999999994</v>
      </c>
      <c r="D408" s="2" t="s">
        <v>431</v>
      </c>
      <c r="E408" s="5">
        <v>71</v>
      </c>
      <c r="F408" s="2">
        <v>59</v>
      </c>
      <c r="G408" s="7">
        <v>61</v>
      </c>
      <c r="H408" s="2" t="s">
        <v>48</v>
      </c>
      <c r="I408" s="2" t="s">
        <v>17</v>
      </c>
      <c r="J408" s="3" t="s">
        <v>18</v>
      </c>
      <c r="M408" s="2">
        <f>IF(J408="1000+", 1000, (LEFT(J408,FIND("-",J408)-1)+RIGHT(J408,LEN(J408)-FIND("-",J408)))/2)</f>
        <v>75</v>
      </c>
      <c r="N408" s="2">
        <f>ROUND(E408 * 0.7+F408 * 0.2+G408 * 0.1,2)</f>
        <v>67.599999999999994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70</v>
      </c>
      <c r="P408" s="2">
        <f>E408 - O408</f>
        <v>1</v>
      </c>
      <c r="Q408" s="2">
        <f>ROUND(
  SIGN(P408)*
  IF(ABS(P408)&lt;=10,ABS(P408)*0.5,
     IF(ABS(P408)&lt;=15,5+(ABS(P408)-10)*(1.67/5),
        6.67+(ABS(P408)-15)*0.333)),
2)</f>
        <v>0.5</v>
      </c>
    </row>
    <row r="409" spans="1:17" ht="34.5" customHeight="1" x14ac:dyDescent="0.3">
      <c r="B409" s="2">
        <v>408</v>
      </c>
      <c r="C409" s="17">
        <f>ROUND(MAX(MIN(N409 + Q409, 100), 0), 2)</f>
        <v>68</v>
      </c>
      <c r="D409" s="2" t="s">
        <v>400</v>
      </c>
      <c r="E409" s="5">
        <v>74</v>
      </c>
      <c r="F409" s="5">
        <v>78</v>
      </c>
      <c r="G409" s="5">
        <v>76</v>
      </c>
      <c r="H409" s="2" t="s">
        <v>401</v>
      </c>
      <c r="I409" s="2" t="s">
        <v>27</v>
      </c>
      <c r="J409" s="3" t="s">
        <v>42</v>
      </c>
      <c r="K409" s="2" t="s">
        <v>402</v>
      </c>
      <c r="M409" s="2">
        <f>IF(J409="1000+", 1000, (LEFT(J409,FIND("-",J409)-1)+RIGHT(J409,LEN(J409)-FIND("-",J409)))/2)</f>
        <v>600</v>
      </c>
      <c r="N409" s="2">
        <f>ROUND(E409 * 0.7+F409 * 0.2+G409 * 0.1,2)</f>
        <v>75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90</v>
      </c>
      <c r="P409" s="2">
        <f>E409 - O409</f>
        <v>-16</v>
      </c>
      <c r="Q409" s="2">
        <f>ROUND(
  SIGN(P409)*
  IF(ABS(P409)&lt;=10,ABS(P409)*0.5,
     IF(ABS(P409)&lt;=15,5+(ABS(P409)-10)*(1.67/5),
        6.67+(ABS(P409)-15)*0.333)),
2)</f>
        <v>-7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68</v>
      </c>
      <c r="D410" s="2" t="s">
        <v>1611</v>
      </c>
      <c r="E410" s="5">
        <v>72</v>
      </c>
      <c r="F410" s="6">
        <v>82</v>
      </c>
      <c r="G410" s="5">
        <v>72</v>
      </c>
      <c r="H410" s="2" t="s">
        <v>1617</v>
      </c>
      <c r="I410" s="2" t="s">
        <v>1620</v>
      </c>
      <c r="J410" s="3" t="s">
        <v>1626</v>
      </c>
      <c r="M410" s="2">
        <f>IF(J410="1000+", 1000, (LEFT(J410,FIND("-",J410)-1)+RIGHT(J410,LEN(J410)-FIND("-",J410)))/2)</f>
        <v>225</v>
      </c>
      <c r="N410" s="2">
        <f>ROUND(E410 * 0.7+F410 * 0.2+G410 * 0.1,2)</f>
        <v>74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85</v>
      </c>
      <c r="P410" s="2">
        <f>E410 - O410</f>
        <v>-13</v>
      </c>
      <c r="Q410" s="2">
        <f>ROUND(
  SIGN(P410)*
  IF(ABS(P410)&lt;=10,ABS(P410)*0.5,
     IF(ABS(P410)&lt;=15,5+(ABS(P410)-10)*(1.67/5),
        6.67+(ABS(P410)-15)*0.333)),
2)</f>
        <v>-6</v>
      </c>
    </row>
    <row r="411" spans="1:17" ht="34.5" customHeight="1" x14ac:dyDescent="0.3">
      <c r="A411" s="2">
        <v>2026</v>
      </c>
      <c r="B411" s="2">
        <v>410</v>
      </c>
      <c r="C411" s="17">
        <f>ROUND(MAX(MIN(N411 + Q411, 100), 0), 2)</f>
        <v>68</v>
      </c>
      <c r="D411" s="2" t="s">
        <v>1501</v>
      </c>
      <c r="E411" s="5">
        <v>74</v>
      </c>
      <c r="F411" s="6">
        <v>82</v>
      </c>
      <c r="G411" s="7">
        <v>68</v>
      </c>
      <c r="H411" s="2" t="s">
        <v>1487</v>
      </c>
      <c r="I411" s="2" t="s">
        <v>1526</v>
      </c>
      <c r="J411" s="3" t="s">
        <v>1539</v>
      </c>
      <c r="M411" s="2">
        <f>IF(J411="1000+", 1000, (LEFT(J411,FIND("-",J411)-1)+RIGHT(J411,LEN(J411)-FIND("-",J411)))/2)</f>
        <v>600</v>
      </c>
      <c r="N411" s="2">
        <f>ROUND(E411 * 0.7+F411 * 0.2+G411 * 0.1,2)</f>
        <v>75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90</v>
      </c>
      <c r="P411" s="2">
        <f>E411 - O411</f>
        <v>-16</v>
      </c>
      <c r="Q411" s="2">
        <f>ROUND(
  SIGN(P411)*
  IF(ABS(P411)&lt;=10,ABS(P411)*0.5,
     IF(ABS(P411)&lt;=15,5+(ABS(P411)-10)*(1.67/5),
        6.67+(ABS(P411)-15)*0.333)),
2)</f>
        <v>-7</v>
      </c>
    </row>
    <row r="412" spans="1:17" ht="34.5" customHeight="1" x14ac:dyDescent="0.3">
      <c r="A412" s="2">
        <v>2026</v>
      </c>
      <c r="B412" s="2">
        <v>411</v>
      </c>
      <c r="C412" s="17">
        <f>ROUND(MAX(MIN(N412 + Q412, 100), 0), 2)</f>
        <v>67.900000000000006</v>
      </c>
      <c r="D412" s="2" t="s">
        <v>1545</v>
      </c>
      <c r="E412" s="7">
        <v>68</v>
      </c>
      <c r="F412" s="2">
        <v>58</v>
      </c>
      <c r="G412" s="2">
        <v>47</v>
      </c>
      <c r="H412" s="2" t="s">
        <v>1564</v>
      </c>
      <c r="I412" s="2" t="s">
        <v>36</v>
      </c>
      <c r="J412" s="3" t="s">
        <v>1571</v>
      </c>
      <c r="M412" s="2">
        <f>IF(J412="1000+", 1000, (LEFT(J412,FIND("-",J412)-1)+RIGHT(J412,LEN(J412)-FIND("-",J412)))/2)</f>
        <v>20</v>
      </c>
      <c r="N412" s="2">
        <f>ROUND(E412 * 0.7+F412 * 0.2+G412 * 0.1,2)</f>
        <v>63.9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60</v>
      </c>
      <c r="P412" s="2">
        <f>E412 - O412</f>
        <v>8</v>
      </c>
      <c r="Q412" s="2">
        <f>ROUND(
  SIGN(P412)*
  IF(ABS(P412)&lt;=10,ABS(P412)*0.5,
     IF(ABS(P412)&lt;=15,5+(ABS(P412)-10)*(1.67/5),
        6.67+(ABS(P412)-15)*0.333)),
2)</f>
        <v>4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67.900000000000006</v>
      </c>
      <c r="D413" s="2" t="s">
        <v>472</v>
      </c>
      <c r="E413" s="7">
        <v>69</v>
      </c>
      <c r="F413" s="7">
        <v>63</v>
      </c>
      <c r="G413" s="2">
        <v>50</v>
      </c>
      <c r="H413" s="2" t="s">
        <v>48</v>
      </c>
      <c r="I413" s="2" t="s">
        <v>72</v>
      </c>
      <c r="J413" s="3" t="s">
        <v>32</v>
      </c>
      <c r="M413" s="2">
        <f>IF(J413="1000+", 1000, (LEFT(J413,FIND("-",J413)-1)+RIGHT(J413,LEN(J413)-FIND("-",J413)))/2)</f>
        <v>45</v>
      </c>
      <c r="N413" s="2">
        <f>ROUND(E413 * 0.7+F413 * 0.2+G413 * 0.1,2)</f>
        <v>65.900000000000006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65</v>
      </c>
      <c r="P413" s="2">
        <f>E413 - O413</f>
        <v>4</v>
      </c>
      <c r="Q413" s="2">
        <f>ROUND(
  SIGN(P413)*
  IF(ABS(P413)&lt;=10,ABS(P413)*0.5,
     IF(ABS(P413)&lt;=15,5+(ABS(P413)-10)*(1.67/5),
        6.67+(ABS(P413)-15)*0.333)),
2)</f>
        <v>2</v>
      </c>
    </row>
    <row r="414" spans="1:17" ht="34.5" customHeight="1" x14ac:dyDescent="0.3">
      <c r="B414" s="2">
        <v>413</v>
      </c>
      <c r="C414" s="17">
        <f>ROUND(MAX(MIN(N414 + Q414, 100), 0), 2)</f>
        <v>67.900000000000006</v>
      </c>
      <c r="D414" s="2" t="s">
        <v>405</v>
      </c>
      <c r="E414" s="5">
        <v>70</v>
      </c>
      <c r="F414" s="7">
        <v>66</v>
      </c>
      <c r="G414" s="7">
        <v>67</v>
      </c>
      <c r="H414" s="2" t="s">
        <v>48</v>
      </c>
      <c r="I414" s="2" t="s">
        <v>41</v>
      </c>
      <c r="J414" s="3" t="s">
        <v>122</v>
      </c>
      <c r="K414" s="2" t="s">
        <v>406</v>
      </c>
      <c r="M414" s="2">
        <f>IF(J414="1000+", 1000, (LEFT(J414,FIND("-",J414)-1)+RIGHT(J414,LEN(J414)-FIND("-",J414)))/2)</f>
        <v>105</v>
      </c>
      <c r="N414" s="2">
        <f>ROUND(E414 * 0.7+F414 * 0.2+G414 * 0.1,2)</f>
        <v>68.900000000000006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72</v>
      </c>
      <c r="P414" s="2">
        <f>E414 - O414</f>
        <v>-2</v>
      </c>
      <c r="Q414" s="2">
        <f>ROUND(
  SIGN(P414)*
  IF(ABS(P414)&lt;=10,ABS(P414)*0.5,
     IF(ABS(P414)&lt;=15,5+(ABS(P414)-10)*(1.67/5),
        6.67+(ABS(P414)-15)*0.333)),
2)</f>
        <v>-1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67.83</v>
      </c>
      <c r="D415" s="2" t="s">
        <v>1367</v>
      </c>
      <c r="E415" s="7">
        <v>66</v>
      </c>
      <c r="F415" s="7">
        <v>60</v>
      </c>
      <c r="G415" s="2">
        <v>43</v>
      </c>
      <c r="H415" s="2" t="s">
        <v>1382</v>
      </c>
      <c r="I415" s="2" t="s">
        <v>36</v>
      </c>
      <c r="J415" s="3" t="s">
        <v>37</v>
      </c>
      <c r="M415" s="2">
        <f>IF(J415="1000+", 1000, (LEFT(J415,FIND("-",J415)-1)+RIGHT(J415,LEN(J415)-FIND("-",J415)))/2)</f>
        <v>15</v>
      </c>
      <c r="N415" s="2">
        <f>ROUND(E415 * 0.7+F415 * 0.2+G415 * 0.1,2)</f>
        <v>62.5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55</v>
      </c>
      <c r="P415" s="2">
        <f>E415 - O415</f>
        <v>11</v>
      </c>
      <c r="Q415" s="2">
        <f>ROUND(
  SIGN(P415)*
  IF(ABS(P415)&lt;=10,ABS(P415)*0.5,
     IF(ABS(P415)&lt;=15,5+(ABS(P415)-10)*(1.67/5),
        6.67+(ABS(P415)-15)*0.333)),
2)</f>
        <v>5.33</v>
      </c>
    </row>
    <row r="416" spans="1:17" ht="34.5" customHeight="1" x14ac:dyDescent="0.3">
      <c r="A416" s="2">
        <v>2026</v>
      </c>
      <c r="B416" s="2">
        <v>415</v>
      </c>
      <c r="C416" s="17">
        <f>ROUND(MAX(MIN(N416 + Q416, 100), 0), 2)</f>
        <v>67.8</v>
      </c>
      <c r="D416" s="2" t="s">
        <v>1643</v>
      </c>
      <c r="E416" s="5">
        <v>72</v>
      </c>
      <c r="F416" s="7">
        <v>68</v>
      </c>
      <c r="G416" s="5">
        <v>78</v>
      </c>
      <c r="H416" s="2" t="s">
        <v>1644</v>
      </c>
      <c r="I416" s="2" t="s">
        <v>1592</v>
      </c>
      <c r="J416" s="3" t="s">
        <v>1260</v>
      </c>
      <c r="K416" s="2" t="s">
        <v>1666</v>
      </c>
      <c r="M416" s="2">
        <f>IF(J416="1000+", 1000, (LEFT(J416,FIND("-",J416)-1)+RIGHT(J416,LEN(J416)-FIND("-",J416)))/2)</f>
        <v>150</v>
      </c>
      <c r="N416" s="2">
        <f>ROUND(E416 * 0.7+F416 * 0.2+G416 * 0.1,2)</f>
        <v>71.8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80</v>
      </c>
      <c r="P416" s="2">
        <f>E416 - O416</f>
        <v>-8</v>
      </c>
      <c r="Q416" s="2">
        <f>ROUND(
  SIGN(P416)*
  IF(ABS(P416)&lt;=10,ABS(P416)*0.5,
     IF(ABS(P416)&lt;=15,5+(ABS(P416)-10)*(1.67/5),
        6.67+(ABS(P416)-15)*0.333)),
2)</f>
        <v>-4</v>
      </c>
    </row>
    <row r="417" spans="1:17" ht="34.5" customHeight="1" x14ac:dyDescent="0.3">
      <c r="B417" s="2">
        <v>416</v>
      </c>
      <c r="C417" s="17">
        <f>ROUND(MAX(MIN(N417 + Q417, 100), 0), 2)</f>
        <v>67.8</v>
      </c>
      <c r="D417" s="2" t="s">
        <v>555</v>
      </c>
      <c r="E417" s="5">
        <v>70</v>
      </c>
      <c r="F417" s="2">
        <v>50</v>
      </c>
      <c r="G417" s="2">
        <v>38</v>
      </c>
      <c r="H417" s="2" t="s">
        <v>104</v>
      </c>
      <c r="I417" s="2" t="s">
        <v>447</v>
      </c>
      <c r="J417" s="3" t="s">
        <v>132</v>
      </c>
      <c r="K417" s="2" t="s">
        <v>298</v>
      </c>
      <c r="M417" s="2">
        <f>IF(J417="1000+", 1000, (LEFT(J417,FIND("-",J417)-1)+RIGHT(J417,LEN(J417)-FIND("-",J417)))/2)</f>
        <v>20</v>
      </c>
      <c r="N417" s="2">
        <f>ROUND(E417 * 0.7+F417 * 0.2+G417 * 0.1,2)</f>
        <v>62.8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60</v>
      </c>
      <c r="P417" s="2">
        <f>E417 - O417</f>
        <v>10</v>
      </c>
      <c r="Q417" s="2">
        <f>ROUND(
  SIGN(P417)*
  IF(ABS(P417)&lt;=10,ABS(P417)*0.5,
     IF(ABS(P417)&lt;=15,5+(ABS(P417)-10)*(1.67/5),
        6.67+(ABS(P417)-15)*0.333)),
2)</f>
        <v>5</v>
      </c>
    </row>
    <row r="418" spans="1:17" ht="34.5" customHeight="1" x14ac:dyDescent="0.3">
      <c r="B418" s="2">
        <v>417</v>
      </c>
      <c r="C418" s="17">
        <f>ROUND(MAX(MIN(N418 + Q418, 100), 0), 2)</f>
        <v>67.8</v>
      </c>
      <c r="D418" s="2" t="s">
        <v>501</v>
      </c>
      <c r="E418" s="5">
        <v>73</v>
      </c>
      <c r="F418" s="2">
        <v>50</v>
      </c>
      <c r="G418" s="2">
        <v>52</v>
      </c>
      <c r="H418" s="2" t="s">
        <v>434</v>
      </c>
      <c r="I418" s="2" t="s">
        <v>72</v>
      </c>
      <c r="J418" s="3" t="s">
        <v>18</v>
      </c>
      <c r="M418" s="2">
        <f>IF(J418="1000+", 1000, (LEFT(J418,FIND("-",J418)-1)+RIGHT(J418,LEN(J418)-FIND("-",J418)))/2)</f>
        <v>75</v>
      </c>
      <c r="N418" s="2">
        <f>ROUND(E418 * 0.7+F418 * 0.2+G418 * 0.1,2)</f>
        <v>66.3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70</v>
      </c>
      <c r="P418" s="2">
        <f>E418 - O418</f>
        <v>3</v>
      </c>
      <c r="Q418" s="2">
        <f>ROUND(
  SIGN(P418)*
  IF(ABS(P418)&lt;=10,ABS(P418)*0.5,
     IF(ABS(P418)&lt;=15,5+(ABS(P418)-10)*(1.67/5),
        6.67+(ABS(P418)-15)*0.333)),
2)</f>
        <v>1.5</v>
      </c>
    </row>
    <row r="419" spans="1:17" ht="34.5" customHeight="1" x14ac:dyDescent="0.3">
      <c r="B419" s="2">
        <v>418</v>
      </c>
      <c r="C419" s="17">
        <f>ROUND(MAX(MIN(N419 + Q419, 100), 0), 2)</f>
        <v>67.8</v>
      </c>
      <c r="D419" s="2" t="s">
        <v>500</v>
      </c>
      <c r="E419" s="5">
        <v>70</v>
      </c>
      <c r="F419" s="2">
        <v>59</v>
      </c>
      <c r="G419" s="2">
        <v>45</v>
      </c>
      <c r="H419" s="2" t="s">
        <v>48</v>
      </c>
      <c r="I419" s="2" t="s">
        <v>36</v>
      </c>
      <c r="J419" s="3" t="s">
        <v>32</v>
      </c>
      <c r="M419" s="2">
        <f>IF(J419="1000+", 1000, (LEFT(J419,FIND("-",J419)-1)+RIGHT(J419,LEN(J419)-FIND("-",J419)))/2)</f>
        <v>45</v>
      </c>
      <c r="N419" s="2">
        <f>ROUND(E419 * 0.7+F419 * 0.2+G419 * 0.1,2)</f>
        <v>65.3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65</v>
      </c>
      <c r="P419" s="2">
        <f>E419 - O419</f>
        <v>5</v>
      </c>
      <c r="Q419" s="2">
        <f>ROUND(
  SIGN(P419)*
  IF(ABS(P419)&lt;=10,ABS(P419)*0.5,
     IF(ABS(P419)&lt;=15,5+(ABS(P419)-10)*(1.67/5),
        6.67+(ABS(P419)-15)*0.333)),
2)</f>
        <v>2.5</v>
      </c>
    </row>
    <row r="420" spans="1:17" ht="34.5" customHeight="1" x14ac:dyDescent="0.3">
      <c r="B420" s="2">
        <v>419</v>
      </c>
      <c r="C420" s="17">
        <f>ROUND(MAX(MIN(N420 + Q420, 100), 0), 2)</f>
        <v>67.8</v>
      </c>
      <c r="D420" s="2" t="s">
        <v>448</v>
      </c>
      <c r="E420" s="5">
        <v>71</v>
      </c>
      <c r="F420" s="2">
        <v>58</v>
      </c>
      <c r="G420" s="7">
        <v>60</v>
      </c>
      <c r="H420" s="2" t="s">
        <v>48</v>
      </c>
      <c r="I420" s="2" t="s">
        <v>36</v>
      </c>
      <c r="J420" s="3" t="s">
        <v>18</v>
      </c>
      <c r="M420" s="2">
        <f>IF(J420="1000+", 1000, (LEFT(J420,FIND("-",J420)-1)+RIGHT(J420,LEN(J420)-FIND("-",J420)))/2)</f>
        <v>75</v>
      </c>
      <c r="N420" s="2">
        <f>ROUND(E420 * 0.7+F420 * 0.2+G420 * 0.1,2)</f>
        <v>67.3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70</v>
      </c>
      <c r="P420" s="2">
        <f>E420 - O420</f>
        <v>1</v>
      </c>
      <c r="Q420" s="2">
        <f>ROUND(
  SIGN(P420)*
  IF(ABS(P420)&lt;=10,ABS(P420)*0.5,
     IF(ABS(P420)&lt;=15,5+(ABS(P420)-10)*(1.67/5),
        6.67+(ABS(P420)-15)*0.333)),
2)</f>
        <v>0.5</v>
      </c>
    </row>
    <row r="421" spans="1:17" ht="34.5" customHeight="1" x14ac:dyDescent="0.3">
      <c r="A421" s="2">
        <v>2026</v>
      </c>
      <c r="B421" s="2">
        <v>420</v>
      </c>
      <c r="C421" s="17">
        <f>ROUND(MAX(MIN(N421 + Q421, 100), 0), 2)</f>
        <v>67.8</v>
      </c>
      <c r="D421" s="11" t="s">
        <v>1285</v>
      </c>
      <c r="E421" s="7">
        <v>68</v>
      </c>
      <c r="F421" s="2">
        <v>58</v>
      </c>
      <c r="G421" s="2">
        <v>56</v>
      </c>
      <c r="H421" s="11" t="s">
        <v>1256</v>
      </c>
      <c r="I421" s="11" t="s">
        <v>1288</v>
      </c>
      <c r="J421" s="19" t="s">
        <v>1263</v>
      </c>
      <c r="M421" s="2">
        <f>IF(J421="1000+", 1000, (LEFT(J421,FIND("-",J421)-1)+RIGHT(J421,LEN(J421)-FIND("-",J421)))/2)</f>
        <v>30</v>
      </c>
      <c r="N421" s="2">
        <f>ROUND(E421 * 0.7+F421 * 0.2+G421 * 0.1,2)</f>
        <v>64.8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62</v>
      </c>
      <c r="P421" s="2">
        <f>E421 - O421</f>
        <v>6</v>
      </c>
      <c r="Q421" s="2">
        <f>ROUND(
  SIGN(P421)*
  IF(ABS(P421)&lt;=10,ABS(P421)*0.5,
     IF(ABS(P421)&lt;=15,5+(ABS(P421)-10)*(1.67/5),
        6.67+(ABS(P421)-15)*0.333)),
2)</f>
        <v>3</v>
      </c>
    </row>
    <row r="422" spans="1:17" ht="34.5" customHeight="1" x14ac:dyDescent="0.3">
      <c r="B422" s="2">
        <v>421</v>
      </c>
      <c r="C422" s="17">
        <f>ROUND(MAX(MIN(N422 + Q422, 100), 0), 2)</f>
        <v>67.8</v>
      </c>
      <c r="D422" s="2" t="s">
        <v>449</v>
      </c>
      <c r="E422" s="7">
        <v>68</v>
      </c>
      <c r="F422" s="7">
        <v>65</v>
      </c>
      <c r="G422" s="2">
        <v>57</v>
      </c>
      <c r="H422" s="2" t="s">
        <v>48</v>
      </c>
      <c r="I422" s="2" t="s">
        <v>36</v>
      </c>
      <c r="J422" s="3" t="s">
        <v>32</v>
      </c>
      <c r="M422" s="2">
        <f>IF(J422="1000+", 1000, (LEFT(J422,FIND("-",J422)-1)+RIGHT(J422,LEN(J422)-FIND("-",J422)))/2)</f>
        <v>45</v>
      </c>
      <c r="N422" s="2">
        <f>ROUND(E422 * 0.7+F422 * 0.2+G422 * 0.1,2)</f>
        <v>66.3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65</v>
      </c>
      <c r="P422" s="2">
        <f>E422 - O422</f>
        <v>3</v>
      </c>
      <c r="Q422" s="2">
        <f>ROUND(
  SIGN(P422)*
  IF(ABS(P422)&lt;=10,ABS(P422)*0.5,
     IF(ABS(P422)&lt;=15,5+(ABS(P422)-10)*(1.67/5),
        6.67+(ABS(P422)-15)*0.333)),
2)</f>
        <v>1.5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67.8</v>
      </c>
      <c r="D423" s="2" t="s">
        <v>2028</v>
      </c>
      <c r="E423" s="7">
        <v>69</v>
      </c>
      <c r="F423" s="7">
        <v>60</v>
      </c>
      <c r="G423" s="2">
        <v>55</v>
      </c>
      <c r="H423" s="2" t="s">
        <v>1256</v>
      </c>
      <c r="I423" s="2" t="s">
        <v>1320</v>
      </c>
      <c r="J423" s="3" t="s">
        <v>1262</v>
      </c>
      <c r="M423" s="2">
        <f>IF(J423="1000+", 1000, (LEFT(J423,FIND("-",J423)-1)+RIGHT(J423,LEN(J423)-FIND("-",J423)))/2)</f>
        <v>45</v>
      </c>
      <c r="N423" s="2">
        <f>ROUND(E423 * 0.7+F423 * 0.2+G423 * 0.1,2)</f>
        <v>65.8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65</v>
      </c>
      <c r="P423" s="2">
        <f>E423 - O423</f>
        <v>4</v>
      </c>
      <c r="Q423" s="2">
        <f>ROUND(
  SIGN(P423)*
  IF(ABS(P423)&lt;=10,ABS(P423)*0.5,
     IF(ABS(P423)&lt;=15,5+(ABS(P423)-10)*(1.67/5),
        6.67+(ABS(P423)-15)*0.333)),
2)</f>
        <v>2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67.739999999999995</v>
      </c>
      <c r="D424" s="2" t="s">
        <v>1601</v>
      </c>
      <c r="E424" s="7">
        <v>67</v>
      </c>
      <c r="F424" s="2">
        <v>50</v>
      </c>
      <c r="G424" s="2">
        <v>35</v>
      </c>
      <c r="H424" s="2" t="s">
        <v>1615</v>
      </c>
      <c r="I424" s="2" t="s">
        <v>36</v>
      </c>
      <c r="J424" s="3" t="s">
        <v>1622</v>
      </c>
      <c r="M424" s="2">
        <f>IF(J424="1000+", 1000, (LEFT(J424,FIND("-",J424)-1)+RIGHT(J424,LEN(J424)-FIND("-",J424)))/2)</f>
        <v>12.5</v>
      </c>
      <c r="N424" s="2">
        <f>ROUND(E424 * 0.7+F424 * 0.2+G424 * 0.1,2)</f>
        <v>60.4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50</v>
      </c>
      <c r="P424" s="2">
        <f>E424 - O424</f>
        <v>17</v>
      </c>
      <c r="Q424" s="2">
        <f>ROUND(
  SIGN(P424)*
  IF(ABS(P424)&lt;=10,ABS(P424)*0.5,
     IF(ABS(P424)&lt;=15,5+(ABS(P424)-10)*(1.67/5),
        6.67+(ABS(P424)-15)*0.333)),
2)</f>
        <v>7.34</v>
      </c>
    </row>
    <row r="425" spans="1:17" ht="34.5" customHeight="1" x14ac:dyDescent="0.3">
      <c r="B425" s="2">
        <v>424</v>
      </c>
      <c r="C425" s="17">
        <f>ROUND(MAX(MIN(N425 + Q425, 100), 0), 2)</f>
        <v>67.7</v>
      </c>
      <c r="D425" s="2" t="s">
        <v>390</v>
      </c>
      <c r="E425" s="5">
        <v>72</v>
      </c>
      <c r="F425" s="7">
        <v>60</v>
      </c>
      <c r="G425" s="7">
        <v>68</v>
      </c>
      <c r="H425" s="2" t="s">
        <v>391</v>
      </c>
      <c r="I425" s="2" t="s">
        <v>218</v>
      </c>
      <c r="J425" s="3" t="s">
        <v>140</v>
      </c>
      <c r="K425" s="2" t="s">
        <v>392</v>
      </c>
      <c r="M425" s="2">
        <f>IF(J425="1000+", 1000, (LEFT(J425,FIND("-",J425)-1)+RIGHT(J425,LEN(J425)-FIND("-",J425)))/2)</f>
        <v>115</v>
      </c>
      <c r="N425" s="2">
        <f>ROUND(E425 * 0.7+F425 * 0.2+G425 * 0.1,2)</f>
        <v>69.2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75</v>
      </c>
      <c r="P425" s="2">
        <f>E425 - O425</f>
        <v>-3</v>
      </c>
      <c r="Q425" s="2">
        <f>ROUND(
  SIGN(P425)*
  IF(ABS(P425)&lt;=10,ABS(P425)*0.5,
     IF(ABS(P425)&lt;=15,5+(ABS(P425)-10)*(1.67/5),
        6.67+(ABS(P425)-15)*0.333)),
2)</f>
        <v>-1.5</v>
      </c>
    </row>
    <row r="426" spans="1:17" ht="34.5" customHeight="1" x14ac:dyDescent="0.3">
      <c r="A426" s="2">
        <v>2026</v>
      </c>
      <c r="B426" s="2">
        <v>425</v>
      </c>
      <c r="C426" s="17">
        <f>ROUND(MAX(MIN(N426 + Q426, 100), 0), 2)</f>
        <v>67.7</v>
      </c>
      <c r="D426" s="2" t="s">
        <v>1751</v>
      </c>
      <c r="E426" s="5">
        <v>70</v>
      </c>
      <c r="F426" s="7">
        <v>68</v>
      </c>
      <c r="G426" s="7">
        <v>61</v>
      </c>
      <c r="H426" s="2" t="s">
        <v>1760</v>
      </c>
      <c r="I426" s="2" t="s">
        <v>1764</v>
      </c>
      <c r="J426" s="3" t="s">
        <v>1775</v>
      </c>
      <c r="M426" s="2">
        <f>IF(J426="1000+", 1000, (LEFT(J426,FIND("-",J426)-1)+RIGHT(J426,LEN(J426)-FIND("-",J426)))/2)</f>
        <v>105</v>
      </c>
      <c r="N426" s="2">
        <f>ROUND(E426 * 0.7+F426 * 0.2+G426 * 0.1,2)</f>
        <v>68.7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72</v>
      </c>
      <c r="P426" s="2">
        <f>E426 - O426</f>
        <v>-2</v>
      </c>
      <c r="Q426" s="2">
        <f>ROUND(
  SIGN(P426)*
  IF(ABS(P426)&lt;=10,ABS(P426)*0.5,
     IF(ABS(P426)&lt;=15,5+(ABS(P426)-10)*(1.67/5),
        6.67+(ABS(P426)-15)*0.333)),
2)</f>
        <v>-1</v>
      </c>
    </row>
    <row r="427" spans="1:17" ht="34.5" customHeight="1" x14ac:dyDescent="0.3">
      <c r="B427" s="2">
        <v>426</v>
      </c>
      <c r="C427" s="17">
        <f>ROUND(MAX(MIN(N427 + Q427, 100), 0), 2)</f>
        <v>67.7</v>
      </c>
      <c r="D427" s="2" t="s">
        <v>410</v>
      </c>
      <c r="E427" s="5">
        <v>70</v>
      </c>
      <c r="F427" s="7">
        <v>66</v>
      </c>
      <c r="G427" s="7">
        <v>65</v>
      </c>
      <c r="H427" s="2" t="s">
        <v>71</v>
      </c>
      <c r="I427" s="2" t="s">
        <v>72</v>
      </c>
      <c r="J427" s="3" t="s">
        <v>122</v>
      </c>
      <c r="K427" s="2" t="s">
        <v>411</v>
      </c>
      <c r="M427" s="2">
        <f>IF(J427="1000+", 1000, (LEFT(J427,FIND("-",J427)-1)+RIGHT(J427,LEN(J427)-FIND("-",J427)))/2)</f>
        <v>105</v>
      </c>
      <c r="N427" s="2">
        <f>ROUND(E427 * 0.7+F427 * 0.2+G427 * 0.1,2)</f>
        <v>68.7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72</v>
      </c>
      <c r="P427" s="2">
        <f>E427 - O427</f>
        <v>-2</v>
      </c>
      <c r="Q427" s="2">
        <f>ROUND(
  SIGN(P427)*
  IF(ABS(P427)&lt;=10,ABS(P427)*0.5,
     IF(ABS(P427)&lt;=15,5+(ABS(P427)-10)*(1.67/5),
        6.67+(ABS(P427)-15)*0.333)),
2)</f>
        <v>-1</v>
      </c>
    </row>
    <row r="428" spans="1:17" ht="34.5" customHeight="1" x14ac:dyDescent="0.3">
      <c r="B428" s="2">
        <v>427</v>
      </c>
      <c r="C428" s="17">
        <f>ROUND(MAX(MIN(N428 + Q428, 100), 0), 2)</f>
        <v>67.7</v>
      </c>
      <c r="D428" s="2" t="s">
        <v>287</v>
      </c>
      <c r="E428" s="5">
        <v>70</v>
      </c>
      <c r="F428" s="5">
        <v>79</v>
      </c>
      <c r="G428" s="5">
        <v>79</v>
      </c>
      <c r="H428" s="2" t="s">
        <v>288</v>
      </c>
      <c r="I428" s="2" t="s">
        <v>228</v>
      </c>
      <c r="J428" s="3" t="s">
        <v>88</v>
      </c>
      <c r="K428" s="2" t="s">
        <v>289</v>
      </c>
      <c r="M428" s="2">
        <f>IF(J428="1000+", 1000, (LEFT(J428,FIND("-",J428)-1)+RIGHT(J428,LEN(J428)-FIND("-",J428)))/2)</f>
        <v>150</v>
      </c>
      <c r="N428" s="2">
        <f>ROUND(E428 * 0.7+F428 * 0.2+G428 * 0.1,2)</f>
        <v>72.7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80</v>
      </c>
      <c r="P428" s="2">
        <f>E428 - O428</f>
        <v>-10</v>
      </c>
      <c r="Q428" s="2">
        <f>ROUND(
  SIGN(P428)*
  IF(ABS(P428)&lt;=10,ABS(P428)*0.5,
     IF(ABS(P428)&lt;=15,5+(ABS(P428)-10)*(1.67/5),
        6.67+(ABS(P428)-15)*0.333)),
2)</f>
        <v>-5</v>
      </c>
    </row>
    <row r="429" spans="1:17" ht="34.5" customHeight="1" x14ac:dyDescent="0.3">
      <c r="A429" s="2">
        <v>2026</v>
      </c>
      <c r="B429" s="2">
        <v>428</v>
      </c>
      <c r="C429" s="17">
        <f>ROUND(MAX(MIN(N429 + Q429, 100), 0), 2)</f>
        <v>67.63</v>
      </c>
      <c r="D429" s="2" t="s">
        <v>1512</v>
      </c>
      <c r="E429" s="5">
        <v>72</v>
      </c>
      <c r="F429" s="6">
        <v>85</v>
      </c>
      <c r="G429" s="7">
        <v>69</v>
      </c>
      <c r="H429" s="2" t="s">
        <v>1487</v>
      </c>
      <c r="I429" s="2" t="s">
        <v>1529</v>
      </c>
      <c r="J429" s="3" t="s">
        <v>1540</v>
      </c>
      <c r="M429" s="2">
        <f>IF(J429="1000+", 1000, (LEFT(J429,FIND("-",J429)-1)+RIGHT(J429,LEN(J429)-FIND("-",J429)))/2)</f>
        <v>250</v>
      </c>
      <c r="N429" s="2">
        <f>ROUND(E429 * 0.7+F429 * 0.2+G429 * 0.1,2)</f>
        <v>74.3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87</v>
      </c>
      <c r="P429" s="2">
        <f>E429 - O429</f>
        <v>-15</v>
      </c>
      <c r="Q429" s="2">
        <f>ROUND(
  SIGN(P429)*
  IF(ABS(P429)&lt;=10,ABS(P429)*0.5,
     IF(ABS(P429)&lt;=15,5+(ABS(P429)-10)*(1.67/5),
        6.67+(ABS(P429)-15)*0.333)),
2)</f>
        <v>-6.67</v>
      </c>
    </row>
    <row r="430" spans="1:17" ht="34.5" customHeight="1" x14ac:dyDescent="0.3">
      <c r="A430" s="2">
        <v>2026</v>
      </c>
      <c r="B430" s="2">
        <v>429</v>
      </c>
      <c r="C430" s="17">
        <f>ROUND(MAX(MIN(N430 + Q430, 100), 0), 2)</f>
        <v>67.63</v>
      </c>
      <c r="D430" s="2" t="s">
        <v>1642</v>
      </c>
      <c r="E430" s="5">
        <v>73</v>
      </c>
      <c r="F430" s="5">
        <v>77</v>
      </c>
      <c r="G430" s="7">
        <v>68</v>
      </c>
      <c r="H430" s="2" t="s">
        <v>1644</v>
      </c>
      <c r="I430" s="2" t="s">
        <v>1653</v>
      </c>
      <c r="J430" s="3" t="s">
        <v>1660</v>
      </c>
      <c r="M430" s="2">
        <f>IF(J430="1000+", 1000, (LEFT(J430,FIND("-",J430)-1)+RIGHT(J430,LEN(J430)-FIND("-",J430)))/2)</f>
        <v>225</v>
      </c>
      <c r="N430" s="2">
        <f>ROUND(E430 * 0.7+F430 * 0.2+G430 * 0.1,2)</f>
        <v>73.3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85</v>
      </c>
      <c r="P430" s="2">
        <f>E430 - O430</f>
        <v>-12</v>
      </c>
      <c r="Q430" s="2">
        <f>ROUND(
  SIGN(P430)*
  IF(ABS(P430)&lt;=10,ABS(P430)*0.5,
     IF(ABS(P430)&lt;=15,5+(ABS(P430)-10)*(1.67/5),
        6.67+(ABS(P430)-15)*0.333)),
2)</f>
        <v>-5.67</v>
      </c>
    </row>
    <row r="431" spans="1:17" ht="34.5" customHeight="1" x14ac:dyDescent="0.3">
      <c r="B431" s="2">
        <v>430</v>
      </c>
      <c r="C431" s="17">
        <f>ROUND(MAX(MIN(N431 + Q431, 100), 0), 2)</f>
        <v>67.599999999999994</v>
      </c>
      <c r="D431" s="2" t="s">
        <v>457</v>
      </c>
      <c r="E431" s="5">
        <v>72</v>
      </c>
      <c r="F431" s="7">
        <v>60</v>
      </c>
      <c r="G431" s="2">
        <v>52</v>
      </c>
      <c r="H431" s="2" t="s">
        <v>31</v>
      </c>
      <c r="I431" s="2" t="s">
        <v>273</v>
      </c>
      <c r="J431" s="3" t="s">
        <v>122</v>
      </c>
      <c r="K431" s="2" t="s">
        <v>458</v>
      </c>
      <c r="M431" s="2">
        <f>IF(J431="1000+", 1000, (LEFT(J431,FIND("-",J431)-1)+RIGHT(J431,LEN(J431)-FIND("-",J431)))/2)</f>
        <v>105</v>
      </c>
      <c r="N431" s="2">
        <f>ROUND(E431 * 0.7+F431 * 0.2+G431 * 0.1,2)</f>
        <v>67.599999999999994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72</v>
      </c>
      <c r="P431" s="2">
        <f>E431 - O431</f>
        <v>0</v>
      </c>
      <c r="Q431" s="2">
        <f>ROUND(
  SIGN(P431)*
  IF(ABS(P431)&lt;=10,ABS(P431)*0.5,
     IF(ABS(P431)&lt;=15,5+(ABS(P431)-10)*(1.67/5),
        6.67+(ABS(P431)-15)*0.333)),
2)</f>
        <v>0</v>
      </c>
    </row>
    <row r="432" spans="1:17" ht="34.5" customHeight="1" x14ac:dyDescent="0.3">
      <c r="B432" s="2">
        <v>431</v>
      </c>
      <c r="C432" s="17">
        <f>ROUND(MAX(MIN(N432 + Q432, 100), 0), 2)</f>
        <v>67.599999999999994</v>
      </c>
      <c r="D432" s="2" t="s">
        <v>481</v>
      </c>
      <c r="E432" s="7">
        <v>69</v>
      </c>
      <c r="F432" s="7">
        <v>60</v>
      </c>
      <c r="G432" s="2">
        <v>53</v>
      </c>
      <c r="H432" s="2" t="s">
        <v>31</v>
      </c>
      <c r="I432" s="2" t="s">
        <v>36</v>
      </c>
      <c r="J432" s="3" t="s">
        <v>32</v>
      </c>
      <c r="M432" s="2">
        <f>IF(J432="1000+", 1000, (LEFT(J432,FIND("-",J432)-1)+RIGHT(J432,LEN(J432)-FIND("-",J432)))/2)</f>
        <v>45</v>
      </c>
      <c r="N432" s="2">
        <f>ROUND(E432 * 0.7+F432 * 0.2+G432 * 0.1,2)</f>
        <v>65.599999999999994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65</v>
      </c>
      <c r="P432" s="2">
        <f>E432 - O432</f>
        <v>4</v>
      </c>
      <c r="Q432" s="2">
        <f>ROUND(
  SIGN(P432)*
  IF(ABS(P432)&lt;=10,ABS(P432)*0.5,
     IF(ABS(P432)&lt;=15,5+(ABS(P432)-10)*(1.67/5),
        6.67+(ABS(P432)-15)*0.333)),
2)</f>
        <v>2</v>
      </c>
    </row>
    <row r="433" spans="1:17" ht="34.5" customHeight="1" x14ac:dyDescent="0.3">
      <c r="B433" s="2">
        <v>432</v>
      </c>
      <c r="C433" s="17">
        <f>ROUND(MAX(MIN(N433 + Q433, 100), 0), 2)</f>
        <v>67.599999999999994</v>
      </c>
      <c r="D433" s="2" t="s">
        <v>461</v>
      </c>
      <c r="E433" s="5">
        <v>70</v>
      </c>
      <c r="F433" s="7">
        <v>62</v>
      </c>
      <c r="G433" s="2">
        <v>52</v>
      </c>
      <c r="H433" s="2" t="s">
        <v>462</v>
      </c>
      <c r="I433" s="2" t="s">
        <v>68</v>
      </c>
      <c r="J433" s="3" t="s">
        <v>23</v>
      </c>
      <c r="M433" s="2">
        <f>IF(J433="1000+", 1000, (LEFT(J433,FIND("-",J433)-1)+RIGHT(J433,LEN(J433)-FIND("-",J433)))/2)</f>
        <v>60</v>
      </c>
      <c r="N433" s="2">
        <f>ROUND(E433 * 0.7+F433 * 0.2+G433 * 0.1,2)</f>
        <v>66.599999999999994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68</v>
      </c>
      <c r="P433" s="2">
        <f>E433 - O433</f>
        <v>2</v>
      </c>
      <c r="Q433" s="2">
        <f>ROUND(
  SIGN(P433)*
  IF(ABS(P433)&lt;=10,ABS(P433)*0.5,
     IF(ABS(P433)&lt;=15,5+(ABS(P433)-10)*(1.67/5),
        6.67+(ABS(P433)-15)*0.333)),
2)</f>
        <v>1</v>
      </c>
    </row>
    <row r="434" spans="1:17" ht="34.5" customHeight="1" x14ac:dyDescent="0.3">
      <c r="A434" s="2">
        <v>2026</v>
      </c>
      <c r="B434" s="2">
        <v>433</v>
      </c>
      <c r="C434" s="17">
        <f>ROUND(MAX(MIN(N434 + Q434, 100), 0), 2)</f>
        <v>67.599999999999994</v>
      </c>
      <c r="D434" s="11" t="s">
        <v>1335</v>
      </c>
      <c r="E434" s="5">
        <v>71</v>
      </c>
      <c r="F434" s="7">
        <v>66</v>
      </c>
      <c r="G434" s="2">
        <v>52</v>
      </c>
      <c r="H434" s="11" t="s">
        <v>1256</v>
      </c>
      <c r="I434" s="11" t="s">
        <v>1258</v>
      </c>
      <c r="J434" s="19" t="s">
        <v>1279</v>
      </c>
      <c r="K434" s="11" t="s">
        <v>1348</v>
      </c>
      <c r="M434" s="2">
        <f>IF(J434="1000+", 1000, (LEFT(J434,FIND("-",J434)-1)+RIGHT(J434,LEN(J434)-FIND("-",J434)))/2)</f>
        <v>105</v>
      </c>
      <c r="N434" s="2">
        <f>ROUND(E434 * 0.7+F434 * 0.2+G434 * 0.1,2)</f>
        <v>68.099999999999994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72</v>
      </c>
      <c r="P434" s="2">
        <f>E434 - O434</f>
        <v>-1</v>
      </c>
      <c r="Q434" s="2">
        <f>ROUND(
  SIGN(P434)*
  IF(ABS(P434)&lt;=10,ABS(P434)*0.5,
     IF(ABS(P434)&lt;=15,5+(ABS(P434)-10)*(1.67/5),
        6.67+(ABS(P434)-15)*0.333)),
2)</f>
        <v>-0.5</v>
      </c>
    </row>
    <row r="435" spans="1:17" ht="34.5" customHeight="1" x14ac:dyDescent="0.3">
      <c r="B435" s="2">
        <v>434</v>
      </c>
      <c r="C435" s="17">
        <f>ROUND(MAX(MIN(N435 + Q435, 100), 0), 2)</f>
        <v>67.599999999999994</v>
      </c>
      <c r="D435" s="2" t="s">
        <v>460</v>
      </c>
      <c r="E435" s="7">
        <v>68</v>
      </c>
      <c r="F435" s="7">
        <v>65</v>
      </c>
      <c r="G435" s="2">
        <v>55</v>
      </c>
      <c r="H435" s="2" t="s">
        <v>48</v>
      </c>
      <c r="I435" s="2" t="s">
        <v>22</v>
      </c>
      <c r="J435" s="3" t="s">
        <v>32</v>
      </c>
      <c r="M435" s="2">
        <f>IF(J435="1000+", 1000, (LEFT(J435,FIND("-",J435)-1)+RIGHT(J435,LEN(J435)-FIND("-",J435)))/2)</f>
        <v>45</v>
      </c>
      <c r="N435" s="2">
        <f>ROUND(E435 * 0.7+F435 * 0.2+G435 * 0.1,2)</f>
        <v>66.099999999999994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65</v>
      </c>
      <c r="P435" s="2">
        <f>E435 - O435</f>
        <v>3</v>
      </c>
      <c r="Q435" s="2">
        <f>ROUND(
  SIGN(P435)*
  IF(ABS(P435)&lt;=10,ABS(P435)*0.5,
     IF(ABS(P435)&lt;=15,5+(ABS(P435)-10)*(1.67/5),
        6.67+(ABS(P435)-15)*0.333)),
2)</f>
        <v>1.5</v>
      </c>
    </row>
    <row r="436" spans="1:17" ht="34.5" customHeight="1" x14ac:dyDescent="0.3">
      <c r="B436" s="2">
        <v>435</v>
      </c>
      <c r="C436" s="17">
        <f>ROUND(MAX(MIN(N436 + Q436, 100), 0), 2)</f>
        <v>67.599999999999994</v>
      </c>
      <c r="D436" s="2" t="s">
        <v>435</v>
      </c>
      <c r="E436" s="7">
        <v>69</v>
      </c>
      <c r="F436" s="2">
        <v>54</v>
      </c>
      <c r="G436" s="6">
        <v>80</v>
      </c>
      <c r="H436" s="2" t="s">
        <v>40</v>
      </c>
      <c r="I436" s="2" t="s">
        <v>72</v>
      </c>
      <c r="J436" s="3" t="s">
        <v>23</v>
      </c>
      <c r="M436" s="2">
        <f>IF(J436="1000+", 1000, (LEFT(J436,FIND("-",J436)-1)+RIGHT(J436,LEN(J436)-FIND("-",J436)))/2)</f>
        <v>60</v>
      </c>
      <c r="N436" s="2">
        <f>ROUND(E436 * 0.7+F436 * 0.2+G436 * 0.1,2)</f>
        <v>67.099999999999994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68</v>
      </c>
      <c r="P436" s="2">
        <f>E436 - O436</f>
        <v>1</v>
      </c>
      <c r="Q436" s="2">
        <f>ROUND(
  SIGN(P436)*
  IF(ABS(P436)&lt;=10,ABS(P436)*0.5,
     IF(ABS(P436)&lt;=15,5+(ABS(P436)-10)*(1.67/5),
        6.67+(ABS(P436)-15)*0.333)),
2)</f>
        <v>0.5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67.5</v>
      </c>
      <c r="D437" s="2" t="s">
        <v>1553</v>
      </c>
      <c r="E437" s="7">
        <v>69</v>
      </c>
      <c r="F437" s="2">
        <v>51</v>
      </c>
      <c r="G437" s="2">
        <v>45</v>
      </c>
      <c r="H437" s="2" t="s">
        <v>1563</v>
      </c>
      <c r="I437" s="2" t="s">
        <v>1567</v>
      </c>
      <c r="J437" s="3" t="s">
        <v>1571</v>
      </c>
      <c r="M437" s="2">
        <f>IF(J437="1000+", 1000, (LEFT(J437,FIND("-",J437)-1)+RIGHT(J437,LEN(J437)-FIND("-",J437)))/2)</f>
        <v>20</v>
      </c>
      <c r="N437" s="2">
        <f>ROUND(E437 * 0.7+F437 * 0.2+G437 * 0.1,2)</f>
        <v>63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60</v>
      </c>
      <c r="P437" s="2">
        <f>E437 - O437</f>
        <v>9</v>
      </c>
      <c r="Q437" s="2">
        <f>ROUND(
  SIGN(P437)*
  IF(ABS(P437)&lt;=10,ABS(P437)*0.5,
     IF(ABS(P437)&lt;=15,5+(ABS(P437)-10)*(1.67/5),
        6.67+(ABS(P437)-15)*0.333)),
2)</f>
        <v>4.5</v>
      </c>
    </row>
    <row r="438" spans="1:17" ht="34.5" customHeight="1" x14ac:dyDescent="0.3">
      <c r="B438" s="2">
        <v>437</v>
      </c>
      <c r="C438" s="17">
        <f>ROUND(MAX(MIN(N438 + Q438, 100), 0), 2)</f>
        <v>67.5</v>
      </c>
      <c r="D438" s="2" t="s">
        <v>546</v>
      </c>
      <c r="E438" s="7">
        <v>68</v>
      </c>
      <c r="F438" s="2">
        <v>56</v>
      </c>
      <c r="G438" s="2">
        <v>47</v>
      </c>
      <c r="H438" s="2" t="s">
        <v>149</v>
      </c>
      <c r="I438" s="2" t="s">
        <v>36</v>
      </c>
      <c r="J438" s="3" t="s">
        <v>132</v>
      </c>
      <c r="M438" s="2">
        <f>IF(J438="1000+", 1000, (LEFT(J438,FIND("-",J438)-1)+RIGHT(J438,LEN(J438)-FIND("-",J438)))/2)</f>
        <v>20</v>
      </c>
      <c r="N438" s="2">
        <f>ROUND(E438 * 0.7+F438 * 0.2+G438 * 0.1,2)</f>
        <v>63.5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60</v>
      </c>
      <c r="P438" s="2">
        <f>E438 - O438</f>
        <v>8</v>
      </c>
      <c r="Q438" s="2">
        <f>ROUND(
  SIGN(P438)*
  IF(ABS(P438)&lt;=10,ABS(P438)*0.5,
     IF(ABS(P438)&lt;=15,5+(ABS(P438)-10)*(1.67/5),
        6.67+(ABS(P438)-15)*0.333)),
2)</f>
        <v>4</v>
      </c>
    </row>
    <row r="439" spans="1:17" ht="34.5" customHeight="1" x14ac:dyDescent="0.3">
      <c r="B439" s="2">
        <v>438</v>
      </c>
      <c r="C439" s="17">
        <f>ROUND(MAX(MIN(N439 + Q439, 100), 0), 2)</f>
        <v>67.5</v>
      </c>
      <c r="D439" s="2" t="s">
        <v>493</v>
      </c>
      <c r="E439" s="7">
        <v>69</v>
      </c>
      <c r="F439" s="7">
        <v>60</v>
      </c>
      <c r="G439" s="2">
        <v>52</v>
      </c>
      <c r="H439" s="2" t="s">
        <v>48</v>
      </c>
      <c r="I439" s="2" t="s">
        <v>36</v>
      </c>
      <c r="J439" s="3" t="s">
        <v>32</v>
      </c>
      <c r="M439" s="2">
        <f>IF(J439="1000+", 1000, (LEFT(J439,FIND("-",J439)-1)+RIGHT(J439,LEN(J439)-FIND("-",J439)))/2)</f>
        <v>45</v>
      </c>
      <c r="N439" s="2">
        <f>ROUND(E439 * 0.7+F439 * 0.2+G439 * 0.1,2)</f>
        <v>65.5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65</v>
      </c>
      <c r="P439" s="2">
        <f>E439 - O439</f>
        <v>4</v>
      </c>
      <c r="Q439" s="2">
        <f>ROUND(
  SIGN(P439)*
  IF(ABS(P439)&lt;=10,ABS(P439)*0.5,
     IF(ABS(P439)&lt;=15,5+(ABS(P439)-10)*(1.67/5),
        6.67+(ABS(P439)-15)*0.333)),
2)</f>
        <v>2</v>
      </c>
    </row>
    <row r="440" spans="1:17" ht="34.5" customHeight="1" x14ac:dyDescent="0.3">
      <c r="B440" s="2">
        <v>439</v>
      </c>
      <c r="C440" s="17">
        <f>ROUND(MAX(MIN(N440 + Q440, 100), 0), 2)</f>
        <v>67.5</v>
      </c>
      <c r="D440" s="2" t="s">
        <v>494</v>
      </c>
      <c r="E440" s="5">
        <v>71</v>
      </c>
      <c r="F440" s="7">
        <v>61</v>
      </c>
      <c r="G440" s="7">
        <v>61</v>
      </c>
      <c r="H440" s="2" t="s">
        <v>64</v>
      </c>
      <c r="I440" s="2" t="s">
        <v>13</v>
      </c>
      <c r="J440" s="3" t="s">
        <v>122</v>
      </c>
      <c r="M440" s="2">
        <f>IF(J440="1000+", 1000, (LEFT(J440,FIND("-",J440)-1)+RIGHT(J440,LEN(J440)-FIND("-",J440)))/2)</f>
        <v>105</v>
      </c>
      <c r="N440" s="2">
        <f>ROUND(E440 * 0.7+F440 * 0.2+G440 * 0.1,2)</f>
        <v>68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72</v>
      </c>
      <c r="P440" s="2">
        <f>E440 - O440</f>
        <v>-1</v>
      </c>
      <c r="Q440" s="2">
        <f>ROUND(
  SIGN(P440)*
  IF(ABS(P440)&lt;=10,ABS(P440)*0.5,
     IF(ABS(P440)&lt;=15,5+(ABS(P440)-10)*(1.67/5),
        6.67+(ABS(P440)-15)*0.333)),
2)</f>
        <v>-0.5</v>
      </c>
    </row>
    <row r="441" spans="1:17" ht="34.5" customHeight="1" x14ac:dyDescent="0.3">
      <c r="B441" s="2">
        <v>440</v>
      </c>
      <c r="C441" s="17">
        <f>ROUND(MAX(MIN(N441 + Q441, 100), 0), 2)</f>
        <v>67.430000000000007</v>
      </c>
      <c r="D441" s="2" t="s">
        <v>430</v>
      </c>
      <c r="E441" s="5">
        <v>72</v>
      </c>
      <c r="F441" s="6">
        <v>84</v>
      </c>
      <c r="G441" s="5">
        <v>79</v>
      </c>
      <c r="H441" s="2" t="s">
        <v>104</v>
      </c>
      <c r="I441" s="2" t="s">
        <v>177</v>
      </c>
      <c r="J441" s="3" t="s">
        <v>42</v>
      </c>
      <c r="M441" s="2">
        <f>IF(J441="1000+", 1000, (LEFT(J441,FIND("-",J441)-1)+RIGHT(J441,LEN(J441)-FIND("-",J441)))/2)</f>
        <v>600</v>
      </c>
      <c r="N441" s="2">
        <f>ROUND(E441 * 0.7+F441 * 0.2+G441 * 0.1,2)</f>
        <v>75.099999999999994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90</v>
      </c>
      <c r="P441" s="2">
        <f>E441 - O441</f>
        <v>-18</v>
      </c>
      <c r="Q441" s="2">
        <f>ROUND(
  SIGN(P441)*
  IF(ABS(P441)&lt;=10,ABS(P441)*0.5,
     IF(ABS(P441)&lt;=15,5+(ABS(P441)-10)*(1.67/5),
        6.67+(ABS(P441)-15)*0.333)),
2)</f>
        <v>-7.67</v>
      </c>
    </row>
    <row r="442" spans="1:17" ht="34.5" customHeight="1" x14ac:dyDescent="0.3">
      <c r="B442" s="2">
        <v>441</v>
      </c>
      <c r="C442" s="17">
        <f>ROUND(MAX(MIN(N442 + Q442, 100), 0), 2)</f>
        <v>67.430000000000007</v>
      </c>
      <c r="D442" s="2" t="s">
        <v>479</v>
      </c>
      <c r="E442" s="5">
        <v>72</v>
      </c>
      <c r="F442" s="5">
        <v>79</v>
      </c>
      <c r="G442" s="6">
        <v>89</v>
      </c>
      <c r="H442" s="2" t="s">
        <v>48</v>
      </c>
      <c r="I442" s="2" t="s">
        <v>165</v>
      </c>
      <c r="J442" s="3" t="s">
        <v>42</v>
      </c>
      <c r="K442" s="2" t="s">
        <v>480</v>
      </c>
      <c r="M442" s="2">
        <f>IF(J442="1000+", 1000, (LEFT(J442,FIND("-",J442)-1)+RIGHT(J442,LEN(J442)-FIND("-",J442)))/2)</f>
        <v>600</v>
      </c>
      <c r="N442" s="2">
        <f>ROUND(E442 * 0.7+F442 * 0.2+G442 * 0.1,2)</f>
        <v>75.099999999999994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90</v>
      </c>
      <c r="P442" s="2">
        <f>E442 - O442</f>
        <v>-18</v>
      </c>
      <c r="Q442" s="2">
        <f>ROUND(
  SIGN(P442)*
  IF(ABS(P442)&lt;=10,ABS(P442)*0.5,
     IF(ABS(P442)&lt;=15,5+(ABS(P442)-10)*(1.67/5),
        6.67+(ABS(P442)-15)*0.333)),
2)</f>
        <v>-7.67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67.400000000000006</v>
      </c>
      <c r="D443" s="2" t="s">
        <v>1671</v>
      </c>
      <c r="E443" s="7">
        <v>67</v>
      </c>
      <c r="F443" s="7">
        <v>60</v>
      </c>
      <c r="G443" s="2">
        <v>50</v>
      </c>
      <c r="H443" s="2" t="s">
        <v>1676</v>
      </c>
      <c r="I443" s="2" t="s">
        <v>36</v>
      </c>
      <c r="J443" s="3" t="s">
        <v>132</v>
      </c>
      <c r="M443" s="2">
        <f>IF(J443="1000+", 1000, (LEFT(J443,FIND("-",J443)-1)+RIGHT(J443,LEN(J443)-FIND("-",J443)))/2)</f>
        <v>20</v>
      </c>
      <c r="N443" s="2">
        <f>ROUND(E443 * 0.7+F443 * 0.2+G443 * 0.1,2)</f>
        <v>63.9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60</v>
      </c>
      <c r="P443" s="2">
        <f>E443 - O443</f>
        <v>7</v>
      </c>
      <c r="Q443" s="2">
        <f>ROUND(
  SIGN(P443)*
  IF(ABS(P443)&lt;=10,ABS(P443)*0.5,
     IF(ABS(P443)&lt;=15,5+(ABS(P443)-10)*(1.67/5),
        6.67+(ABS(P443)-15)*0.333)),
2)</f>
        <v>3.5</v>
      </c>
    </row>
    <row r="444" spans="1:17" ht="34.5" customHeight="1" x14ac:dyDescent="0.3">
      <c r="B444" s="2">
        <v>443</v>
      </c>
      <c r="C444" s="17">
        <f>ROUND(MAX(MIN(N444 + Q444, 100), 0), 2)</f>
        <v>67.400000000000006</v>
      </c>
      <c r="D444" s="2" t="s">
        <v>421</v>
      </c>
      <c r="E444" s="7">
        <v>69</v>
      </c>
      <c r="F444" s="7">
        <v>66</v>
      </c>
      <c r="G444" s="7">
        <v>64</v>
      </c>
      <c r="H444" s="2" t="s">
        <v>48</v>
      </c>
      <c r="I444" s="2" t="s">
        <v>106</v>
      </c>
      <c r="J444" s="3" t="s">
        <v>18</v>
      </c>
      <c r="M444" s="2">
        <f>IF(J444="1000+", 1000, (LEFT(J444,FIND("-",J444)-1)+RIGHT(J444,LEN(J444)-FIND("-",J444)))/2)</f>
        <v>75</v>
      </c>
      <c r="N444" s="2">
        <f>ROUND(E444 * 0.7+F444 * 0.2+G444 * 0.1,2)</f>
        <v>67.900000000000006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70</v>
      </c>
      <c r="P444" s="2">
        <f>E444 - O444</f>
        <v>-1</v>
      </c>
      <c r="Q444" s="2">
        <f>ROUND(
  SIGN(P444)*
  IF(ABS(P444)&lt;=10,ABS(P444)*0.5,
     IF(ABS(P444)&lt;=15,5+(ABS(P444)-10)*(1.67/5),
        6.67+(ABS(P444)-15)*0.333)),
2)</f>
        <v>-0.5</v>
      </c>
    </row>
    <row r="445" spans="1:17" ht="34.5" customHeight="1" x14ac:dyDescent="0.3">
      <c r="B445" s="2">
        <v>444</v>
      </c>
      <c r="C445" s="17">
        <f>ROUND(MAX(MIN(N445 + Q445, 100), 0), 2)</f>
        <v>67.400000000000006</v>
      </c>
      <c r="D445" s="2" t="s">
        <v>425</v>
      </c>
      <c r="E445" s="7">
        <v>69</v>
      </c>
      <c r="F445" s="2">
        <v>56</v>
      </c>
      <c r="G445" s="6">
        <v>84</v>
      </c>
      <c r="H445" s="2" t="s">
        <v>21</v>
      </c>
      <c r="I445" s="2" t="s">
        <v>72</v>
      </c>
      <c r="J445" s="3" t="s">
        <v>18</v>
      </c>
      <c r="M445" s="2">
        <f>IF(J445="1000+", 1000, (LEFT(J445,FIND("-",J445)-1)+RIGHT(J445,LEN(J445)-FIND("-",J445)))/2)</f>
        <v>75</v>
      </c>
      <c r="N445" s="2">
        <f>ROUND(E445 * 0.7+F445 * 0.2+G445 * 0.1,2)</f>
        <v>67.900000000000006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70</v>
      </c>
      <c r="P445" s="2">
        <f>E445 - O445</f>
        <v>-1</v>
      </c>
      <c r="Q445" s="2">
        <f>ROUND(
  SIGN(P445)*
  IF(ABS(P445)&lt;=10,ABS(P445)*0.5,
     IF(ABS(P445)&lt;=15,5+(ABS(P445)-10)*(1.67/5),
        6.67+(ABS(P445)-15)*0.333)),
2)</f>
        <v>-0.5</v>
      </c>
    </row>
    <row r="446" spans="1:17" ht="34.5" customHeight="1" x14ac:dyDescent="0.3">
      <c r="A446" s="2">
        <v>2026</v>
      </c>
      <c r="B446" s="2">
        <v>445</v>
      </c>
      <c r="C446" s="17">
        <f>ROUND(MAX(MIN(N446 + Q446, 100), 0), 2)</f>
        <v>67.400000000000006</v>
      </c>
      <c r="D446" s="2" t="s">
        <v>2027</v>
      </c>
      <c r="E446" s="5">
        <v>75</v>
      </c>
      <c r="F446" s="2">
        <v>40</v>
      </c>
      <c r="G446" s="2">
        <v>54</v>
      </c>
      <c r="H446" s="2" t="s">
        <v>1256</v>
      </c>
      <c r="I446" s="2" t="s">
        <v>1258</v>
      </c>
      <c r="J446" s="3" t="s">
        <v>1279</v>
      </c>
      <c r="M446" s="2">
        <f>IF(J446="1000+", 1000, (LEFT(J446,FIND("-",J446)-1)+RIGHT(J446,LEN(J446)-FIND("-",J446)))/2)</f>
        <v>105</v>
      </c>
      <c r="N446" s="2">
        <f>ROUND(E446 * 0.7+F446 * 0.2+G446 * 0.1,2)</f>
        <v>65.900000000000006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72</v>
      </c>
      <c r="P446" s="2">
        <f>E446 - O446</f>
        <v>3</v>
      </c>
      <c r="Q446" s="2">
        <f>ROUND(
  SIGN(P446)*
  IF(ABS(P446)&lt;=10,ABS(P446)*0.5,
     IF(ABS(P446)&lt;=15,5+(ABS(P446)-10)*(1.67/5),
        6.67+(ABS(P446)-15)*0.333)),
2)</f>
        <v>1.5</v>
      </c>
    </row>
    <row r="447" spans="1:17" ht="34.5" customHeight="1" x14ac:dyDescent="0.3">
      <c r="A447" s="2">
        <v>2026</v>
      </c>
      <c r="B447" s="2">
        <v>446</v>
      </c>
      <c r="C447" s="17">
        <f>ROUND(MAX(MIN(N447 + Q447, 100), 0), 2)</f>
        <v>67.3</v>
      </c>
      <c r="D447" s="2" t="s">
        <v>1962</v>
      </c>
      <c r="E447" s="5">
        <v>71</v>
      </c>
      <c r="F447" s="7">
        <v>61</v>
      </c>
      <c r="G447" s="2">
        <v>59</v>
      </c>
      <c r="H447" s="2" t="s">
        <v>1256</v>
      </c>
      <c r="I447" s="2" t="s">
        <v>1386</v>
      </c>
      <c r="J447" s="3" t="s">
        <v>1279</v>
      </c>
      <c r="M447" s="2">
        <f>IF(J447="1000+", 1000, (LEFT(J447,FIND("-",J447)-1)+RIGHT(J447,LEN(J447)-FIND("-",J447)))/2)</f>
        <v>105</v>
      </c>
      <c r="N447" s="2">
        <f>ROUND(E447 * 0.7+F447 * 0.2+G447 * 0.1,2)</f>
        <v>67.8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72</v>
      </c>
      <c r="P447" s="2">
        <f>E447 - O447</f>
        <v>-1</v>
      </c>
      <c r="Q447" s="2">
        <f>ROUND(
  SIGN(P447)*
  IF(ABS(P447)&lt;=10,ABS(P447)*0.5,
     IF(ABS(P447)&lt;=15,5+(ABS(P447)-10)*(1.67/5),
        6.67+(ABS(P447)-15)*0.333)),
2)</f>
        <v>-0.5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67.3</v>
      </c>
      <c r="D448" s="2" t="s">
        <v>1554</v>
      </c>
      <c r="E448" s="7">
        <v>69</v>
      </c>
      <c r="F448" s="2">
        <v>50</v>
      </c>
      <c r="G448" s="2">
        <v>45</v>
      </c>
      <c r="H448" s="2" t="s">
        <v>1565</v>
      </c>
      <c r="I448" s="2" t="s">
        <v>1567</v>
      </c>
      <c r="J448" s="3" t="s">
        <v>1571</v>
      </c>
      <c r="M448" s="2">
        <f>IF(J448="1000+", 1000, (LEFT(J448,FIND("-",J448)-1)+RIGHT(J448,LEN(J448)-FIND("-",J448)))/2)</f>
        <v>20</v>
      </c>
      <c r="N448" s="2">
        <f>ROUND(E448 * 0.7+F448 * 0.2+G448 * 0.1,2)</f>
        <v>62.8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60</v>
      </c>
      <c r="P448" s="2">
        <f>E448 - O448</f>
        <v>9</v>
      </c>
      <c r="Q448" s="2">
        <f>ROUND(
  SIGN(P448)*
  IF(ABS(P448)&lt;=10,ABS(P448)*0.5,
     IF(ABS(P448)&lt;=15,5+(ABS(P448)-10)*(1.67/5),
        6.67+(ABS(P448)-15)*0.333)),
2)</f>
        <v>4.5</v>
      </c>
    </row>
    <row r="449" spans="1:17" ht="34.5" customHeight="1" x14ac:dyDescent="0.3">
      <c r="B449" s="2">
        <v>448</v>
      </c>
      <c r="C449" s="17">
        <f>ROUND(MAX(MIN(N449 + Q449, 100), 0), 2)</f>
        <v>67.3</v>
      </c>
      <c r="D449" s="2" t="s">
        <v>554</v>
      </c>
      <c r="E449" s="5">
        <v>74</v>
      </c>
      <c r="F449" s="2">
        <v>53</v>
      </c>
      <c r="G449" s="2">
        <v>54</v>
      </c>
      <c r="H449" s="2" t="s">
        <v>21</v>
      </c>
      <c r="I449" s="2" t="s">
        <v>72</v>
      </c>
      <c r="J449" s="3" t="s">
        <v>140</v>
      </c>
      <c r="M449" s="2">
        <f>IF(J449="1000+", 1000, (LEFT(J449,FIND("-",J449)-1)+RIGHT(J449,LEN(J449)-FIND("-",J449)))/2)</f>
        <v>115</v>
      </c>
      <c r="N449" s="2">
        <f>ROUND(E449 * 0.7+F449 * 0.2+G449 * 0.1,2)</f>
        <v>67.8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75</v>
      </c>
      <c r="P449" s="2">
        <f>E449 - O449</f>
        <v>-1</v>
      </c>
      <c r="Q449" s="2">
        <f>ROUND(
  SIGN(P449)*
  IF(ABS(P449)&lt;=10,ABS(P449)*0.5,
     IF(ABS(P449)&lt;=15,5+(ABS(P449)-10)*(1.67/5),
        6.67+(ABS(P449)-15)*0.333)),
2)</f>
        <v>-0.5</v>
      </c>
    </row>
    <row r="450" spans="1:17" ht="34.5" customHeight="1" x14ac:dyDescent="0.3">
      <c r="B450" s="2">
        <v>449</v>
      </c>
      <c r="C450" s="17">
        <f>ROUND(MAX(MIN(N450 + Q450, 100), 0), 2)</f>
        <v>67.3</v>
      </c>
      <c r="D450" s="2" t="s">
        <v>451</v>
      </c>
      <c r="E450" s="5">
        <v>75</v>
      </c>
      <c r="F450" s="7">
        <v>66</v>
      </c>
      <c r="G450" s="2">
        <v>51</v>
      </c>
      <c r="H450" s="2" t="s">
        <v>452</v>
      </c>
      <c r="I450" s="2" t="s">
        <v>17</v>
      </c>
      <c r="J450" s="3" t="s">
        <v>28</v>
      </c>
      <c r="M450" s="2">
        <f>IF(J450="1000+", 1000, (LEFT(J450,FIND("-",J450)-1)+RIGHT(J450,LEN(J450)-FIND("-",J450)))/2)</f>
        <v>200</v>
      </c>
      <c r="N450" s="2">
        <f>ROUND(E450 * 0.7+F450 * 0.2+G450 * 0.1,2)</f>
        <v>70.8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82</v>
      </c>
      <c r="P450" s="2">
        <f>E450 - O450</f>
        <v>-7</v>
      </c>
      <c r="Q450" s="2">
        <f>ROUND(
  SIGN(P450)*
  IF(ABS(P450)&lt;=10,ABS(P450)*0.5,
     IF(ABS(P450)&lt;=15,5+(ABS(P450)-10)*(1.67/5),
        6.67+(ABS(P450)-15)*0.333)),
2)</f>
        <v>-3.5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67.3</v>
      </c>
      <c r="D451" s="11" t="s">
        <v>1248</v>
      </c>
      <c r="E451" s="5">
        <v>73</v>
      </c>
      <c r="F451" s="5">
        <v>70</v>
      </c>
      <c r="G451" s="2">
        <v>57</v>
      </c>
      <c r="H451" s="11" t="s">
        <v>1256</v>
      </c>
      <c r="I451" s="11" t="s">
        <v>1258</v>
      </c>
      <c r="J451" s="19" t="s">
        <v>1260</v>
      </c>
      <c r="M451" s="2">
        <f>IF(J451="1000+", 1000, (LEFT(J451,FIND("-",J451)-1)+RIGHT(J451,LEN(J451)-FIND("-",J451)))/2)</f>
        <v>150</v>
      </c>
      <c r="N451" s="2">
        <f>ROUND(E451 * 0.7+F451 * 0.2+G451 * 0.1,2)</f>
        <v>70.8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80</v>
      </c>
      <c r="P451" s="2">
        <f>E451 - O451</f>
        <v>-7</v>
      </c>
      <c r="Q451" s="2">
        <f>ROUND(
  SIGN(P451)*
  IF(ABS(P451)&lt;=10,ABS(P451)*0.5,
     IF(ABS(P451)&lt;=15,5+(ABS(P451)-10)*(1.67/5),
        6.67+(ABS(P451)-15)*0.333)),
2)</f>
        <v>-3.5</v>
      </c>
    </row>
    <row r="452" spans="1:17" ht="34.5" customHeight="1" x14ac:dyDescent="0.3">
      <c r="A452" s="2">
        <v>2026</v>
      </c>
      <c r="B452" s="2">
        <v>451</v>
      </c>
      <c r="C452" s="17">
        <f>ROUND(MAX(MIN(N452 + Q452, 100), 0), 2)</f>
        <v>67.3</v>
      </c>
      <c r="D452" s="2" t="s">
        <v>1709</v>
      </c>
      <c r="E452" s="5">
        <v>70</v>
      </c>
      <c r="F452" s="7">
        <v>65</v>
      </c>
      <c r="G452" s="7">
        <v>63</v>
      </c>
      <c r="H452" s="2" t="s">
        <v>1723</v>
      </c>
      <c r="I452" s="2" t="s">
        <v>1727</v>
      </c>
      <c r="J452" s="3" t="s">
        <v>1733</v>
      </c>
      <c r="M452" s="2">
        <f>IF(J452="1000+", 1000, (LEFT(J452,FIND("-",J452)-1)+RIGHT(J452,LEN(J452)-FIND("-",J452)))/2)</f>
        <v>105</v>
      </c>
      <c r="N452" s="2">
        <f>ROUND(E452 * 0.7+F452 * 0.2+G452 * 0.1,2)</f>
        <v>68.3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72</v>
      </c>
      <c r="P452" s="2">
        <f>E452 - O452</f>
        <v>-2</v>
      </c>
      <c r="Q452" s="2">
        <f>ROUND(
  SIGN(P452)*
  IF(ABS(P452)&lt;=10,ABS(P452)*0.5,
     IF(ABS(P452)&lt;=15,5+(ABS(P452)-10)*(1.67/5),
        6.67+(ABS(P452)-15)*0.333)),
2)</f>
        <v>-1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67.3</v>
      </c>
      <c r="D453" s="2" t="s">
        <v>1974</v>
      </c>
      <c r="E453" s="5">
        <v>71</v>
      </c>
      <c r="F453" s="2">
        <v>52</v>
      </c>
      <c r="G453" s="2">
        <v>42</v>
      </c>
      <c r="H453" s="2" t="s">
        <v>1993</v>
      </c>
      <c r="I453" s="2" t="s">
        <v>1258</v>
      </c>
      <c r="J453" s="3" t="s">
        <v>1262</v>
      </c>
      <c r="M453" s="2">
        <f>IF(J453="1000+", 1000, (LEFT(J453,FIND("-",J453)-1)+RIGHT(J453,LEN(J453)-FIND("-",J453)))/2)</f>
        <v>45</v>
      </c>
      <c r="N453" s="2">
        <f>ROUND(E453 * 0.7+F453 * 0.2+G453 * 0.1,2)</f>
        <v>64.3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65</v>
      </c>
      <c r="P453" s="2">
        <f>E453 - O453</f>
        <v>6</v>
      </c>
      <c r="Q453" s="2">
        <f>ROUND(
  SIGN(P453)*
  IF(ABS(P453)&lt;=10,ABS(P453)*0.5,
     IF(ABS(P453)&lt;=15,5+(ABS(P453)-10)*(1.67/5),
        6.67+(ABS(P453)-15)*0.333)),
2)</f>
        <v>3</v>
      </c>
    </row>
    <row r="454" spans="1:17" ht="34.5" customHeight="1" x14ac:dyDescent="0.3">
      <c r="B454" s="2">
        <v>453</v>
      </c>
      <c r="C454" s="17">
        <f>ROUND(MAX(MIN(N454 + Q454, 100), 0), 2)</f>
        <v>67.239999999999995</v>
      </c>
      <c r="D454" s="2" t="s">
        <v>718</v>
      </c>
      <c r="E454" s="7">
        <v>67</v>
      </c>
      <c r="F454" s="2">
        <v>48</v>
      </c>
      <c r="G454" s="2">
        <v>34</v>
      </c>
      <c r="H454" s="2" t="s">
        <v>104</v>
      </c>
      <c r="I454" s="2" t="s">
        <v>36</v>
      </c>
      <c r="J454" s="3" t="s">
        <v>92</v>
      </c>
      <c r="M454" s="2">
        <f>IF(J454="1000+", 1000, (LEFT(J454,FIND("-",J454)-1)+RIGHT(J454,LEN(J454)-FIND("-",J454)))/2)</f>
        <v>12.5</v>
      </c>
      <c r="N454" s="2">
        <f>ROUND(E454 * 0.7+F454 * 0.2+G454 * 0.1,2)</f>
        <v>59.9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50</v>
      </c>
      <c r="P454" s="2">
        <f>E454 - O454</f>
        <v>17</v>
      </c>
      <c r="Q454" s="2">
        <f>ROUND(
  SIGN(P454)*
  IF(ABS(P454)&lt;=10,ABS(P454)*0.5,
     IF(ABS(P454)&lt;=15,5+(ABS(P454)-10)*(1.67/5),
        6.67+(ABS(P454)-15)*0.333)),
2)</f>
        <v>7.34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67.17</v>
      </c>
      <c r="D455" s="2" t="s">
        <v>1831</v>
      </c>
      <c r="E455" s="5">
        <v>71</v>
      </c>
      <c r="F455" s="6">
        <v>81</v>
      </c>
      <c r="G455" s="7">
        <v>66</v>
      </c>
      <c r="H455" s="2" t="s">
        <v>1256</v>
      </c>
      <c r="I455" s="2" t="s">
        <v>1652</v>
      </c>
      <c r="J455" s="3" t="s">
        <v>1265</v>
      </c>
      <c r="K455" s="2" t="s">
        <v>1833</v>
      </c>
      <c r="M455" s="2">
        <f>IF(J455="1000+", 1000, (LEFT(J455,FIND("-",J455)-1)+RIGHT(J455,LEN(J455)-FIND("-",J455)))/2)</f>
        <v>200</v>
      </c>
      <c r="N455" s="2">
        <f>ROUND(E455 * 0.7+F455 * 0.2+G455 * 0.1,2)</f>
        <v>72.5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82</v>
      </c>
      <c r="P455" s="2">
        <f>E455 - O455</f>
        <v>-11</v>
      </c>
      <c r="Q455" s="2">
        <f>ROUND(
  SIGN(P455)*
  IF(ABS(P455)&lt;=10,ABS(P455)*0.5,
     IF(ABS(P455)&lt;=15,5+(ABS(P455)-10)*(1.67/5),
        6.67+(ABS(P455)-15)*0.333)),
2)</f>
        <v>-5.33</v>
      </c>
    </row>
    <row r="456" spans="1:17" ht="34.5" customHeight="1" x14ac:dyDescent="0.3">
      <c r="B456" s="2">
        <v>455</v>
      </c>
      <c r="C456" s="17">
        <f>ROUND(MAX(MIN(N456 + Q456, 100), 0), 2)</f>
        <v>67.099999999999994</v>
      </c>
      <c r="D456" s="2" t="s">
        <v>459</v>
      </c>
      <c r="E456" s="7">
        <v>66</v>
      </c>
      <c r="F456" s="5">
        <v>73</v>
      </c>
      <c r="G456" s="2">
        <v>43</v>
      </c>
      <c r="H456" s="2" t="s">
        <v>31</v>
      </c>
      <c r="I456" s="2" t="s">
        <v>36</v>
      </c>
      <c r="J456" s="3" t="s">
        <v>146</v>
      </c>
      <c r="M456" s="2">
        <f>IF(J456="1000+", 1000, (LEFT(J456,FIND("-",J456)-1)+RIGHT(J456,LEN(J456)-FIND("-",J456)))/2)</f>
        <v>30</v>
      </c>
      <c r="N456" s="2">
        <f>ROUND(E456 * 0.7+F456 * 0.2+G456 * 0.1,2)</f>
        <v>65.099999999999994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62</v>
      </c>
      <c r="P456" s="2">
        <f>E456 - O456</f>
        <v>4</v>
      </c>
      <c r="Q456" s="2">
        <f>ROUND(
  SIGN(P456)*
  IF(ABS(P456)&lt;=10,ABS(P456)*0.5,
     IF(ABS(P456)&lt;=15,5+(ABS(P456)-10)*(1.67/5),
        6.67+(ABS(P456)-15)*0.333)),
2)</f>
        <v>2</v>
      </c>
    </row>
    <row r="457" spans="1:17" ht="34.5" customHeight="1" x14ac:dyDescent="0.3">
      <c r="B457" s="2">
        <v>456</v>
      </c>
      <c r="C457" s="17">
        <f>ROUND(MAX(MIN(N457 + Q457, 100), 0), 2)</f>
        <v>67.099999999999994</v>
      </c>
      <c r="D457" s="2" t="s">
        <v>310</v>
      </c>
      <c r="E457" s="7">
        <v>66</v>
      </c>
      <c r="F457" s="6">
        <v>82</v>
      </c>
      <c r="G457" s="7">
        <v>65</v>
      </c>
      <c r="H457" s="2" t="s">
        <v>297</v>
      </c>
      <c r="I457" s="2" t="s">
        <v>218</v>
      </c>
      <c r="J457" s="3" t="s">
        <v>18</v>
      </c>
      <c r="K457" s="2" t="s">
        <v>311</v>
      </c>
      <c r="M457" s="2">
        <f>IF(J457="1000+", 1000, (LEFT(J457,FIND("-",J457)-1)+RIGHT(J457,LEN(J457)-FIND("-",J457)))/2)</f>
        <v>75</v>
      </c>
      <c r="N457" s="2">
        <f>ROUND(E457 * 0.7+F457 * 0.2+G457 * 0.1,2)</f>
        <v>69.099999999999994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70</v>
      </c>
      <c r="P457" s="2">
        <f>E457 - O457</f>
        <v>-4</v>
      </c>
      <c r="Q457" s="2">
        <f>ROUND(
  SIGN(P457)*
  IF(ABS(P457)&lt;=10,ABS(P457)*0.5,
     IF(ABS(P457)&lt;=15,5+(ABS(P457)-10)*(1.67/5),
        6.67+(ABS(P457)-15)*0.333)),
2)</f>
        <v>-2</v>
      </c>
    </row>
    <row r="458" spans="1:17" ht="34.5" customHeight="1" x14ac:dyDescent="0.3">
      <c r="B458" s="2">
        <v>457</v>
      </c>
      <c r="C458" s="17">
        <f>ROUND(MAX(MIN(N458 + Q458, 100), 0), 2)</f>
        <v>67</v>
      </c>
      <c r="D458" s="2" t="s">
        <v>658</v>
      </c>
      <c r="E458" s="6">
        <v>81</v>
      </c>
      <c r="F458" s="2">
        <v>53</v>
      </c>
      <c r="G458" s="2">
        <v>42</v>
      </c>
      <c r="H458" s="2" t="s">
        <v>171</v>
      </c>
      <c r="I458" s="2" t="s">
        <v>177</v>
      </c>
      <c r="J458" s="3" t="s">
        <v>42</v>
      </c>
      <c r="K458" s="2" t="s">
        <v>659</v>
      </c>
      <c r="M458" s="2">
        <f>IF(J458="1000+", 1000, (LEFT(J458,FIND("-",J458)-1)+RIGHT(J458,LEN(J458)-FIND("-",J458)))/2)</f>
        <v>600</v>
      </c>
      <c r="N458" s="2">
        <f>ROUND(E458 * 0.7+F458 * 0.2+G458 * 0.1,2)</f>
        <v>71.5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90</v>
      </c>
      <c r="P458" s="2">
        <f>E458 - O458</f>
        <v>-9</v>
      </c>
      <c r="Q458" s="2">
        <f>ROUND(
  SIGN(P458)*
  IF(ABS(P458)&lt;=10,ABS(P458)*0.5,
     IF(ABS(P458)&lt;=15,5+(ABS(P458)-10)*(1.67/5),
        6.67+(ABS(P458)-15)*0.333)),
2)</f>
        <v>-4.5</v>
      </c>
    </row>
    <row r="459" spans="1:17" ht="34.5" customHeight="1" x14ac:dyDescent="0.3">
      <c r="B459" s="2">
        <v>458</v>
      </c>
      <c r="C459" s="17">
        <f>ROUND(MAX(MIN(N459 + Q459, 100), 0), 2)</f>
        <v>67</v>
      </c>
      <c r="D459" s="2" t="s">
        <v>595</v>
      </c>
      <c r="E459" s="7">
        <v>69</v>
      </c>
      <c r="F459" s="2">
        <v>51</v>
      </c>
      <c r="G459" s="2">
        <v>40</v>
      </c>
      <c r="H459" s="2" t="s">
        <v>217</v>
      </c>
      <c r="I459" s="2" t="s">
        <v>72</v>
      </c>
      <c r="J459" s="3" t="s">
        <v>132</v>
      </c>
      <c r="M459" s="2">
        <f>IF(J459="1000+", 1000, (LEFT(J459,FIND("-",J459)-1)+RIGHT(J459,LEN(J459)-FIND("-",J459)))/2)</f>
        <v>20</v>
      </c>
      <c r="N459" s="2">
        <f>ROUND(E459 * 0.7+F459 * 0.2+G459 * 0.1,2)</f>
        <v>62.5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60</v>
      </c>
      <c r="P459" s="2">
        <f>E459 - O459</f>
        <v>9</v>
      </c>
      <c r="Q459" s="2">
        <f>ROUND(
  SIGN(P459)*
  IF(ABS(P459)&lt;=10,ABS(P459)*0.5,
     IF(ABS(P459)&lt;=15,5+(ABS(P459)-10)*(1.67/5),
        6.67+(ABS(P459)-15)*0.333)),
2)</f>
        <v>4.5</v>
      </c>
    </row>
    <row r="460" spans="1:17" ht="34.5" customHeight="1" x14ac:dyDescent="0.3">
      <c r="B460" s="2">
        <v>459</v>
      </c>
      <c r="C460" s="17">
        <f>ROUND(MAX(MIN(N460 + Q460, 100), 0), 2)</f>
        <v>67</v>
      </c>
      <c r="D460" s="2" t="s">
        <v>521</v>
      </c>
      <c r="E460" s="5">
        <v>71</v>
      </c>
      <c r="F460" s="2">
        <v>55</v>
      </c>
      <c r="G460" s="2">
        <v>48</v>
      </c>
      <c r="H460" s="2" t="s">
        <v>53</v>
      </c>
      <c r="I460" s="2" t="s">
        <v>22</v>
      </c>
      <c r="J460" s="3" t="s">
        <v>23</v>
      </c>
      <c r="M460" s="2">
        <f>IF(J460="1000+", 1000, (LEFT(J460,FIND("-",J460)-1)+RIGHT(J460,LEN(J460)-FIND("-",J460)))/2)</f>
        <v>60</v>
      </c>
      <c r="N460" s="2">
        <f>ROUND(E460 * 0.7+F460 * 0.2+G460 * 0.1,2)</f>
        <v>65.5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68</v>
      </c>
      <c r="P460" s="2">
        <f>E460 - O460</f>
        <v>3</v>
      </c>
      <c r="Q460" s="2">
        <f>ROUND(
  SIGN(P460)*
  IF(ABS(P460)&lt;=10,ABS(P460)*0.5,
     IF(ABS(P460)&lt;=15,5+(ABS(P460)-10)*(1.67/5),
        6.67+(ABS(P460)-15)*0.333)),
2)</f>
        <v>1.5</v>
      </c>
    </row>
    <row r="461" spans="1:17" ht="34.5" customHeight="1" x14ac:dyDescent="0.3">
      <c r="B461" s="2">
        <v>460</v>
      </c>
      <c r="C461" s="17">
        <f>ROUND(MAX(MIN(N461 + Q461, 100), 0), 2)</f>
        <v>67</v>
      </c>
      <c r="D461" s="2" t="s">
        <v>466</v>
      </c>
      <c r="E461" s="7">
        <v>69</v>
      </c>
      <c r="F461" s="7">
        <v>65</v>
      </c>
      <c r="G461" s="5">
        <v>72</v>
      </c>
      <c r="H461" s="2" t="s">
        <v>31</v>
      </c>
      <c r="I461" s="2" t="s">
        <v>165</v>
      </c>
      <c r="J461" s="3" t="s">
        <v>122</v>
      </c>
      <c r="M461" s="2">
        <f>IF(J461="1000+", 1000, (LEFT(J461,FIND("-",J461)-1)+RIGHT(J461,LEN(J461)-FIND("-",J461)))/2)</f>
        <v>105</v>
      </c>
      <c r="N461" s="2">
        <f>ROUND(E461 * 0.7+F461 * 0.2+G461 * 0.1,2)</f>
        <v>68.5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72</v>
      </c>
      <c r="P461" s="2">
        <f>E461 - O461</f>
        <v>-3</v>
      </c>
      <c r="Q461" s="2">
        <f>ROUND(
  SIGN(P461)*
  IF(ABS(P461)&lt;=10,ABS(P461)*0.5,
     IF(ABS(P461)&lt;=15,5+(ABS(P461)-10)*(1.67/5),
        6.67+(ABS(P461)-15)*0.333)),
2)</f>
        <v>-1.5</v>
      </c>
    </row>
    <row r="462" spans="1:17" ht="34.5" customHeight="1" x14ac:dyDescent="0.3">
      <c r="A462" s="2">
        <v>2026</v>
      </c>
      <c r="B462" s="2">
        <v>461</v>
      </c>
      <c r="C462" s="17">
        <f>ROUND(MAX(MIN(N462 + Q462, 100), 0), 2)</f>
        <v>67</v>
      </c>
      <c r="D462" s="11" t="s">
        <v>1342</v>
      </c>
      <c r="E462" s="5">
        <v>72</v>
      </c>
      <c r="F462" s="5">
        <v>74</v>
      </c>
      <c r="G462" s="5">
        <v>78</v>
      </c>
      <c r="H462" s="11" t="s">
        <v>1256</v>
      </c>
      <c r="I462" s="11" t="s">
        <v>1258</v>
      </c>
      <c r="J462" s="19" t="s">
        <v>1354</v>
      </c>
      <c r="M462" s="2">
        <f>IF(J462="1000+", 1000, (LEFT(J462,FIND("-",J462)-1)+RIGHT(J462,LEN(J462)-FIND("-",J462)))/2)</f>
        <v>225</v>
      </c>
      <c r="N462" s="2">
        <f>ROUND(E462 * 0.7+F462 * 0.2+G462 * 0.1,2)</f>
        <v>73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85</v>
      </c>
      <c r="P462" s="2">
        <f>E462 - O462</f>
        <v>-13</v>
      </c>
      <c r="Q462" s="2">
        <f>ROUND(
  SIGN(P462)*
  IF(ABS(P462)&lt;=10,ABS(P462)*0.5,
     IF(ABS(P462)&lt;=15,5+(ABS(P462)-10)*(1.67/5),
        6.67+(ABS(P462)-15)*0.333)),
2)</f>
        <v>-6</v>
      </c>
    </row>
    <row r="463" spans="1:17" ht="34.5" customHeight="1" x14ac:dyDescent="0.3">
      <c r="A463" s="2">
        <v>2026</v>
      </c>
      <c r="B463" s="2">
        <v>462</v>
      </c>
      <c r="C463" s="17">
        <f>ROUND(MAX(MIN(N463 + Q463, 100), 0), 2)</f>
        <v>67</v>
      </c>
      <c r="D463" s="2" t="s">
        <v>1868</v>
      </c>
      <c r="E463" s="5">
        <v>71</v>
      </c>
      <c r="F463" s="2">
        <v>59</v>
      </c>
      <c r="G463" s="7">
        <v>60</v>
      </c>
      <c r="H463" s="2" t="s">
        <v>1895</v>
      </c>
      <c r="I463" s="2" t="s">
        <v>1258</v>
      </c>
      <c r="J463" s="3" t="s">
        <v>1279</v>
      </c>
      <c r="M463" s="2">
        <f>IF(J463="1000+", 1000, (LEFT(J463,FIND("-",J463)-1)+RIGHT(J463,LEN(J463)-FIND("-",J463)))/2)</f>
        <v>105</v>
      </c>
      <c r="N463" s="2">
        <f>ROUND(E463 * 0.7+F463 * 0.2+G463 * 0.1,2)</f>
        <v>67.5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72</v>
      </c>
      <c r="P463" s="2">
        <f>E463 - O463</f>
        <v>-1</v>
      </c>
      <c r="Q463" s="2">
        <f>ROUND(
  SIGN(P463)*
  IF(ABS(P463)&lt;=10,ABS(P463)*0.5,
     IF(ABS(P463)&lt;=15,5+(ABS(P463)-10)*(1.67/5),
        6.67+(ABS(P463)-15)*0.333)),
2)</f>
        <v>-0.5</v>
      </c>
    </row>
    <row r="464" spans="1:17" ht="34.5" customHeight="1" x14ac:dyDescent="0.3">
      <c r="A464" s="2">
        <v>2026</v>
      </c>
      <c r="B464" s="2">
        <v>463</v>
      </c>
      <c r="C464" s="17">
        <f>ROUND(MAX(MIN(N464 + Q464, 100), 0), 2)</f>
        <v>67</v>
      </c>
      <c r="D464" s="2" t="s">
        <v>1934</v>
      </c>
      <c r="E464" s="5">
        <v>74</v>
      </c>
      <c r="F464" s="7">
        <v>65</v>
      </c>
      <c r="G464" s="7">
        <v>62</v>
      </c>
      <c r="H464" s="2" t="s">
        <v>1944</v>
      </c>
      <c r="I464" s="2" t="s">
        <v>1945</v>
      </c>
      <c r="J464" s="3" t="s">
        <v>1265</v>
      </c>
      <c r="M464" s="2">
        <f>IF(J464="1000+", 1000, (LEFT(J464,FIND("-",J464)-1)+RIGHT(J464,LEN(J464)-FIND("-",J464)))/2)</f>
        <v>200</v>
      </c>
      <c r="N464" s="2">
        <f>ROUND(E464 * 0.7+F464 * 0.2+G464 * 0.1,2)</f>
        <v>71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82</v>
      </c>
      <c r="P464" s="2">
        <f>E464 - O464</f>
        <v>-8</v>
      </c>
      <c r="Q464" s="2">
        <f>ROUND(
  SIGN(P464)*
  IF(ABS(P464)&lt;=10,ABS(P464)*0.5,
     IF(ABS(P464)&lt;=15,5+(ABS(P464)-10)*(1.67/5),
        6.67+(ABS(P464)-15)*0.333)),
2)</f>
        <v>-4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67</v>
      </c>
      <c r="D465" s="2" t="s">
        <v>1947</v>
      </c>
      <c r="E465" s="2">
        <v>66</v>
      </c>
      <c r="F465" s="2">
        <v>62</v>
      </c>
      <c r="G465" s="2">
        <v>54</v>
      </c>
      <c r="H465" s="2" t="s">
        <v>1483</v>
      </c>
      <c r="I465" s="2" t="s">
        <v>36</v>
      </c>
      <c r="J465" s="3" t="s">
        <v>1261</v>
      </c>
      <c r="M465" s="2">
        <f>IF(J465="1000+", 1000, (LEFT(J465,FIND("-",J465)-1)+RIGHT(J465,LEN(J465)-FIND("-",J465)))/2)</f>
        <v>20</v>
      </c>
      <c r="N465" s="2">
        <f>ROUND(E465 * 0.7+F465 * 0.2+G465 * 0.1,2)</f>
        <v>64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60</v>
      </c>
      <c r="P465" s="2">
        <f>E465 - O465</f>
        <v>6</v>
      </c>
      <c r="Q465" s="2">
        <f>ROUND(
  SIGN(P465)*
  IF(ABS(P465)&lt;=10,ABS(P465)*0.5,
     IF(ABS(P465)&lt;=15,5+(ABS(P465)-10)*(1.67/5),
        6.67+(ABS(P465)-15)*0.333)),
2)</f>
        <v>3</v>
      </c>
    </row>
    <row r="466" spans="1:17" ht="34.5" customHeight="1" x14ac:dyDescent="0.3">
      <c r="B466" s="2">
        <v>465</v>
      </c>
      <c r="C466" s="17">
        <f>ROUND(MAX(MIN(N466 + Q466, 100), 0), 2)</f>
        <v>66.900000000000006</v>
      </c>
      <c r="D466" s="2" t="s">
        <v>577</v>
      </c>
      <c r="E466" s="7">
        <v>68</v>
      </c>
      <c r="F466" s="2">
        <v>55</v>
      </c>
      <c r="G466" s="2">
        <v>53</v>
      </c>
      <c r="H466" s="2" t="s">
        <v>31</v>
      </c>
      <c r="I466" s="2" t="s">
        <v>41</v>
      </c>
      <c r="J466" s="3" t="s">
        <v>146</v>
      </c>
      <c r="M466" s="2">
        <f>IF(J466="1000+", 1000, (LEFT(J466,FIND("-",J466)-1)+RIGHT(J466,LEN(J466)-FIND("-",J466)))/2)</f>
        <v>30</v>
      </c>
      <c r="N466" s="2">
        <f>ROUND(E466 * 0.7+F466 * 0.2+G466 * 0.1,2)</f>
        <v>63.9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62</v>
      </c>
      <c r="P466" s="2">
        <f>E466 - O466</f>
        <v>6</v>
      </c>
      <c r="Q466" s="2">
        <f>ROUND(
  SIGN(P466)*
  IF(ABS(P466)&lt;=10,ABS(P466)*0.5,
     IF(ABS(P466)&lt;=15,5+(ABS(P466)-10)*(1.67/5),
        6.67+(ABS(P466)-15)*0.333)),
2)</f>
        <v>3</v>
      </c>
    </row>
    <row r="467" spans="1:17" ht="34.5" customHeight="1" x14ac:dyDescent="0.3">
      <c r="B467" s="2">
        <v>466</v>
      </c>
      <c r="C467" s="17">
        <f>ROUND(MAX(MIN(N467 + Q467, 100), 0), 2)</f>
        <v>66.900000000000006</v>
      </c>
      <c r="D467" s="2" t="s">
        <v>439</v>
      </c>
      <c r="E467" s="5">
        <v>70</v>
      </c>
      <c r="F467" s="7">
        <v>63</v>
      </c>
      <c r="G467" s="2">
        <v>53</v>
      </c>
      <c r="H467" s="2" t="s">
        <v>48</v>
      </c>
      <c r="I467" s="2" t="s">
        <v>177</v>
      </c>
      <c r="J467" s="3" t="s">
        <v>1264</v>
      </c>
      <c r="M467" s="2">
        <f>IF(J467="1000+", 1000, (LEFT(J467,FIND("-",J467)-1)+RIGHT(J467,LEN(J467)-FIND("-",J467)))/2)</f>
        <v>75</v>
      </c>
      <c r="N467" s="2">
        <f>ROUND(E467 * 0.7+F467 * 0.2+G467 * 0.1,2)</f>
        <v>66.900000000000006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70</v>
      </c>
      <c r="P467" s="2">
        <f>E467 - O467</f>
        <v>0</v>
      </c>
      <c r="Q467" s="2">
        <f>ROUND(
  SIGN(P467)*
  IF(ABS(P467)&lt;=10,ABS(P467)*0.5,
     IF(ABS(P467)&lt;=15,5+(ABS(P467)-10)*(1.67/5),
        6.67+(ABS(P467)-15)*0.333)),
2)</f>
        <v>0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66.900000000000006</v>
      </c>
      <c r="D468" s="2" t="s">
        <v>1810</v>
      </c>
      <c r="E468" s="5">
        <v>71</v>
      </c>
      <c r="F468" s="7">
        <v>67</v>
      </c>
      <c r="G468" s="2">
        <v>58</v>
      </c>
      <c r="H468" s="2" t="s">
        <v>1800</v>
      </c>
      <c r="I468" s="2" t="s">
        <v>1258</v>
      </c>
      <c r="J468" s="3" t="s">
        <v>1301</v>
      </c>
      <c r="M468" s="2">
        <f>IF(J468="1000+", 1000, (LEFT(J468,FIND("-",J468)-1)+RIGHT(J468,LEN(J468)-FIND("-",J468)))/2)</f>
        <v>115</v>
      </c>
      <c r="N468" s="2">
        <f>ROUND(E468 * 0.7+F468 * 0.2+G468 * 0.1,2)</f>
        <v>68.900000000000006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75</v>
      </c>
      <c r="P468" s="2">
        <f>E468 - O468</f>
        <v>-4</v>
      </c>
      <c r="Q468" s="2">
        <f>ROUND(
  SIGN(P468)*
  IF(ABS(P468)&lt;=10,ABS(P468)*0.5,
     IF(ABS(P468)&lt;=15,5+(ABS(P468)-10)*(1.67/5),
        6.67+(ABS(P468)-15)*0.333)),
2)</f>
        <v>-2</v>
      </c>
    </row>
    <row r="469" spans="1:17" ht="34.5" customHeight="1" x14ac:dyDescent="0.3">
      <c r="B469" s="2">
        <v>468</v>
      </c>
      <c r="C469" s="17">
        <f>ROUND(MAX(MIN(N469 + Q469, 100), 0), 2)</f>
        <v>66.900000000000006</v>
      </c>
      <c r="D469" s="2" t="s">
        <v>445</v>
      </c>
      <c r="E469" s="7">
        <v>69</v>
      </c>
      <c r="F469" s="5">
        <v>70</v>
      </c>
      <c r="G469" s="2">
        <v>51</v>
      </c>
      <c r="H469" s="2" t="s">
        <v>31</v>
      </c>
      <c r="I469" s="2" t="s">
        <v>177</v>
      </c>
      <c r="J469" s="3" t="s">
        <v>18</v>
      </c>
      <c r="M469" s="2">
        <f>IF(J469="1000+", 1000, (LEFT(J469,FIND("-",J469)-1)+RIGHT(J469,LEN(J469)-FIND("-",J469)))/2)</f>
        <v>75</v>
      </c>
      <c r="N469" s="2">
        <f>ROUND(E469 * 0.7+F469 * 0.2+G469 * 0.1,2)</f>
        <v>67.400000000000006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70</v>
      </c>
      <c r="P469" s="2">
        <f>E469 - O469</f>
        <v>-1</v>
      </c>
      <c r="Q469" s="2">
        <f>ROUND(
  SIGN(P469)*
  IF(ABS(P469)&lt;=10,ABS(P469)*0.5,
     IF(ABS(P469)&lt;=15,5+(ABS(P469)-10)*(1.67/5),
        6.67+(ABS(P469)-15)*0.333)),
2)</f>
        <v>-0.5</v>
      </c>
    </row>
    <row r="470" spans="1:17" ht="34.5" customHeight="1" x14ac:dyDescent="0.3">
      <c r="B470" s="2">
        <v>469</v>
      </c>
      <c r="C470" s="17">
        <f>ROUND(MAX(MIN(N470 + Q470, 100), 0), 2)</f>
        <v>66.900000000000006</v>
      </c>
      <c r="D470" s="2" t="s">
        <v>443</v>
      </c>
      <c r="E470" s="7">
        <v>69</v>
      </c>
      <c r="F470" s="7">
        <v>65</v>
      </c>
      <c r="G470" s="7">
        <v>61</v>
      </c>
      <c r="H470" s="2" t="s">
        <v>48</v>
      </c>
      <c r="I470" s="2" t="s">
        <v>22</v>
      </c>
      <c r="J470" s="3" t="s">
        <v>18</v>
      </c>
      <c r="M470" s="2">
        <f>IF(J470="1000+", 1000, (LEFT(J470,FIND("-",J470)-1)+RIGHT(J470,LEN(J470)-FIND("-",J470)))/2)</f>
        <v>75</v>
      </c>
      <c r="N470" s="2">
        <f>ROUND(E470 * 0.7+F470 * 0.2+G470 * 0.1,2)</f>
        <v>67.400000000000006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70</v>
      </c>
      <c r="P470" s="2">
        <f>E470 - O470</f>
        <v>-1</v>
      </c>
      <c r="Q470" s="2">
        <f>ROUND(
  SIGN(P470)*
  IF(ABS(P470)&lt;=10,ABS(P470)*0.5,
     IF(ABS(P470)&lt;=15,5+(ABS(P470)-10)*(1.67/5),
        6.67+(ABS(P470)-15)*0.333)),
2)</f>
        <v>-0.5</v>
      </c>
    </row>
    <row r="471" spans="1:17" ht="34.5" customHeight="1" x14ac:dyDescent="0.3">
      <c r="B471" s="2">
        <v>470</v>
      </c>
      <c r="C471" s="17">
        <f>ROUND(MAX(MIN(N471 + Q471, 100), 0), 2)</f>
        <v>66.900000000000006</v>
      </c>
      <c r="D471" s="2" t="s">
        <v>404</v>
      </c>
      <c r="E471" s="5">
        <v>72</v>
      </c>
      <c r="F471" s="5">
        <v>70</v>
      </c>
      <c r="G471" s="7">
        <v>65</v>
      </c>
      <c r="H471" s="2" t="s">
        <v>31</v>
      </c>
      <c r="I471" s="2" t="s">
        <v>72</v>
      </c>
      <c r="J471" s="3" t="s">
        <v>88</v>
      </c>
      <c r="M471" s="2">
        <f>IF(J471="1000+", 1000, (LEFT(J471,FIND("-",J471)-1)+RIGHT(J471,LEN(J471)-FIND("-",J471)))/2)</f>
        <v>150</v>
      </c>
      <c r="N471" s="2">
        <f>ROUND(E471 * 0.7+F471 * 0.2+G471 * 0.1,2)</f>
        <v>70.900000000000006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80</v>
      </c>
      <c r="P471" s="2">
        <f>E471 - O471</f>
        <v>-8</v>
      </c>
      <c r="Q471" s="2">
        <f>ROUND(
  SIGN(P471)*
  IF(ABS(P471)&lt;=10,ABS(P471)*0.5,
     IF(ABS(P471)&lt;=15,5+(ABS(P471)-10)*(1.67/5),
        6.67+(ABS(P471)-15)*0.333)),
2)</f>
        <v>-4</v>
      </c>
    </row>
    <row r="472" spans="1:17" ht="34.5" customHeight="1" x14ac:dyDescent="0.3">
      <c r="B472" s="2">
        <v>471</v>
      </c>
      <c r="C472" s="17">
        <f>ROUND(MAX(MIN(N472 + Q472, 100), 0), 2)</f>
        <v>66.900000000000006</v>
      </c>
      <c r="D472" s="2" t="s">
        <v>469</v>
      </c>
      <c r="E472" s="5">
        <v>70</v>
      </c>
      <c r="F472" s="7">
        <v>67</v>
      </c>
      <c r="G472" s="5">
        <v>70</v>
      </c>
      <c r="H472" s="2" t="s">
        <v>31</v>
      </c>
      <c r="I472" s="2" t="s">
        <v>165</v>
      </c>
      <c r="J472" s="3" t="s">
        <v>140</v>
      </c>
      <c r="M472" s="2">
        <f>IF(J472="1000+", 1000, (LEFT(J472,FIND("-",J472)-1)+RIGHT(J472,LEN(J472)-FIND("-",J472)))/2)</f>
        <v>115</v>
      </c>
      <c r="N472" s="2">
        <f>ROUND(E472 * 0.7+F472 * 0.2+G472 * 0.1,2)</f>
        <v>69.400000000000006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75</v>
      </c>
      <c r="P472" s="2">
        <f>E472 - O472</f>
        <v>-5</v>
      </c>
      <c r="Q472" s="2">
        <f>ROUND(
  SIGN(P472)*
  IF(ABS(P472)&lt;=10,ABS(P472)*0.5,
     IF(ABS(P472)&lt;=15,5+(ABS(P472)-10)*(1.67/5),
        6.67+(ABS(P472)-15)*0.333)),
2)</f>
        <v>-2.5</v>
      </c>
    </row>
    <row r="473" spans="1:17" ht="34.5" customHeight="1" x14ac:dyDescent="0.3">
      <c r="B473" s="2">
        <v>472</v>
      </c>
      <c r="C473" s="17">
        <f>ROUND(MAX(MIN(N473 + Q473, 100), 0), 2)</f>
        <v>66.900000000000006</v>
      </c>
      <c r="D473" s="2" t="s">
        <v>359</v>
      </c>
      <c r="E473" s="5">
        <v>72</v>
      </c>
      <c r="F473" s="5">
        <v>75</v>
      </c>
      <c r="G473" s="7">
        <v>65</v>
      </c>
      <c r="H473" s="2" t="s">
        <v>360</v>
      </c>
      <c r="I473" s="2" t="s">
        <v>325</v>
      </c>
      <c r="J473" s="3" t="s">
        <v>28</v>
      </c>
      <c r="K473" s="2" t="s">
        <v>361</v>
      </c>
      <c r="M473" s="2">
        <f>IF(J473="1000+", 1000, (LEFT(J473,FIND("-",J473)-1)+RIGHT(J473,LEN(J473)-FIND("-",J473)))/2)</f>
        <v>200</v>
      </c>
      <c r="N473" s="2">
        <f>ROUND(E473 * 0.7+F473 * 0.2+G473 * 0.1,2)</f>
        <v>71.900000000000006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82</v>
      </c>
      <c r="P473" s="2">
        <f>E473 - O473</f>
        <v>-10</v>
      </c>
      <c r="Q473" s="2">
        <f>ROUND(
  SIGN(P473)*
  IF(ABS(P473)&lt;=10,ABS(P473)*0.5,
     IF(ABS(P473)&lt;=15,5+(ABS(P473)-10)*(1.67/5),
        6.67+(ABS(P473)-15)*0.333)),
2)</f>
        <v>-5</v>
      </c>
    </row>
    <row r="474" spans="1:17" ht="34.5" customHeight="1" x14ac:dyDescent="0.3">
      <c r="B474" s="2">
        <v>473</v>
      </c>
      <c r="C474" s="17">
        <f>ROUND(MAX(MIN(N474 + Q474, 100), 0), 2)</f>
        <v>66.900000000000006</v>
      </c>
      <c r="D474" s="2" t="s">
        <v>272</v>
      </c>
      <c r="E474" s="7">
        <v>69</v>
      </c>
      <c r="F474" s="6">
        <v>86</v>
      </c>
      <c r="G474" s="6">
        <v>84</v>
      </c>
      <c r="H474" s="2" t="s">
        <v>31</v>
      </c>
      <c r="I474" s="2" t="s">
        <v>273</v>
      </c>
      <c r="J474" s="3" t="s">
        <v>14</v>
      </c>
      <c r="K474" s="2" t="s">
        <v>274</v>
      </c>
      <c r="M474" s="2">
        <f>IF(J474="1000+", 1000, (LEFT(J474,FIND("-",J474)-1)+RIGHT(J474,LEN(J474)-FIND("-",J474)))/2)</f>
        <v>225</v>
      </c>
      <c r="N474" s="2">
        <f>ROUND(E474 * 0.7+F474 * 0.2+G474 * 0.1,2)</f>
        <v>73.900000000000006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85</v>
      </c>
      <c r="P474" s="2">
        <f>E474 - O474</f>
        <v>-16</v>
      </c>
      <c r="Q474" s="2">
        <f>ROUND(
  SIGN(P474)*
  IF(ABS(P474)&lt;=10,ABS(P474)*0.5,
     IF(ABS(P474)&lt;=15,5+(ABS(P474)-10)*(1.67/5),
        6.67+(ABS(P474)-15)*0.333)),
2)</f>
        <v>-7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66.8</v>
      </c>
      <c r="D475" s="2" t="s">
        <v>1416</v>
      </c>
      <c r="E475" s="5">
        <v>71</v>
      </c>
      <c r="F475" s="2">
        <v>59</v>
      </c>
      <c r="G475" s="2">
        <v>48</v>
      </c>
      <c r="H475" s="2" t="s">
        <v>1421</v>
      </c>
      <c r="I475" s="2" t="s">
        <v>1426</v>
      </c>
      <c r="J475" s="3" t="s">
        <v>1431</v>
      </c>
      <c r="M475" s="2">
        <f>IF(J475="1000+", 1000, (LEFT(J475,FIND("-",J475)-1)+RIGHT(J475,LEN(J475)-FIND("-",J475)))/2)</f>
        <v>75</v>
      </c>
      <c r="N475" s="2">
        <f>ROUND(E475 * 0.7+F475 * 0.2+G475 * 0.1,2)</f>
        <v>66.3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70</v>
      </c>
      <c r="P475" s="2">
        <f>E475 - O475</f>
        <v>1</v>
      </c>
      <c r="Q475" s="2">
        <f>ROUND(
  SIGN(P475)*
  IF(ABS(P475)&lt;=10,ABS(P475)*0.5,
     IF(ABS(P475)&lt;=15,5+(ABS(P475)-10)*(1.67/5),
        6.67+(ABS(P475)-15)*0.333)),
2)</f>
        <v>0.5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66.8</v>
      </c>
      <c r="D476" s="2" t="s">
        <v>2026</v>
      </c>
      <c r="E476" s="7">
        <v>69</v>
      </c>
      <c r="F476" s="2">
        <v>55</v>
      </c>
      <c r="G476" s="2">
        <v>55</v>
      </c>
      <c r="H476" s="2" t="s">
        <v>1257</v>
      </c>
      <c r="I476" s="2" t="s">
        <v>1385</v>
      </c>
      <c r="J476" s="3" t="s">
        <v>1262</v>
      </c>
      <c r="M476" s="2">
        <f>IF(J476="1000+", 1000, (LEFT(J476,FIND("-",J476)-1)+RIGHT(J476,LEN(J476)-FIND("-",J476)))/2)</f>
        <v>45</v>
      </c>
      <c r="N476" s="2">
        <f>ROUND(E476 * 0.7+F476 * 0.2+G476 * 0.1,2)</f>
        <v>64.8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65</v>
      </c>
      <c r="P476" s="2">
        <f>E476 - O476</f>
        <v>4</v>
      </c>
      <c r="Q476" s="2">
        <f>ROUND(
  SIGN(P476)*
  IF(ABS(P476)&lt;=10,ABS(P476)*0.5,
     IF(ABS(P476)&lt;=15,5+(ABS(P476)-10)*(1.67/5),
        6.67+(ABS(P476)-15)*0.333)),
2)</f>
        <v>2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66.7</v>
      </c>
      <c r="D477" s="2" t="s">
        <v>1491</v>
      </c>
      <c r="E477" s="7">
        <v>69</v>
      </c>
      <c r="F477" s="2">
        <v>54</v>
      </c>
      <c r="G477" s="2">
        <v>31</v>
      </c>
      <c r="H477" s="2" t="s">
        <v>1518</v>
      </c>
      <c r="I477" s="2" t="s">
        <v>36</v>
      </c>
      <c r="J477" s="3" t="s">
        <v>1533</v>
      </c>
      <c r="M477" s="2">
        <f>IF(J477="1000+", 1000, (LEFT(J477,FIND("-",J477)-1)+RIGHT(J477,LEN(J477)-FIND("-",J477)))/2)</f>
        <v>20</v>
      </c>
      <c r="N477" s="2">
        <f>ROUND(E477 * 0.7+F477 * 0.2+G477 * 0.1,2)</f>
        <v>62.2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60</v>
      </c>
      <c r="P477" s="2">
        <f>E477 - O477</f>
        <v>9</v>
      </c>
      <c r="Q477" s="2">
        <f>ROUND(
  SIGN(P477)*
  IF(ABS(P477)&lt;=10,ABS(P477)*0.5,
     IF(ABS(P477)&lt;=15,5+(ABS(P477)-10)*(1.67/5),
        6.67+(ABS(P477)-15)*0.333)),
2)</f>
        <v>4.5</v>
      </c>
    </row>
    <row r="478" spans="1:17" ht="34.5" customHeight="1" x14ac:dyDescent="0.3">
      <c r="B478" s="2">
        <v>477</v>
      </c>
      <c r="C478" s="17">
        <f>ROUND(MAX(MIN(N478 + Q478, 100), 0), 2)</f>
        <v>66.7</v>
      </c>
      <c r="D478" s="2" t="s">
        <v>505</v>
      </c>
      <c r="E478" s="5">
        <v>71</v>
      </c>
      <c r="F478" s="2">
        <v>55</v>
      </c>
      <c r="G478" s="2">
        <v>55</v>
      </c>
      <c r="H478" s="2" t="s">
        <v>48</v>
      </c>
      <c r="I478" s="2" t="s">
        <v>218</v>
      </c>
      <c r="J478" s="3" t="s">
        <v>18</v>
      </c>
      <c r="M478" s="2">
        <f>IF(J478="1000+", 1000, (LEFT(J478,FIND("-",J478)-1)+RIGHT(J478,LEN(J478)-FIND("-",J478)))/2)</f>
        <v>75</v>
      </c>
      <c r="N478" s="2">
        <f>ROUND(E478 * 0.7+F478 * 0.2+G478 * 0.1,2)</f>
        <v>66.2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70</v>
      </c>
      <c r="P478" s="2">
        <f>E478 - O478</f>
        <v>1</v>
      </c>
      <c r="Q478" s="2">
        <f>ROUND(
  SIGN(P478)*
  IF(ABS(P478)&lt;=10,ABS(P478)*0.5,
     IF(ABS(P478)&lt;=15,5+(ABS(P478)-10)*(1.67/5),
        6.67+(ABS(P478)-15)*0.333)),
2)</f>
        <v>0.5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66.7</v>
      </c>
      <c r="D479" s="2" t="s">
        <v>1493</v>
      </c>
      <c r="E479" s="7">
        <v>67</v>
      </c>
      <c r="F479" s="2">
        <v>56</v>
      </c>
      <c r="G479" s="2">
        <v>51</v>
      </c>
      <c r="H479" s="2" t="s">
        <v>1518</v>
      </c>
      <c r="I479" s="2" t="s">
        <v>36</v>
      </c>
      <c r="J479" s="3" t="s">
        <v>1533</v>
      </c>
      <c r="M479" s="2">
        <f>IF(J479="1000+", 1000, (LEFT(J479,FIND("-",J479)-1)+RIGHT(J479,LEN(J479)-FIND("-",J479)))/2)</f>
        <v>20</v>
      </c>
      <c r="N479" s="2">
        <f>ROUND(E479 * 0.7+F479 * 0.2+G479 * 0.1,2)</f>
        <v>63.2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60</v>
      </c>
      <c r="P479" s="2">
        <f>E479 - O479</f>
        <v>7</v>
      </c>
      <c r="Q479" s="2">
        <f>ROUND(
  SIGN(P479)*
  IF(ABS(P479)&lt;=10,ABS(P479)*0.5,
     IF(ABS(P479)&lt;=15,5+(ABS(P479)-10)*(1.67/5),
        6.67+(ABS(P479)-15)*0.333)),
2)</f>
        <v>3.5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66.7</v>
      </c>
      <c r="D480" s="2" t="s">
        <v>1630</v>
      </c>
      <c r="E480" s="7">
        <v>67</v>
      </c>
      <c r="F480" s="7">
        <v>63</v>
      </c>
      <c r="G480" s="2">
        <v>47</v>
      </c>
      <c r="H480" s="2" t="s">
        <v>1644</v>
      </c>
      <c r="I480" s="2" t="s">
        <v>36</v>
      </c>
      <c r="J480" s="3" t="s">
        <v>1654</v>
      </c>
      <c r="M480" s="2">
        <f>IF(J480="1000+", 1000, (LEFT(J480,FIND("-",J480)-1)+RIGHT(J480,LEN(J480)-FIND("-",J480)))/2)</f>
        <v>30</v>
      </c>
      <c r="N480" s="2">
        <f>ROUND(E480 * 0.7+F480 * 0.2+G480 * 0.1,2)</f>
        <v>64.2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62</v>
      </c>
      <c r="P480" s="2">
        <f>E480 - O480</f>
        <v>5</v>
      </c>
      <c r="Q480" s="2">
        <f>ROUND(
  SIGN(P480)*
  IF(ABS(P480)&lt;=10,ABS(P480)*0.5,
     IF(ABS(P480)&lt;=15,5+(ABS(P480)-10)*(1.67/5),
        6.67+(ABS(P480)-15)*0.333)),
2)</f>
        <v>2.5</v>
      </c>
    </row>
    <row r="481" spans="1:17" ht="34.5" customHeight="1" x14ac:dyDescent="0.3">
      <c r="A481" s="2">
        <v>2026</v>
      </c>
      <c r="B481" s="2">
        <v>480</v>
      </c>
      <c r="C481" s="17">
        <f>ROUND(MAX(MIN(N481 + Q481, 100), 0), 2)</f>
        <v>66.67</v>
      </c>
      <c r="D481" s="11" t="s">
        <v>1322</v>
      </c>
      <c r="E481" s="7">
        <v>67</v>
      </c>
      <c r="F481" s="2">
        <v>53</v>
      </c>
      <c r="G481" s="2">
        <v>35</v>
      </c>
      <c r="H481" s="11" t="s">
        <v>1257</v>
      </c>
      <c r="I481" s="2" t="s">
        <v>36</v>
      </c>
      <c r="J481" s="19" t="s">
        <v>1266</v>
      </c>
      <c r="M481" s="2">
        <f>IF(J481="1000+", 1000, (LEFT(J481,FIND("-",J481)-1)+RIGHT(J481,LEN(J481)-FIND("-",J481)))/2)</f>
        <v>15</v>
      </c>
      <c r="N481" s="2">
        <f>ROUND(E481 * 0.7+F481 * 0.2+G481 * 0.1,2)</f>
        <v>61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55</v>
      </c>
      <c r="P481" s="2">
        <f>E481 - O481</f>
        <v>12</v>
      </c>
      <c r="Q481" s="2">
        <f>ROUND(
  SIGN(P481)*
  IF(ABS(P481)&lt;=10,ABS(P481)*0.5,
     IF(ABS(P481)&lt;=15,5+(ABS(P481)-10)*(1.67/5),
        6.67+(ABS(P481)-15)*0.333)),
2)</f>
        <v>5.67</v>
      </c>
    </row>
    <row r="482" spans="1:17" ht="34.5" customHeight="1" x14ac:dyDescent="0.3">
      <c r="B482" s="2">
        <v>481</v>
      </c>
      <c r="C482" s="17">
        <f>ROUND(MAX(MIN(N482 + Q482, 100), 0), 2)</f>
        <v>66.63</v>
      </c>
      <c r="D482" s="2" t="s">
        <v>670</v>
      </c>
      <c r="E482" s="5">
        <v>78</v>
      </c>
      <c r="F482" s="2">
        <v>59</v>
      </c>
      <c r="G482" s="2">
        <v>59</v>
      </c>
      <c r="H482" s="2" t="s">
        <v>171</v>
      </c>
      <c r="I482" s="2" t="s">
        <v>41</v>
      </c>
      <c r="J482" s="3" t="s">
        <v>42</v>
      </c>
      <c r="K482" s="2" t="s">
        <v>671</v>
      </c>
      <c r="M482" s="2">
        <f>IF(J482="1000+", 1000, (LEFT(J482,FIND("-",J482)-1)+RIGHT(J482,LEN(J482)-FIND("-",J482)))/2)</f>
        <v>600</v>
      </c>
      <c r="N482" s="2">
        <f>ROUND(E482 * 0.7+F482 * 0.2+G482 * 0.1,2)</f>
        <v>72.3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90</v>
      </c>
      <c r="P482" s="2">
        <f>E482 - O482</f>
        <v>-12</v>
      </c>
      <c r="Q482" s="2">
        <f>ROUND(
  SIGN(P482)*
  IF(ABS(P482)&lt;=10,ABS(P482)*0.5,
     IF(ABS(P482)&lt;=15,5+(ABS(P482)-10)*(1.67/5),
        6.67+(ABS(P482)-15)*0.333)),
2)</f>
        <v>-5.67</v>
      </c>
    </row>
    <row r="483" spans="1:17" ht="34.5" customHeight="1" x14ac:dyDescent="0.3">
      <c r="B483" s="2">
        <v>482</v>
      </c>
      <c r="C483" s="17">
        <f>ROUND(MAX(MIN(N483 + Q483, 100), 0), 2)</f>
        <v>66.599999999999994</v>
      </c>
      <c r="D483" s="2" t="s">
        <v>615</v>
      </c>
      <c r="E483" s="5">
        <v>75</v>
      </c>
      <c r="F483" s="2">
        <v>53</v>
      </c>
      <c r="G483" s="2">
        <v>35</v>
      </c>
      <c r="H483" s="2" t="s">
        <v>61</v>
      </c>
      <c r="I483" s="2" t="s">
        <v>22</v>
      </c>
      <c r="J483" s="3" t="s">
        <v>616</v>
      </c>
      <c r="M483" s="2">
        <f>IF(J483="1000+", 1000, (LEFT(J483,FIND("-",J483)-1)+RIGHT(J483,LEN(J483)-FIND("-",J483)))/2)</f>
        <v>115</v>
      </c>
      <c r="N483" s="2">
        <f>ROUND(E483 * 0.7+F483 * 0.2+G483 * 0.1,2)</f>
        <v>66.599999999999994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75</v>
      </c>
      <c r="P483" s="2">
        <f>E483 - O483</f>
        <v>0</v>
      </c>
      <c r="Q483" s="2">
        <f>ROUND(
  SIGN(P483)*
  IF(ABS(P483)&lt;=10,ABS(P483)*0.5,
     IF(ABS(P483)&lt;=15,5+(ABS(P483)-10)*(1.67/5),
        6.67+(ABS(P483)-15)*0.333)),
2)</f>
        <v>0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66.599999999999994</v>
      </c>
      <c r="D484" s="2" t="s">
        <v>1498</v>
      </c>
      <c r="E484" s="7">
        <v>68</v>
      </c>
      <c r="F484" s="2">
        <v>52</v>
      </c>
      <c r="G484" s="2">
        <v>56</v>
      </c>
      <c r="H484" s="2" t="s">
        <v>1487</v>
      </c>
      <c r="I484" s="2" t="s">
        <v>1523</v>
      </c>
      <c r="J484" s="3" t="s">
        <v>1534</v>
      </c>
      <c r="M484" s="2">
        <f>IF(J484="1000+", 1000, (LEFT(J484,FIND("-",J484)-1)+RIGHT(J484,LEN(J484)-FIND("-",J484)))/2)</f>
        <v>30</v>
      </c>
      <c r="N484" s="2">
        <f>ROUND(E484 * 0.7+F484 * 0.2+G484 * 0.1,2)</f>
        <v>63.6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62</v>
      </c>
      <c r="P484" s="2">
        <f>E484 - O484</f>
        <v>6</v>
      </c>
      <c r="Q484" s="2">
        <f>ROUND(
  SIGN(P484)*
  IF(ABS(P484)&lt;=10,ABS(P484)*0.5,
     IF(ABS(P484)&lt;=15,5+(ABS(P484)-10)*(1.67/5),
        6.67+(ABS(P484)-15)*0.333)),
2)</f>
        <v>3</v>
      </c>
    </row>
    <row r="485" spans="1:17" ht="34.5" customHeight="1" x14ac:dyDescent="0.3">
      <c r="B485" s="2">
        <v>484</v>
      </c>
      <c r="C485" s="17">
        <f>ROUND(MAX(MIN(N485 + Q485, 100), 0), 2)</f>
        <v>66.599999999999994</v>
      </c>
      <c r="D485" s="2" t="s">
        <v>399</v>
      </c>
      <c r="E485" s="5">
        <v>71</v>
      </c>
      <c r="F485" s="5">
        <v>70</v>
      </c>
      <c r="G485" s="5">
        <v>74</v>
      </c>
      <c r="H485" s="2" t="s">
        <v>135</v>
      </c>
      <c r="I485" s="2" t="s">
        <v>276</v>
      </c>
      <c r="J485" s="3" t="s">
        <v>88</v>
      </c>
      <c r="M485" s="2">
        <f>IF(J485="1000+", 1000, (LEFT(J485,FIND("-",J485)-1)+RIGHT(J485,LEN(J485)-FIND("-",J485)))/2)</f>
        <v>150</v>
      </c>
      <c r="N485" s="2">
        <f>ROUND(E485 * 0.7+F485 * 0.2+G485 * 0.1,2)</f>
        <v>71.099999999999994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80</v>
      </c>
      <c r="P485" s="2">
        <f>E485 - O485</f>
        <v>-9</v>
      </c>
      <c r="Q485" s="2">
        <f>ROUND(
  SIGN(P485)*
  IF(ABS(P485)&lt;=10,ABS(P485)*0.5,
     IF(ABS(P485)&lt;=15,5+(ABS(P485)-10)*(1.67/5),
        6.67+(ABS(P485)-15)*0.333)),
2)</f>
        <v>-4.5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66.599999999999994</v>
      </c>
      <c r="D486" s="2" t="s">
        <v>1884</v>
      </c>
      <c r="E486" s="7">
        <v>68</v>
      </c>
      <c r="F486" s="5">
        <v>73</v>
      </c>
      <c r="G486" s="7">
        <v>64</v>
      </c>
      <c r="H486" s="2" t="s">
        <v>1450</v>
      </c>
      <c r="I486" s="2" t="s">
        <v>1803</v>
      </c>
      <c r="J486" s="3" t="s">
        <v>1279</v>
      </c>
      <c r="M486" s="2">
        <f>IF(J486="1000+", 1000, (LEFT(J486,FIND("-",J486)-1)+RIGHT(J486,LEN(J486)-FIND("-",J486)))/2)</f>
        <v>105</v>
      </c>
      <c r="N486" s="2">
        <f>ROUND(E486 * 0.7+F486 * 0.2+G486 * 0.1,2)</f>
        <v>68.599999999999994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72</v>
      </c>
      <c r="P486" s="2">
        <f>E486 - O486</f>
        <v>-4</v>
      </c>
      <c r="Q486" s="2">
        <f>ROUND(
  SIGN(P486)*
  IF(ABS(P486)&lt;=10,ABS(P486)*0.5,
     IF(ABS(P486)&lt;=15,5+(ABS(P486)-10)*(1.67/5),
        6.67+(ABS(P486)-15)*0.333)),
2)</f>
        <v>-2</v>
      </c>
    </row>
    <row r="487" spans="1:17" ht="34.5" customHeight="1" x14ac:dyDescent="0.3">
      <c r="B487" s="2">
        <v>486</v>
      </c>
      <c r="C487" s="17">
        <f>ROUND(MAX(MIN(N487 + Q487, 100), 0), 2)</f>
        <v>66.53</v>
      </c>
      <c r="D487" s="2" t="s">
        <v>414</v>
      </c>
      <c r="E487" s="5">
        <v>70</v>
      </c>
      <c r="F487" s="5">
        <v>78</v>
      </c>
      <c r="G487" s="6">
        <v>86</v>
      </c>
      <c r="H487" s="2" t="s">
        <v>31</v>
      </c>
      <c r="I487" s="2" t="s">
        <v>119</v>
      </c>
      <c r="J487" s="3" t="s">
        <v>14</v>
      </c>
      <c r="M487" s="2">
        <f>IF(J487="1000+", 1000, (LEFT(J487,FIND("-",J487)-1)+RIGHT(J487,LEN(J487)-FIND("-",J487)))/2)</f>
        <v>225</v>
      </c>
      <c r="N487" s="2">
        <f>ROUND(E487 * 0.7+F487 * 0.2+G487 * 0.1,2)</f>
        <v>73.2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85</v>
      </c>
      <c r="P487" s="2">
        <f>E487 - O487</f>
        <v>-15</v>
      </c>
      <c r="Q487" s="2">
        <f>ROUND(
  SIGN(P487)*
  IF(ABS(P487)&lt;=10,ABS(P487)*0.5,
     IF(ABS(P487)&lt;=15,5+(ABS(P487)-10)*(1.67/5),
        6.67+(ABS(P487)-15)*0.333)),
2)</f>
        <v>-6.67</v>
      </c>
    </row>
    <row r="488" spans="1:17" ht="34.5" customHeight="1" x14ac:dyDescent="0.3">
      <c r="B488" s="2">
        <v>487</v>
      </c>
      <c r="C488" s="17">
        <f>ROUND(MAX(MIN(N488 + Q488, 100), 0), 2)</f>
        <v>66.5</v>
      </c>
      <c r="D488" s="2" t="s">
        <v>518</v>
      </c>
      <c r="E488" s="5">
        <v>70</v>
      </c>
      <c r="F488" s="2">
        <v>50</v>
      </c>
      <c r="G488" s="2">
        <v>50</v>
      </c>
      <c r="H488" s="2" t="s">
        <v>48</v>
      </c>
      <c r="I488" s="2" t="s">
        <v>218</v>
      </c>
      <c r="J488" s="3" t="s">
        <v>32</v>
      </c>
      <c r="K488" s="2" t="s">
        <v>519</v>
      </c>
      <c r="M488" s="2">
        <f>IF(J488="1000+", 1000, (LEFT(J488,FIND("-",J488)-1)+RIGHT(J488,LEN(J488)-FIND("-",J488)))/2)</f>
        <v>45</v>
      </c>
      <c r="N488" s="2">
        <f>ROUND(E488 * 0.7+F488 * 0.2+G488 * 0.1,2)</f>
        <v>64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65</v>
      </c>
      <c r="P488" s="2">
        <f>E488 - O488</f>
        <v>5</v>
      </c>
      <c r="Q488" s="2">
        <f>ROUND(
  SIGN(P488)*
  IF(ABS(P488)&lt;=10,ABS(P488)*0.5,
     IF(ABS(P488)&lt;=15,5+(ABS(P488)-10)*(1.67/5),
        6.67+(ABS(P488)-15)*0.333)),
2)</f>
        <v>2.5</v>
      </c>
    </row>
    <row r="489" spans="1:17" ht="34.5" customHeight="1" x14ac:dyDescent="0.3">
      <c r="A489" s="2">
        <v>2026</v>
      </c>
      <c r="B489" s="2">
        <v>488</v>
      </c>
      <c r="C489" s="17">
        <f>ROUND(MAX(MIN(N489 + Q489, 100), 0), 2)</f>
        <v>66.5</v>
      </c>
      <c r="D489" s="11" t="s">
        <v>1315</v>
      </c>
      <c r="E489" s="7">
        <v>69</v>
      </c>
      <c r="F489" s="7">
        <v>63</v>
      </c>
      <c r="G489" s="2">
        <v>36</v>
      </c>
      <c r="H489" s="11" t="s">
        <v>1256</v>
      </c>
      <c r="I489" s="11" t="s">
        <v>1320</v>
      </c>
      <c r="J489" s="19" t="s">
        <v>1262</v>
      </c>
      <c r="K489" s="11" t="s">
        <v>1318</v>
      </c>
      <c r="M489" s="2">
        <f>IF(J489="1000+", 1000, (LEFT(J489,FIND("-",J489)-1)+RIGHT(J489,LEN(J489)-FIND("-",J489)))/2)</f>
        <v>45</v>
      </c>
      <c r="N489" s="2">
        <f>ROUND(E489 * 0.7+F489 * 0.2+G489 * 0.1,2)</f>
        <v>64.5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65</v>
      </c>
      <c r="P489" s="2">
        <f>E489 - O489</f>
        <v>4</v>
      </c>
      <c r="Q489" s="2">
        <f>ROUND(
  SIGN(P489)*
  IF(ABS(P489)&lt;=10,ABS(P489)*0.5,
     IF(ABS(P489)&lt;=15,5+(ABS(P489)-10)*(1.67/5),
        6.67+(ABS(P489)-15)*0.333)),
2)</f>
        <v>2</v>
      </c>
    </row>
    <row r="490" spans="1:17" ht="34.5" customHeight="1" x14ac:dyDescent="0.3">
      <c r="A490" s="2">
        <v>2026</v>
      </c>
      <c r="B490" s="2">
        <v>489</v>
      </c>
      <c r="C490" s="17">
        <f>ROUND(MAX(MIN(N490 + Q490, 100), 0), 2)</f>
        <v>66.5</v>
      </c>
      <c r="D490" s="2" t="s">
        <v>1780</v>
      </c>
      <c r="E490" s="5">
        <v>70</v>
      </c>
      <c r="F490" s="7">
        <v>60</v>
      </c>
      <c r="G490" s="2">
        <v>55</v>
      </c>
      <c r="H490" s="2" t="s">
        <v>1256</v>
      </c>
      <c r="I490" s="2" t="s">
        <v>1258</v>
      </c>
      <c r="J490" s="3" t="s">
        <v>1264</v>
      </c>
      <c r="M490" s="2">
        <f>IF(J490="1000+", 1000, (LEFT(J490,FIND("-",J490)-1)+RIGHT(J490,LEN(J490)-FIND("-",J490)))/2)</f>
        <v>75</v>
      </c>
      <c r="N490" s="2">
        <f>ROUND(E490 * 0.7+F490 * 0.2+G490 * 0.1,2)</f>
        <v>66.5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70</v>
      </c>
      <c r="P490" s="2">
        <f>E490 - O490</f>
        <v>0</v>
      </c>
      <c r="Q490" s="2">
        <f>ROUND(
  SIGN(P490)*
  IF(ABS(P490)&lt;=10,ABS(P490)*0.5,
     IF(ABS(P490)&lt;=15,5+(ABS(P490)-10)*(1.67/5),
        6.67+(ABS(P490)-15)*0.333)),
2)</f>
        <v>0</v>
      </c>
    </row>
    <row r="491" spans="1:17" ht="34.5" customHeight="1" x14ac:dyDescent="0.3">
      <c r="B491" s="2">
        <v>490</v>
      </c>
      <c r="C491" s="17">
        <f>ROUND(MAX(MIN(N491 + Q491, 100), 0), 2)</f>
        <v>66.5</v>
      </c>
      <c r="D491" s="2" t="s">
        <v>491</v>
      </c>
      <c r="E491" s="7">
        <v>67</v>
      </c>
      <c r="F491" s="2">
        <v>55</v>
      </c>
      <c r="G491" s="5">
        <v>76</v>
      </c>
      <c r="H491" s="2" t="s">
        <v>64</v>
      </c>
      <c r="I491" s="2" t="s">
        <v>72</v>
      </c>
      <c r="J491" s="3" t="s">
        <v>32</v>
      </c>
      <c r="M491" s="2">
        <f>IF(J491="1000+", 1000, (LEFT(J491,FIND("-",J491)-1)+RIGHT(J491,LEN(J491)-FIND("-",J491)))/2)</f>
        <v>45</v>
      </c>
      <c r="N491" s="2">
        <f>ROUND(E491 * 0.7+F491 * 0.2+G491 * 0.1,2)</f>
        <v>65.5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65</v>
      </c>
      <c r="P491" s="2">
        <f>E491 - O491</f>
        <v>2</v>
      </c>
      <c r="Q491" s="2">
        <f>ROUND(
  SIGN(P491)*
  IF(ABS(P491)&lt;=10,ABS(P491)*0.5,
     IF(ABS(P491)&lt;=15,5+(ABS(P491)-10)*(1.67/5),
        6.67+(ABS(P491)-15)*0.333)),
2)</f>
        <v>1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66.5</v>
      </c>
      <c r="D492" s="2" t="s">
        <v>2010</v>
      </c>
      <c r="E492" s="5">
        <v>72</v>
      </c>
      <c r="F492" s="2">
        <v>48</v>
      </c>
      <c r="G492" s="2">
        <v>45</v>
      </c>
      <c r="H492" s="2" t="s">
        <v>1257</v>
      </c>
      <c r="I492" s="2" t="s">
        <v>1259</v>
      </c>
      <c r="J492" s="3" t="s">
        <v>1302</v>
      </c>
      <c r="M492" s="2">
        <f>IF(J492="1000+", 1000, (LEFT(J492,FIND("-",J492)-1)+RIGHT(J492,LEN(J492)-FIND("-",J492)))/2)</f>
        <v>60</v>
      </c>
      <c r="N492" s="2">
        <f>ROUND(E492 * 0.7+F492 * 0.2+G492 * 0.1,2)</f>
        <v>64.5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68</v>
      </c>
      <c r="P492" s="2">
        <f>E492 - O492</f>
        <v>4</v>
      </c>
      <c r="Q492" s="2">
        <f>ROUND(
  SIGN(P492)*
  IF(ABS(P492)&lt;=10,ABS(P492)*0.5,
     IF(ABS(P492)&lt;=15,5+(ABS(P492)-10)*(1.67/5),
        6.67+(ABS(P492)-15)*0.333)),
2)</f>
        <v>2</v>
      </c>
    </row>
    <row r="493" spans="1:17" ht="34.5" customHeight="1" x14ac:dyDescent="0.3">
      <c r="A493" s="2">
        <v>2026</v>
      </c>
      <c r="B493" s="2">
        <v>492</v>
      </c>
      <c r="C493" s="17">
        <f>ROUND(MAX(MIN(N493 + Q493, 100), 0), 2)</f>
        <v>66.400000000000006</v>
      </c>
      <c r="D493" s="2" t="s">
        <v>1787</v>
      </c>
      <c r="E493" s="5">
        <v>71</v>
      </c>
      <c r="F493" s="2">
        <v>51</v>
      </c>
      <c r="G493" s="2">
        <v>35</v>
      </c>
      <c r="H493" s="2" t="s">
        <v>1798</v>
      </c>
      <c r="I493" s="2" t="s">
        <v>1385</v>
      </c>
      <c r="J493" s="3" t="s">
        <v>1262</v>
      </c>
      <c r="K493" s="2" t="s">
        <v>1796</v>
      </c>
      <c r="M493" s="2">
        <f>IF(J493="1000+", 1000, (LEFT(J493,FIND("-",J493)-1)+RIGHT(J493,LEN(J493)-FIND("-",J493)))/2)</f>
        <v>45</v>
      </c>
      <c r="N493" s="2">
        <f>ROUND(E493 * 0.7+F493 * 0.2+G493 * 0.1,2)</f>
        <v>63.4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65</v>
      </c>
      <c r="P493" s="2">
        <f>E493 - O493</f>
        <v>6</v>
      </c>
      <c r="Q493" s="2">
        <f>ROUND(
  SIGN(P493)*
  IF(ABS(P493)&lt;=10,ABS(P493)*0.5,
     IF(ABS(P493)&lt;=15,5+(ABS(P493)-10)*(1.67/5),
        6.67+(ABS(P493)-15)*0.333)),
2)</f>
        <v>3</v>
      </c>
    </row>
    <row r="494" spans="1:17" ht="34.5" customHeight="1" x14ac:dyDescent="0.3">
      <c r="B494" s="2">
        <v>493</v>
      </c>
      <c r="C494" s="17">
        <f>ROUND(MAX(MIN(N494 + Q494, 100), 0), 2)</f>
        <v>66.400000000000006</v>
      </c>
      <c r="D494" s="2" t="s">
        <v>422</v>
      </c>
      <c r="E494" s="5">
        <v>74</v>
      </c>
      <c r="F494" s="2">
        <v>57</v>
      </c>
      <c r="G494" s="7">
        <v>62</v>
      </c>
      <c r="H494" s="2" t="s">
        <v>423</v>
      </c>
      <c r="I494" s="2" t="s">
        <v>228</v>
      </c>
      <c r="J494" s="3" t="s">
        <v>88</v>
      </c>
      <c r="K494" s="2" t="s">
        <v>424</v>
      </c>
      <c r="M494" s="2">
        <f>IF(J494="1000+", 1000, (LEFT(J494,FIND("-",J494)-1)+RIGHT(J494,LEN(J494)-FIND("-",J494)))/2)</f>
        <v>150</v>
      </c>
      <c r="N494" s="2">
        <f>ROUND(E494 * 0.7+F494 * 0.2+G494 * 0.1,2)</f>
        <v>69.400000000000006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80</v>
      </c>
      <c r="P494" s="2">
        <f>E494 - O494</f>
        <v>-6</v>
      </c>
      <c r="Q494" s="2">
        <f>ROUND(
  SIGN(P494)*
  IF(ABS(P494)&lt;=10,ABS(P494)*0.5,
     IF(ABS(P494)&lt;=15,5+(ABS(P494)-10)*(1.67/5),
        6.67+(ABS(P494)-15)*0.333)),
2)</f>
        <v>-3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66.400000000000006</v>
      </c>
      <c r="D495" s="2" t="s">
        <v>1885</v>
      </c>
      <c r="E495" s="7">
        <v>69</v>
      </c>
      <c r="F495" s="7">
        <v>65</v>
      </c>
      <c r="G495" s="2">
        <v>56</v>
      </c>
      <c r="H495" s="2" t="s">
        <v>1256</v>
      </c>
      <c r="I495" s="2" t="s">
        <v>1385</v>
      </c>
      <c r="J495" s="3" t="s">
        <v>1264</v>
      </c>
      <c r="M495" s="2">
        <f>IF(J495="1000+", 1000, (LEFT(J495,FIND("-",J495)-1)+RIGHT(J495,LEN(J495)-FIND("-",J495)))/2)</f>
        <v>75</v>
      </c>
      <c r="N495" s="2">
        <f>ROUND(E495 * 0.7+F495 * 0.2+G495 * 0.1,2)</f>
        <v>66.900000000000006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70</v>
      </c>
      <c r="P495" s="2">
        <f>E495 - O495</f>
        <v>-1</v>
      </c>
      <c r="Q495" s="2">
        <f>ROUND(
  SIGN(P495)*
  IF(ABS(P495)&lt;=10,ABS(P495)*0.5,
     IF(ABS(P495)&lt;=15,5+(ABS(P495)-10)*(1.67/5),
        6.67+(ABS(P495)-15)*0.333)),
2)</f>
        <v>-0.5</v>
      </c>
    </row>
    <row r="496" spans="1:17" ht="34.5" customHeight="1" x14ac:dyDescent="0.3">
      <c r="B496" s="2">
        <v>495</v>
      </c>
      <c r="C496" s="17">
        <f>ROUND(MAX(MIN(N496 + Q496, 100), 0), 2)</f>
        <v>66.400000000000006</v>
      </c>
      <c r="D496" s="2" t="s">
        <v>444</v>
      </c>
      <c r="E496" s="7">
        <v>67</v>
      </c>
      <c r="F496" s="5">
        <v>70</v>
      </c>
      <c r="G496" s="7">
        <v>60</v>
      </c>
      <c r="H496" s="2" t="s">
        <v>163</v>
      </c>
      <c r="I496" s="2" t="s">
        <v>22</v>
      </c>
      <c r="J496" s="3" t="s">
        <v>23</v>
      </c>
      <c r="M496" s="2">
        <f>IF(J496="1000+", 1000, (LEFT(J496,FIND("-",J496)-1)+RIGHT(J496,LEN(J496)-FIND("-",J496)))/2)</f>
        <v>60</v>
      </c>
      <c r="N496" s="2">
        <f>ROUND(E496 * 0.7+F496 * 0.2+G496 * 0.1,2)</f>
        <v>66.900000000000006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68</v>
      </c>
      <c r="P496" s="2">
        <f>E496 - O496</f>
        <v>-1</v>
      </c>
      <c r="Q496" s="2">
        <f>ROUND(
  SIGN(P496)*
  IF(ABS(P496)&lt;=10,ABS(P496)*0.5,
     IF(ABS(P496)&lt;=15,5+(ABS(P496)-10)*(1.67/5),
        6.67+(ABS(P496)-15)*0.333)),
2)</f>
        <v>-0.5</v>
      </c>
    </row>
    <row r="497" spans="1:17" ht="34.5" customHeight="1" x14ac:dyDescent="0.3">
      <c r="A497" s="2">
        <v>2026</v>
      </c>
      <c r="B497" s="2">
        <v>496</v>
      </c>
      <c r="C497" s="17">
        <f>ROUND(MAX(MIN(N497 + Q497, 100), 0), 2)</f>
        <v>66.3</v>
      </c>
      <c r="D497" s="2" t="s">
        <v>1888</v>
      </c>
      <c r="E497" s="7">
        <v>69</v>
      </c>
      <c r="F497" s="2">
        <v>50</v>
      </c>
      <c r="G497" s="2">
        <v>35</v>
      </c>
      <c r="H497" s="2" t="s">
        <v>1256</v>
      </c>
      <c r="I497" s="2" t="s">
        <v>36</v>
      </c>
      <c r="J497" s="3" t="s">
        <v>1261</v>
      </c>
      <c r="M497" s="2">
        <f>IF(J497="1000+", 1000, (LEFT(J497,FIND("-",J497)-1)+RIGHT(J497,LEN(J497)-FIND("-",J497)))/2)</f>
        <v>20</v>
      </c>
      <c r="N497" s="2">
        <f>ROUND(E497 * 0.7+F497 * 0.2+G497 * 0.1,2)</f>
        <v>61.8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60</v>
      </c>
      <c r="P497" s="2">
        <f>E497 - O497</f>
        <v>9</v>
      </c>
      <c r="Q497" s="2">
        <f>ROUND(
  SIGN(P497)*
  IF(ABS(P497)&lt;=10,ABS(P497)*0.5,
     IF(ABS(P497)&lt;=15,5+(ABS(P497)-10)*(1.67/5),
        6.67+(ABS(P497)-15)*0.333)),
2)</f>
        <v>4.5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66.3</v>
      </c>
      <c r="D498" s="2" t="s">
        <v>1670</v>
      </c>
      <c r="E498" s="7">
        <v>67</v>
      </c>
      <c r="F498" s="2">
        <v>53</v>
      </c>
      <c r="G498" s="2">
        <v>53</v>
      </c>
      <c r="H498" s="2" t="s">
        <v>1677</v>
      </c>
      <c r="I498" s="2" t="s">
        <v>1680</v>
      </c>
      <c r="J498" s="3" t="s">
        <v>132</v>
      </c>
      <c r="M498" s="2">
        <f>IF(J498="1000+", 1000, (LEFT(J498,FIND("-",J498)-1)+RIGHT(J498,LEN(J498)-FIND("-",J498)))/2)</f>
        <v>20</v>
      </c>
      <c r="N498" s="2">
        <f>ROUND(E498 * 0.7+F498 * 0.2+G498 * 0.1,2)</f>
        <v>62.8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60</v>
      </c>
      <c r="P498" s="2">
        <f>E498 - O498</f>
        <v>7</v>
      </c>
      <c r="Q498" s="2">
        <f>ROUND(
  SIGN(P498)*
  IF(ABS(P498)&lt;=10,ABS(P498)*0.5,
     IF(ABS(P498)&lt;=15,5+(ABS(P498)-10)*(1.67/5),
        6.67+(ABS(P498)-15)*0.333)),
2)</f>
        <v>3.5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66.3</v>
      </c>
      <c r="D499" s="2" t="s">
        <v>1364</v>
      </c>
      <c r="E499" s="7">
        <v>66</v>
      </c>
      <c r="F499" s="7">
        <v>62</v>
      </c>
      <c r="G499" s="2">
        <v>47</v>
      </c>
      <c r="H499" s="2" t="s">
        <v>1256</v>
      </c>
      <c r="I499" s="2" t="s">
        <v>36</v>
      </c>
      <c r="J499" s="3" t="s">
        <v>1261</v>
      </c>
      <c r="M499" s="2">
        <f>IF(J499="1000+", 1000, (LEFT(J499,FIND("-",J499)-1)+RIGHT(J499,LEN(J499)-FIND("-",J499)))/2)</f>
        <v>20</v>
      </c>
      <c r="N499" s="2">
        <f>ROUND(E499 * 0.7+F499 * 0.2+G499 * 0.1,2)</f>
        <v>63.3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60</v>
      </c>
      <c r="P499" s="2">
        <f>E499 - O499</f>
        <v>6</v>
      </c>
      <c r="Q499" s="2">
        <f>ROUND(
  SIGN(P499)*
  IF(ABS(P499)&lt;=10,ABS(P499)*0.5,
     IF(ABS(P499)&lt;=15,5+(ABS(P499)-10)*(1.67/5),
        6.67+(ABS(P499)-15)*0.333)),
2)</f>
        <v>3</v>
      </c>
    </row>
    <row r="500" spans="1:17" ht="34.5" customHeight="1" x14ac:dyDescent="0.3">
      <c r="B500" s="2">
        <v>499</v>
      </c>
      <c r="C500" s="17">
        <f>ROUND(MAX(MIN(N500 + Q500, 100), 0), 2)</f>
        <v>66.3</v>
      </c>
      <c r="D500" s="2" t="s">
        <v>542</v>
      </c>
      <c r="E500" s="5">
        <v>71</v>
      </c>
      <c r="F500" s="7">
        <v>62</v>
      </c>
      <c r="G500" s="7">
        <v>62</v>
      </c>
      <c r="H500" s="2" t="s">
        <v>53</v>
      </c>
      <c r="I500" s="2" t="s">
        <v>22</v>
      </c>
      <c r="J500" s="3" t="s">
        <v>140</v>
      </c>
      <c r="M500" s="2">
        <f>IF(J500="1000+", 1000, (LEFT(J500,FIND("-",J500)-1)+RIGHT(J500,LEN(J500)-FIND("-",J500)))/2)</f>
        <v>115</v>
      </c>
      <c r="N500" s="2">
        <f>ROUND(E500 * 0.7+F500 * 0.2+G500 * 0.1,2)</f>
        <v>68.3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75</v>
      </c>
      <c r="P500" s="2">
        <f>E500 - O500</f>
        <v>-4</v>
      </c>
      <c r="Q500" s="2">
        <f>ROUND(
  SIGN(P500)*
  IF(ABS(P500)&lt;=10,ABS(P500)*0.5,
     IF(ABS(P500)&lt;=15,5+(ABS(P500)-10)*(1.67/5),
        6.67+(ABS(P500)-15)*0.333)),
2)</f>
        <v>-2</v>
      </c>
    </row>
    <row r="501" spans="1:17" ht="34.5" customHeight="1" x14ac:dyDescent="0.3">
      <c r="B501" s="2">
        <v>500</v>
      </c>
      <c r="C501" s="17">
        <f>ROUND(MAX(MIN(N501 + Q501, 100), 0), 2)</f>
        <v>66.3</v>
      </c>
      <c r="D501" s="2" t="s">
        <v>473</v>
      </c>
      <c r="E501" s="5">
        <v>71</v>
      </c>
      <c r="F501" s="7">
        <v>65</v>
      </c>
      <c r="G501" s="2">
        <v>56</v>
      </c>
      <c r="H501" s="2" t="s">
        <v>31</v>
      </c>
      <c r="I501" s="2" t="s">
        <v>228</v>
      </c>
      <c r="J501" s="3" t="s">
        <v>140</v>
      </c>
      <c r="K501" s="2" t="s">
        <v>474</v>
      </c>
      <c r="M501" s="2">
        <f>IF(J501="1000+", 1000, (LEFT(J501,FIND("-",J501)-1)+RIGHT(J501,LEN(J501)-FIND("-",J501)))/2)</f>
        <v>115</v>
      </c>
      <c r="N501" s="2">
        <f>ROUND(E501 * 0.7+F501 * 0.2+G501 * 0.1,2)</f>
        <v>68.3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75</v>
      </c>
      <c r="P501" s="2">
        <f>E501 - O501</f>
        <v>-4</v>
      </c>
      <c r="Q501" s="2">
        <f>ROUND(
  SIGN(P501)*
  IF(ABS(P501)&lt;=10,ABS(P501)*0.5,
     IF(ABS(P501)&lt;=15,5+(ABS(P501)-10)*(1.67/5),
        6.67+(ABS(P501)-15)*0.333)),
2)</f>
        <v>-2</v>
      </c>
    </row>
    <row r="502" spans="1:17" ht="34.5" customHeight="1" x14ac:dyDescent="0.3">
      <c r="A502" s="2">
        <v>2026</v>
      </c>
      <c r="B502" s="2">
        <v>501</v>
      </c>
      <c r="C502" s="17">
        <f>ROUND(MAX(MIN(N502 + Q502, 100), 0), 2)</f>
        <v>66.3</v>
      </c>
      <c r="D502" s="11" t="s">
        <v>1286</v>
      </c>
      <c r="E502" s="7">
        <v>66</v>
      </c>
      <c r="F502" s="7">
        <v>60</v>
      </c>
      <c r="G502" s="7">
        <v>61</v>
      </c>
      <c r="H502" s="11" t="s">
        <v>1256</v>
      </c>
      <c r="I502" s="11" t="s">
        <v>1288</v>
      </c>
      <c r="J502" s="19" t="s">
        <v>1263</v>
      </c>
      <c r="M502" s="2">
        <f>IF(J502="1000+", 1000, (LEFT(J502,FIND("-",J502)-1)+RIGHT(J502,LEN(J502)-FIND("-",J502)))/2)</f>
        <v>30</v>
      </c>
      <c r="N502" s="2">
        <f>ROUND(E502 * 0.7+F502 * 0.2+G502 * 0.1,2)</f>
        <v>64.3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62</v>
      </c>
      <c r="P502" s="2">
        <f>E502 - O502</f>
        <v>4</v>
      </c>
      <c r="Q502" s="2">
        <f>ROUND(
  SIGN(P502)*
  IF(ABS(P502)&lt;=10,ABS(P502)*0.5,
     IF(ABS(P502)&lt;=15,5+(ABS(P502)-10)*(1.67/5),
        6.67+(ABS(P502)-15)*0.333)),
2)</f>
        <v>2</v>
      </c>
    </row>
    <row r="503" spans="1:17" ht="34.5" customHeight="1" x14ac:dyDescent="0.3">
      <c r="B503" s="2">
        <v>502</v>
      </c>
      <c r="C503" s="17">
        <f>ROUND(MAX(MIN(N503 + Q503, 100), 0), 2)</f>
        <v>66.3</v>
      </c>
      <c r="D503" s="2" t="s">
        <v>409</v>
      </c>
      <c r="E503" s="7">
        <v>65</v>
      </c>
      <c r="F503" s="6">
        <v>87</v>
      </c>
      <c r="G503" s="7">
        <v>69</v>
      </c>
      <c r="H503" s="2" t="s">
        <v>48</v>
      </c>
      <c r="I503" s="2" t="s">
        <v>382</v>
      </c>
      <c r="J503" s="3" t="s">
        <v>122</v>
      </c>
      <c r="M503" s="2">
        <f>IF(J503="1000+", 1000, (LEFT(J503,FIND("-",J503)-1)+RIGHT(J503,LEN(J503)-FIND("-",J503)))/2)</f>
        <v>105</v>
      </c>
      <c r="N503" s="2">
        <f>ROUND(E503 * 0.7+F503 * 0.2+G503 * 0.1,2)</f>
        <v>69.8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72</v>
      </c>
      <c r="P503" s="2">
        <f>E503 - O503</f>
        <v>-7</v>
      </c>
      <c r="Q503" s="2">
        <f>ROUND(
  SIGN(P503)*
  IF(ABS(P503)&lt;=10,ABS(P503)*0.5,
     IF(ABS(P503)&lt;=15,5+(ABS(P503)-10)*(1.67/5),
        6.67+(ABS(P503)-15)*0.333)),
2)</f>
        <v>-3.5</v>
      </c>
    </row>
    <row r="504" spans="1:17" ht="34.5" customHeight="1" x14ac:dyDescent="0.3">
      <c r="A504" s="2">
        <v>2026</v>
      </c>
      <c r="B504" s="2">
        <v>503</v>
      </c>
      <c r="C504" s="17">
        <f>ROUND(MAX(MIN(N504 + Q504, 100), 0), 2)</f>
        <v>66.27</v>
      </c>
      <c r="D504" s="2" t="s">
        <v>1920</v>
      </c>
      <c r="E504" s="7">
        <v>62</v>
      </c>
      <c r="F504" s="7">
        <v>63</v>
      </c>
      <c r="G504" s="2">
        <v>46</v>
      </c>
      <c r="H504" s="2" t="s">
        <v>1256</v>
      </c>
      <c r="I504" s="2" t="s">
        <v>36</v>
      </c>
      <c r="J504" s="3" t="s">
        <v>1574</v>
      </c>
      <c r="M504" s="2">
        <f>IF(J504="1000+", 1000, (LEFT(J504,FIND("-",J504)-1)+RIGHT(J504,LEN(J504)-FIND("-",J504)))/2)</f>
        <v>12.5</v>
      </c>
      <c r="N504" s="2">
        <f>ROUND(E504 * 0.7+F504 * 0.2+G504 * 0.1,2)</f>
        <v>60.6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50</v>
      </c>
      <c r="P504" s="2">
        <f>E504 - O504</f>
        <v>12</v>
      </c>
      <c r="Q504" s="2">
        <f>ROUND(
  SIGN(P504)*
  IF(ABS(P504)&lt;=10,ABS(P504)*0.5,
     IF(ABS(P504)&lt;=15,5+(ABS(P504)-10)*(1.67/5),
        6.67+(ABS(P504)-15)*0.333)),
2)</f>
        <v>5.67</v>
      </c>
    </row>
    <row r="505" spans="1:17" ht="34.5" customHeight="1" x14ac:dyDescent="0.3">
      <c r="B505" s="2">
        <v>504</v>
      </c>
      <c r="C505" s="17">
        <f>ROUND(MAX(MIN(N505 + Q505, 100), 0), 2)</f>
        <v>66.23</v>
      </c>
      <c r="D505" s="2" t="s">
        <v>582</v>
      </c>
      <c r="E505" s="5">
        <v>72</v>
      </c>
      <c r="F505" s="6">
        <v>81</v>
      </c>
      <c r="G505" s="5">
        <v>73</v>
      </c>
      <c r="H505" s="2" t="s">
        <v>583</v>
      </c>
      <c r="I505" s="2" t="s">
        <v>1825</v>
      </c>
      <c r="J505" s="3" t="s">
        <v>42</v>
      </c>
      <c r="M505" s="2">
        <f>IF(J505="1000+", 1000, (LEFT(J505,FIND("-",J505)-1)+RIGHT(J505,LEN(J505)-FIND("-",J505)))/2)</f>
        <v>600</v>
      </c>
      <c r="N505" s="2">
        <f>ROUND(E505 * 0.7+F505 * 0.2+G505 * 0.1,2)</f>
        <v>73.900000000000006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90</v>
      </c>
      <c r="P505" s="2">
        <f>E505 - O505</f>
        <v>-18</v>
      </c>
      <c r="Q505" s="2">
        <f>ROUND(
  SIGN(P505)*
  IF(ABS(P505)&lt;=10,ABS(P505)*0.5,
     IF(ABS(P505)&lt;=15,5+(ABS(P505)-10)*(1.67/5),
        6.67+(ABS(P505)-15)*0.333)),
2)</f>
        <v>-7.67</v>
      </c>
    </row>
    <row r="506" spans="1:17" ht="34.5" customHeight="1" x14ac:dyDescent="0.3">
      <c r="B506" s="2">
        <v>505</v>
      </c>
      <c r="C506" s="17">
        <f>ROUND(MAX(MIN(N506 + Q506, 100), 0), 2)</f>
        <v>66.2</v>
      </c>
      <c r="D506" s="2" t="s">
        <v>587</v>
      </c>
      <c r="E506" s="7">
        <v>69</v>
      </c>
      <c r="F506" s="2">
        <v>55</v>
      </c>
      <c r="G506" s="2">
        <v>49</v>
      </c>
      <c r="H506" s="2" t="s">
        <v>217</v>
      </c>
      <c r="I506" s="2" t="s">
        <v>22</v>
      </c>
      <c r="J506" s="3" t="s">
        <v>32</v>
      </c>
      <c r="M506" s="2">
        <f>IF(J506="1000+", 1000, (LEFT(J506,FIND("-",J506)-1)+RIGHT(J506,LEN(J506)-FIND("-",J506)))/2)</f>
        <v>45</v>
      </c>
      <c r="N506" s="2">
        <f>ROUND(E506 * 0.7+F506 * 0.2+G506 * 0.1,2)</f>
        <v>64.2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65</v>
      </c>
      <c r="P506" s="2">
        <f>E506 - O506</f>
        <v>4</v>
      </c>
      <c r="Q506" s="2">
        <f>ROUND(
  SIGN(P506)*
  IF(ABS(P506)&lt;=10,ABS(P506)*0.5,
     IF(ABS(P506)&lt;=15,5+(ABS(P506)-10)*(1.67/5),
        6.67+(ABS(P506)-15)*0.333)),
2)</f>
        <v>2</v>
      </c>
    </row>
    <row r="507" spans="1:17" ht="34.5" customHeight="1" x14ac:dyDescent="0.3">
      <c r="B507" s="2">
        <v>506</v>
      </c>
      <c r="C507" s="17">
        <f>ROUND(MAX(MIN(N507 + Q507, 100), 0), 2)</f>
        <v>66.2</v>
      </c>
      <c r="D507" s="2" t="s">
        <v>454</v>
      </c>
      <c r="E507" s="7">
        <v>68</v>
      </c>
      <c r="F507" s="5">
        <v>75</v>
      </c>
      <c r="G507" s="2">
        <v>46</v>
      </c>
      <c r="H507" s="2" t="s">
        <v>114</v>
      </c>
      <c r="I507" s="2" t="s">
        <v>17</v>
      </c>
      <c r="J507" s="3" t="s">
        <v>18</v>
      </c>
      <c r="M507" s="2">
        <f>IF(J507="1000+", 1000, (LEFT(J507,FIND("-",J507)-1)+RIGHT(J507,LEN(J507)-FIND("-",J507)))/2)</f>
        <v>75</v>
      </c>
      <c r="N507" s="2">
        <f>ROUND(E507 * 0.7+F507 * 0.2+G507 * 0.1,2)</f>
        <v>67.2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70</v>
      </c>
      <c r="P507" s="2">
        <f>E507 - O507</f>
        <v>-2</v>
      </c>
      <c r="Q507" s="2">
        <f>ROUND(
  SIGN(P507)*
  IF(ABS(P507)&lt;=10,ABS(P507)*0.5,
     IF(ABS(P507)&lt;=15,5+(ABS(P507)-10)*(1.67/5),
        6.67+(ABS(P507)-15)*0.333)),
2)</f>
        <v>-1</v>
      </c>
    </row>
    <row r="508" spans="1:17" ht="34.5" customHeight="1" x14ac:dyDescent="0.3">
      <c r="B508" s="2">
        <v>507</v>
      </c>
      <c r="C508" s="17">
        <f>ROUND(MAX(MIN(N508 + Q508, 100), 0), 2)</f>
        <v>66.2</v>
      </c>
      <c r="D508" s="2" t="s">
        <v>455</v>
      </c>
      <c r="E508" s="7">
        <v>68</v>
      </c>
      <c r="F508" s="5">
        <v>72</v>
      </c>
      <c r="G508" s="5">
        <v>77</v>
      </c>
      <c r="H508" s="2" t="s">
        <v>48</v>
      </c>
      <c r="I508" s="2" t="s">
        <v>165</v>
      </c>
      <c r="J508" s="3" t="s">
        <v>140</v>
      </c>
      <c r="M508" s="2">
        <f>IF(J508="1000+", 1000, (LEFT(J508,FIND("-",J508)-1)+RIGHT(J508,LEN(J508)-FIND("-",J508)))/2)</f>
        <v>115</v>
      </c>
      <c r="N508" s="2">
        <f>ROUND(E508 * 0.7+F508 * 0.2+G508 * 0.1,2)</f>
        <v>69.7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75</v>
      </c>
      <c r="P508" s="2">
        <f>E508 - O508</f>
        <v>-7</v>
      </c>
      <c r="Q508" s="2">
        <f>ROUND(
  SIGN(P508)*
  IF(ABS(P508)&lt;=10,ABS(P508)*0.5,
     IF(ABS(P508)&lt;=15,5+(ABS(P508)-10)*(1.67/5),
        6.67+(ABS(P508)-15)*0.333)),
2)</f>
        <v>-3.5</v>
      </c>
    </row>
    <row r="509" spans="1:17" ht="34.5" customHeight="1" x14ac:dyDescent="0.3">
      <c r="A509" s="2">
        <v>2026</v>
      </c>
      <c r="B509" s="2">
        <v>508</v>
      </c>
      <c r="C509" s="17">
        <f>ROUND(MAX(MIN(N509 + Q509, 100), 0), 2)</f>
        <v>66.2</v>
      </c>
      <c r="D509" s="2" t="s">
        <v>1916</v>
      </c>
      <c r="E509" s="7">
        <v>68</v>
      </c>
      <c r="F509" s="5">
        <v>72</v>
      </c>
      <c r="G509" s="7">
        <v>62</v>
      </c>
      <c r="H509" s="2" t="s">
        <v>1256</v>
      </c>
      <c r="I509" s="2" t="s">
        <v>1925</v>
      </c>
      <c r="J509" s="3" t="s">
        <v>1279</v>
      </c>
      <c r="M509" s="2">
        <f>IF(J509="1000+", 1000, (LEFT(J509,FIND("-",J509)-1)+RIGHT(J509,LEN(J509)-FIND("-",J509)))/2)</f>
        <v>105</v>
      </c>
      <c r="N509" s="2">
        <f>ROUND(E509 * 0.7+F509 * 0.2+G509 * 0.1,2)</f>
        <v>68.2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72</v>
      </c>
      <c r="P509" s="2">
        <f>E509 - O509</f>
        <v>-4</v>
      </c>
      <c r="Q509" s="2">
        <f>ROUND(
  SIGN(P509)*
  IF(ABS(P509)&lt;=10,ABS(P509)*0.5,
     IF(ABS(P509)&lt;=15,5+(ABS(P509)-10)*(1.67/5),
        6.67+(ABS(P509)-15)*0.333)),
2)</f>
        <v>-2</v>
      </c>
    </row>
    <row r="510" spans="1:17" ht="34.5" customHeight="1" x14ac:dyDescent="0.3">
      <c r="A510" s="2">
        <v>2026</v>
      </c>
      <c r="B510" s="2">
        <v>509</v>
      </c>
      <c r="C510" s="17">
        <f>ROUND(MAX(MIN(N510 + Q510, 100), 0), 2)</f>
        <v>66.099999999999994</v>
      </c>
      <c r="D510" s="2" t="s">
        <v>1606</v>
      </c>
      <c r="E510" s="7">
        <v>68</v>
      </c>
      <c r="F510" s="2">
        <v>50</v>
      </c>
      <c r="G510" s="2">
        <v>45</v>
      </c>
      <c r="H510" s="2" t="s">
        <v>1617</v>
      </c>
      <c r="I510" s="2" t="s">
        <v>1618</v>
      </c>
      <c r="J510" s="3" t="s">
        <v>1623</v>
      </c>
      <c r="M510" s="2">
        <f>IF(J510="1000+", 1000, (LEFT(J510,FIND("-",J510)-1)+RIGHT(J510,LEN(J510)-FIND("-",J510)))/2)</f>
        <v>20</v>
      </c>
      <c r="N510" s="2">
        <f>ROUND(E510 * 0.7+F510 * 0.2+G510 * 0.1,2)</f>
        <v>62.1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60</v>
      </c>
      <c r="P510" s="2">
        <f>E510 - O510</f>
        <v>8</v>
      </c>
      <c r="Q510" s="2">
        <f>ROUND(
  SIGN(P510)*
  IF(ABS(P510)&lt;=10,ABS(P510)*0.5,
     IF(ABS(P510)&lt;=15,5+(ABS(P510)-10)*(1.67/5),
        6.67+(ABS(P510)-15)*0.333)),
2)</f>
        <v>4</v>
      </c>
    </row>
    <row r="511" spans="1:17" ht="34.5" customHeight="1" x14ac:dyDescent="0.3">
      <c r="B511" s="2">
        <v>510</v>
      </c>
      <c r="C511" s="17">
        <f>ROUND(MAX(MIN(N511 + Q511, 100), 0), 2)</f>
        <v>66.099999999999994</v>
      </c>
      <c r="D511" s="2" t="s">
        <v>654</v>
      </c>
      <c r="E511" s="7">
        <v>65</v>
      </c>
      <c r="F511" s="2">
        <v>52</v>
      </c>
      <c r="G511" s="2">
        <v>52</v>
      </c>
      <c r="H511" s="2" t="s">
        <v>104</v>
      </c>
      <c r="I511" s="2" t="s">
        <v>447</v>
      </c>
      <c r="J511" s="3" t="s">
        <v>37</v>
      </c>
      <c r="M511" s="2">
        <f>IF(J511="1000+", 1000, (LEFT(J511,FIND("-",J511)-1)+RIGHT(J511,LEN(J511)-FIND("-",J511)))/2)</f>
        <v>15</v>
      </c>
      <c r="N511" s="2">
        <f>ROUND(E511 * 0.7+F511 * 0.2+G511 * 0.1,2)</f>
        <v>61.1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55</v>
      </c>
      <c r="P511" s="2">
        <f>E511 - O511</f>
        <v>10</v>
      </c>
      <c r="Q511" s="2">
        <f>ROUND(
  SIGN(P511)*
  IF(ABS(P511)&lt;=10,ABS(P511)*0.5,
     IF(ABS(P511)&lt;=15,5+(ABS(P511)-10)*(1.67/5),
        6.67+(ABS(P511)-15)*0.333)),
2)</f>
        <v>5</v>
      </c>
    </row>
    <row r="512" spans="1:17" ht="34.5" customHeight="1" x14ac:dyDescent="0.3">
      <c r="B512" s="2">
        <v>511</v>
      </c>
      <c r="C512" s="17">
        <f>ROUND(MAX(MIN(N512 + Q512, 100), 0), 2)</f>
        <v>66.099999999999994</v>
      </c>
      <c r="D512" s="2" t="s">
        <v>565</v>
      </c>
      <c r="E512" s="7">
        <v>68</v>
      </c>
      <c r="F512" s="2">
        <v>55</v>
      </c>
      <c r="G512" s="7">
        <v>60</v>
      </c>
      <c r="H512" s="2" t="s">
        <v>31</v>
      </c>
      <c r="I512" s="2" t="s">
        <v>72</v>
      </c>
      <c r="J512" s="3" t="s">
        <v>32</v>
      </c>
      <c r="M512" s="2">
        <f>IF(J512="1000+", 1000, (LEFT(J512,FIND("-",J512)-1)+RIGHT(J512,LEN(J512)-FIND("-",J512)))/2)</f>
        <v>45</v>
      </c>
      <c r="N512" s="2">
        <f>ROUND(E512 * 0.7+F512 * 0.2+G512 * 0.1,2)</f>
        <v>64.599999999999994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65</v>
      </c>
      <c r="P512" s="2">
        <f>E512 - O512</f>
        <v>3</v>
      </c>
      <c r="Q512" s="2">
        <f>ROUND(
  SIGN(P512)*
  IF(ABS(P512)&lt;=10,ABS(P512)*0.5,
     IF(ABS(P512)&lt;=15,5+(ABS(P512)-10)*(1.67/5),
        6.67+(ABS(P512)-15)*0.333)),
2)</f>
        <v>1.5</v>
      </c>
    </row>
    <row r="513" spans="1:17" ht="34.5" customHeight="1" x14ac:dyDescent="0.3">
      <c r="B513" s="2">
        <v>512</v>
      </c>
      <c r="C513" s="17">
        <f>ROUND(MAX(MIN(N513 + Q513, 100), 0), 2)</f>
        <v>66.099999999999994</v>
      </c>
      <c r="D513" s="2" t="s">
        <v>463</v>
      </c>
      <c r="E513" s="7">
        <v>68</v>
      </c>
      <c r="F513" s="7">
        <v>68</v>
      </c>
      <c r="G513" s="2">
        <v>59</v>
      </c>
      <c r="H513" s="2" t="s">
        <v>48</v>
      </c>
      <c r="I513" s="2" t="s">
        <v>464</v>
      </c>
      <c r="J513" s="3" t="s">
        <v>18</v>
      </c>
      <c r="M513" s="2">
        <f>IF(J513="1000+", 1000, (LEFT(J513,FIND("-",J513)-1)+RIGHT(J513,LEN(J513)-FIND("-",J513)))/2)</f>
        <v>75</v>
      </c>
      <c r="N513" s="2">
        <f>ROUND(E513 * 0.7+F513 * 0.2+G513 * 0.1,2)</f>
        <v>67.099999999999994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70</v>
      </c>
      <c r="P513" s="2">
        <f>E513 - O513</f>
        <v>-2</v>
      </c>
      <c r="Q513" s="2">
        <f>ROUND(
  SIGN(P513)*
  IF(ABS(P513)&lt;=10,ABS(P513)*0.5,
     IF(ABS(P513)&lt;=15,5+(ABS(P513)-10)*(1.67/5),
        6.67+(ABS(P513)-15)*0.333)),
2)</f>
        <v>-1</v>
      </c>
    </row>
    <row r="514" spans="1:17" ht="34.5" customHeight="1" x14ac:dyDescent="0.3">
      <c r="A514" s="2">
        <v>2026</v>
      </c>
      <c r="B514" s="2">
        <v>513</v>
      </c>
      <c r="C514" s="17">
        <f>ROUND(MAX(MIN(N514 + Q514, 100), 0), 2)</f>
        <v>66</v>
      </c>
      <c r="D514" s="2" t="s">
        <v>1377</v>
      </c>
      <c r="E514" s="5">
        <v>73</v>
      </c>
      <c r="F514" s="2">
        <v>47</v>
      </c>
      <c r="G514" s="2">
        <v>40</v>
      </c>
      <c r="H514" s="2" t="s">
        <v>1382</v>
      </c>
      <c r="I514" s="2" t="s">
        <v>1389</v>
      </c>
      <c r="J514" s="3" t="s">
        <v>1390</v>
      </c>
      <c r="K514" s="2" t="s">
        <v>1380</v>
      </c>
      <c r="M514" s="2">
        <f>IF(J514="1000+", 1000, (LEFT(J514,FIND("-",J514)-1)+RIGHT(J514,LEN(J514)-FIND("-",J514)))/2)</f>
        <v>75</v>
      </c>
      <c r="N514" s="2">
        <f>ROUND(E514 * 0.7+F514 * 0.2+G514 * 0.1,2)</f>
        <v>64.5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70</v>
      </c>
      <c r="P514" s="2">
        <f>E514 - O514</f>
        <v>3</v>
      </c>
      <c r="Q514" s="2">
        <f>ROUND(
  SIGN(P514)*
  IF(ABS(P514)&lt;=10,ABS(P514)*0.5,
     IF(ABS(P514)&lt;=15,5+(ABS(P514)-10)*(1.67/5),
        6.67+(ABS(P514)-15)*0.333)),
2)</f>
        <v>1.5</v>
      </c>
    </row>
    <row r="515" spans="1:17" ht="34.5" customHeight="1" x14ac:dyDescent="0.3">
      <c r="B515" s="2">
        <v>514</v>
      </c>
      <c r="C515" s="17">
        <f>ROUND(MAX(MIN(N515 + Q515, 100), 0), 2)</f>
        <v>66</v>
      </c>
      <c r="D515" s="2" t="s">
        <v>618</v>
      </c>
      <c r="E515" s="7">
        <v>68</v>
      </c>
      <c r="F515" s="2">
        <v>50</v>
      </c>
      <c r="G515" s="2">
        <v>44</v>
      </c>
      <c r="H515" s="2" t="s">
        <v>48</v>
      </c>
      <c r="I515" s="2" t="s">
        <v>72</v>
      </c>
      <c r="J515" s="3" t="s">
        <v>132</v>
      </c>
      <c r="M515" s="2">
        <f>IF(J515="1000+", 1000, (LEFT(J515,FIND("-",J515)-1)+RIGHT(J515,LEN(J515)-FIND("-",J515)))/2)</f>
        <v>20</v>
      </c>
      <c r="N515" s="2">
        <f>ROUND(E515 * 0.7+F515 * 0.2+G515 * 0.1,2)</f>
        <v>62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60</v>
      </c>
      <c r="P515" s="2">
        <f>E515 - O515</f>
        <v>8</v>
      </c>
      <c r="Q515" s="2">
        <f>ROUND(
  SIGN(P515)*
  IF(ABS(P515)&lt;=10,ABS(P515)*0.5,
     IF(ABS(P515)&lt;=15,5+(ABS(P515)-10)*(1.67/5),
        6.67+(ABS(P515)-15)*0.333)),
2)</f>
        <v>4</v>
      </c>
    </row>
    <row r="516" spans="1:17" ht="34.5" customHeight="1" x14ac:dyDescent="0.3">
      <c r="B516" s="2">
        <v>515</v>
      </c>
      <c r="C516" s="17">
        <f>ROUND(MAX(MIN(N516 + Q516, 100), 0), 2)</f>
        <v>66</v>
      </c>
      <c r="D516" s="2" t="s">
        <v>550</v>
      </c>
      <c r="E516" s="5">
        <v>70</v>
      </c>
      <c r="F516" s="2">
        <v>59</v>
      </c>
      <c r="G516" s="7">
        <v>62</v>
      </c>
      <c r="H516" s="2" t="s">
        <v>71</v>
      </c>
      <c r="I516" s="2" t="s">
        <v>551</v>
      </c>
      <c r="J516" s="3" t="s">
        <v>122</v>
      </c>
      <c r="M516" s="2">
        <f>IF(J516="1000+", 1000, (LEFT(J516,FIND("-",J516)-1)+RIGHT(J516,LEN(J516)-FIND("-",J516)))/2)</f>
        <v>105</v>
      </c>
      <c r="N516" s="2">
        <f>ROUND(E516 * 0.7+F516 * 0.2+G516 * 0.1,2)</f>
        <v>67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72</v>
      </c>
      <c r="P516" s="2">
        <f>E516 - O516</f>
        <v>-2</v>
      </c>
      <c r="Q516" s="2">
        <f>ROUND(
  SIGN(P516)*
  IF(ABS(P516)&lt;=10,ABS(P516)*0.5,
     IF(ABS(P516)&lt;=15,5+(ABS(P516)-10)*(1.67/5),
        6.67+(ABS(P516)-15)*0.333)),
2)</f>
        <v>-1</v>
      </c>
    </row>
    <row r="517" spans="1:17" ht="34.5" customHeight="1" x14ac:dyDescent="0.3">
      <c r="A517" s="2">
        <v>2026</v>
      </c>
      <c r="B517" s="2">
        <v>516</v>
      </c>
      <c r="C517" s="17">
        <f>ROUND(MAX(MIN(N517 + Q517, 100), 0), 2)</f>
        <v>66</v>
      </c>
      <c r="D517" s="2" t="s">
        <v>1417</v>
      </c>
      <c r="E517" s="7">
        <v>66</v>
      </c>
      <c r="F517" s="7">
        <v>63</v>
      </c>
      <c r="G517" s="2">
        <v>52</v>
      </c>
      <c r="H517" s="2" t="s">
        <v>1421</v>
      </c>
      <c r="I517" s="2" t="s">
        <v>1422</v>
      </c>
      <c r="J517" s="3" t="s">
        <v>1428</v>
      </c>
      <c r="M517" s="2">
        <f>IF(J517="1000+", 1000, (LEFT(J517,FIND("-",J517)-1)+RIGHT(J517,LEN(J517)-FIND("-",J517)))/2)</f>
        <v>30</v>
      </c>
      <c r="N517" s="2">
        <f>ROUND(E517 * 0.7+F517 * 0.2+G517 * 0.1,2)</f>
        <v>64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62</v>
      </c>
      <c r="P517" s="2">
        <f>E517 - O517</f>
        <v>4</v>
      </c>
      <c r="Q517" s="2">
        <f>ROUND(
  SIGN(P517)*
  IF(ABS(P517)&lt;=10,ABS(P517)*0.5,
     IF(ABS(P517)&lt;=15,5+(ABS(P517)-10)*(1.67/5),
        6.67+(ABS(P517)-15)*0.333)),
2)</f>
        <v>2</v>
      </c>
    </row>
    <row r="518" spans="1:17" ht="34.5" customHeight="1" x14ac:dyDescent="0.3">
      <c r="A518" s="2">
        <v>2026</v>
      </c>
      <c r="B518" s="2">
        <v>517</v>
      </c>
      <c r="C518" s="17">
        <f>ROUND(MAX(MIN(N518 + Q518, 100), 0), 2)</f>
        <v>66</v>
      </c>
      <c r="D518" s="2" t="s">
        <v>1373</v>
      </c>
      <c r="E518" s="7">
        <v>68</v>
      </c>
      <c r="F518" s="7">
        <v>63</v>
      </c>
      <c r="G518" s="7">
        <v>68</v>
      </c>
      <c r="H518" s="2" t="s">
        <v>1382</v>
      </c>
      <c r="I518" s="2" t="s">
        <v>1386</v>
      </c>
      <c r="J518" s="3" t="s">
        <v>1390</v>
      </c>
      <c r="M518" s="2">
        <f>IF(J518="1000+", 1000, (LEFT(J518,FIND("-",J518)-1)+RIGHT(J518,LEN(J518)-FIND("-",J518)))/2)</f>
        <v>75</v>
      </c>
      <c r="N518" s="2">
        <f>ROUND(E518 * 0.7+F518 * 0.2+G518 * 0.1,2)</f>
        <v>67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70</v>
      </c>
      <c r="P518" s="2">
        <f>E518 - O518</f>
        <v>-2</v>
      </c>
      <c r="Q518" s="2">
        <f>ROUND(
  SIGN(P518)*
  IF(ABS(P518)&lt;=10,ABS(P518)*0.5,
     IF(ABS(P518)&lt;=15,5+(ABS(P518)-10)*(1.67/5),
        6.67+(ABS(P518)-15)*0.333)),
2)</f>
        <v>-1</v>
      </c>
    </row>
    <row r="519" spans="1:17" ht="34.5" customHeight="1" x14ac:dyDescent="0.3">
      <c r="A519" s="2">
        <v>2026</v>
      </c>
      <c r="B519" s="2">
        <v>518</v>
      </c>
      <c r="C519" s="17">
        <f>ROUND(MAX(MIN(N519 + Q519, 100), 0), 2)</f>
        <v>66</v>
      </c>
      <c r="D519" s="2" t="s">
        <v>1910</v>
      </c>
      <c r="E519" s="2">
        <v>66</v>
      </c>
      <c r="F519" s="2">
        <v>63</v>
      </c>
      <c r="G519" s="2">
        <v>52</v>
      </c>
      <c r="H519" s="2" t="s">
        <v>1256</v>
      </c>
      <c r="I519" s="2" t="s">
        <v>36</v>
      </c>
      <c r="J519" s="3" t="s">
        <v>1263</v>
      </c>
      <c r="M519" s="2">
        <f>IF(J519="1000+", 1000, (LEFT(J519,FIND("-",J519)-1)+RIGHT(J519,LEN(J519)-FIND("-",J519)))/2)</f>
        <v>30</v>
      </c>
      <c r="N519" s="2">
        <f>ROUND(E519 * 0.7+F519 * 0.2+G519 * 0.1,2)</f>
        <v>64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62</v>
      </c>
      <c r="P519" s="2">
        <f>E519 - O519</f>
        <v>4</v>
      </c>
      <c r="Q519" s="2">
        <f>ROUND(
  SIGN(P519)*
  IF(ABS(P519)&lt;=10,ABS(P519)*0.5,
     IF(ABS(P519)&lt;=15,5+(ABS(P519)-10)*(1.67/5),
        6.67+(ABS(P519)-15)*0.333)),
2)</f>
        <v>2</v>
      </c>
    </row>
    <row r="520" spans="1:17" ht="34.5" customHeight="1" x14ac:dyDescent="0.3">
      <c r="B520" s="2">
        <v>519</v>
      </c>
      <c r="C520" s="17">
        <f>ROUND(MAX(MIN(N520 + Q520, 100), 0), 2)</f>
        <v>65.959999999999994</v>
      </c>
      <c r="D520" s="2" t="s">
        <v>665</v>
      </c>
      <c r="E520" s="5">
        <v>76</v>
      </c>
      <c r="F520" s="7">
        <v>60</v>
      </c>
      <c r="G520" s="5">
        <v>71</v>
      </c>
      <c r="H520" s="2" t="s">
        <v>324</v>
      </c>
      <c r="I520" s="2" t="s">
        <v>27</v>
      </c>
      <c r="J520" s="3" t="s">
        <v>42</v>
      </c>
      <c r="M520" s="2">
        <f>IF(J520="1000+", 1000, (LEFT(J520,FIND("-",J520)-1)+RIGHT(J520,LEN(J520)-FIND("-",J520)))/2)</f>
        <v>600</v>
      </c>
      <c r="N520" s="2">
        <f>ROUND(E520 * 0.7+F520 * 0.2+G520 * 0.1,2)</f>
        <v>72.3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90</v>
      </c>
      <c r="P520" s="2">
        <f>E520 - O520</f>
        <v>-14</v>
      </c>
      <c r="Q520" s="2">
        <f>ROUND(
  SIGN(P520)*
  IF(ABS(P520)&lt;=10,ABS(P520)*0.5,
     IF(ABS(P520)&lt;=15,5+(ABS(P520)-10)*(1.67/5),
        6.67+(ABS(P520)-15)*0.333)),
2)</f>
        <v>-6.34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65.900000000000006</v>
      </c>
      <c r="D521" s="11" t="s">
        <v>1336</v>
      </c>
      <c r="E521" s="7">
        <v>68</v>
      </c>
      <c r="F521" s="2">
        <v>54</v>
      </c>
      <c r="G521" s="2">
        <v>45</v>
      </c>
      <c r="H521" s="11" t="s">
        <v>1256</v>
      </c>
      <c r="I521" s="11" t="s">
        <v>1259</v>
      </c>
      <c r="J521" s="19" t="s">
        <v>1263</v>
      </c>
      <c r="M521" s="2">
        <f>IF(J521="1000+", 1000, (LEFT(J521,FIND("-",J521)-1)+RIGHT(J521,LEN(J521)-FIND("-",J521)))/2)</f>
        <v>30</v>
      </c>
      <c r="N521" s="2">
        <f>ROUND(E521 * 0.7+F521 * 0.2+G521 * 0.1,2)</f>
        <v>62.9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62</v>
      </c>
      <c r="P521" s="2">
        <f>E521 - O521</f>
        <v>6</v>
      </c>
      <c r="Q521" s="2">
        <f>ROUND(
  SIGN(P521)*
  IF(ABS(P521)&lt;=10,ABS(P521)*0.5,
     IF(ABS(P521)&lt;=15,5+(ABS(P521)-10)*(1.67/5),
        6.67+(ABS(P521)-15)*0.333)),
2)</f>
        <v>3</v>
      </c>
    </row>
    <row r="522" spans="1:17" ht="34.5" customHeight="1" x14ac:dyDescent="0.3">
      <c r="B522" s="2">
        <v>521</v>
      </c>
      <c r="C522" s="17">
        <f>ROUND(MAX(MIN(N522 + Q522, 100), 0), 2)</f>
        <v>65.900000000000006</v>
      </c>
      <c r="D522" s="2" t="s">
        <v>497</v>
      </c>
      <c r="E522" s="7">
        <v>68</v>
      </c>
      <c r="F522" s="7">
        <v>61</v>
      </c>
      <c r="G522" s="7">
        <v>61</v>
      </c>
      <c r="H522" s="2" t="s">
        <v>322</v>
      </c>
      <c r="I522" s="2" t="s">
        <v>201</v>
      </c>
      <c r="J522" s="3" t="s">
        <v>23</v>
      </c>
      <c r="M522" s="2">
        <f>IF(J522="1000+", 1000, (LEFT(J522,FIND("-",J522)-1)+RIGHT(J522,LEN(J522)-FIND("-",J522)))/2)</f>
        <v>60</v>
      </c>
      <c r="N522" s="2">
        <f>ROUND(E522 * 0.7+F522 * 0.2+G522 * 0.1,2)</f>
        <v>65.900000000000006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68</v>
      </c>
      <c r="P522" s="2">
        <f>E522 - O522</f>
        <v>0</v>
      </c>
      <c r="Q522" s="2">
        <f>ROUND(
  SIGN(P522)*
  IF(ABS(P522)&lt;=10,ABS(P522)*0.5,
     IF(ABS(P522)&lt;=15,5+(ABS(P522)-10)*(1.67/5),
        6.67+(ABS(P522)-15)*0.333)),
2)</f>
        <v>0</v>
      </c>
    </row>
    <row r="523" spans="1:17" ht="34.5" customHeight="1" x14ac:dyDescent="0.3">
      <c r="B523" s="2">
        <v>522</v>
      </c>
      <c r="C523" s="17">
        <f>ROUND(MAX(MIN(N523 + Q523, 100), 0), 2)</f>
        <v>65.900000000000006</v>
      </c>
      <c r="D523" s="2" t="s">
        <v>471</v>
      </c>
      <c r="E523" s="7">
        <v>67</v>
      </c>
      <c r="F523" s="5">
        <v>70</v>
      </c>
      <c r="G523" s="5">
        <v>75</v>
      </c>
      <c r="H523" s="2" t="s">
        <v>48</v>
      </c>
      <c r="I523" s="2" t="s">
        <v>41</v>
      </c>
      <c r="J523" s="3" t="s">
        <v>122</v>
      </c>
      <c r="M523" s="2">
        <f>IF(J523="1000+", 1000, (LEFT(J523,FIND("-",J523)-1)+RIGHT(J523,LEN(J523)-FIND("-",J523)))/2)</f>
        <v>105</v>
      </c>
      <c r="N523" s="2">
        <f>ROUND(E523 * 0.7+F523 * 0.2+G523 * 0.1,2)</f>
        <v>68.400000000000006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72</v>
      </c>
      <c r="P523" s="2">
        <f>E523 - O523</f>
        <v>-5</v>
      </c>
      <c r="Q523" s="2">
        <f>ROUND(
  SIGN(P523)*
  IF(ABS(P523)&lt;=10,ABS(P523)*0.5,
     IF(ABS(P523)&lt;=15,5+(ABS(P523)-10)*(1.67/5),
        6.67+(ABS(P523)-15)*0.333)),
2)</f>
        <v>-2.5</v>
      </c>
    </row>
    <row r="524" spans="1:17" ht="34.5" customHeight="1" x14ac:dyDescent="0.3">
      <c r="B524" s="2">
        <v>523</v>
      </c>
      <c r="C524" s="17">
        <f>ROUND(MAX(MIN(N524 + Q524, 100), 0), 2)</f>
        <v>65.83</v>
      </c>
      <c r="D524" s="2" t="s">
        <v>686</v>
      </c>
      <c r="E524" s="7">
        <v>66</v>
      </c>
      <c r="F524" s="2">
        <v>54</v>
      </c>
      <c r="G524" s="2">
        <v>35</v>
      </c>
      <c r="H524" s="2" t="s">
        <v>31</v>
      </c>
      <c r="I524" s="2" t="s">
        <v>36</v>
      </c>
      <c r="J524" s="3" t="s">
        <v>37</v>
      </c>
      <c r="M524" s="2">
        <f>IF(J524="1000+", 1000, (LEFT(J524,FIND("-",J524)-1)+RIGHT(J524,LEN(J524)-FIND("-",J524)))/2)</f>
        <v>15</v>
      </c>
      <c r="N524" s="2">
        <f>ROUND(E524 * 0.7+F524 * 0.2+G524 * 0.1,2)</f>
        <v>60.5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55</v>
      </c>
      <c r="P524" s="2">
        <f>E524 - O524</f>
        <v>11</v>
      </c>
      <c r="Q524" s="2">
        <f>ROUND(
  SIGN(P524)*
  IF(ABS(P524)&lt;=10,ABS(P524)*0.5,
     IF(ABS(P524)&lt;=15,5+(ABS(P524)-10)*(1.67/5),
        6.67+(ABS(P524)-15)*0.333)),
2)</f>
        <v>5.33</v>
      </c>
    </row>
    <row r="525" spans="1:17" ht="34.5" customHeight="1" x14ac:dyDescent="0.3">
      <c r="A525" s="2">
        <v>2026</v>
      </c>
      <c r="B525" s="2">
        <v>524</v>
      </c>
      <c r="C525" s="17">
        <f>ROUND(MAX(MIN(N525 + Q525, 100), 0), 2)</f>
        <v>65.8</v>
      </c>
      <c r="D525" s="2" t="s">
        <v>1839</v>
      </c>
      <c r="E525" s="5">
        <v>72</v>
      </c>
      <c r="F525" s="7">
        <v>68</v>
      </c>
      <c r="G525" s="7">
        <v>68</v>
      </c>
      <c r="H525" s="2" t="s">
        <v>1256</v>
      </c>
      <c r="I525" s="2" t="s">
        <v>36</v>
      </c>
      <c r="J525" s="3" t="s">
        <v>1265</v>
      </c>
      <c r="M525" s="2">
        <f>IF(J525="1000+", 1000, (LEFT(J525,FIND("-",J525)-1)+RIGHT(J525,LEN(J525)-FIND("-",J525)))/2)</f>
        <v>200</v>
      </c>
      <c r="N525" s="2">
        <f>ROUND(E525 * 0.7+F525 * 0.2+G525 * 0.1,2)</f>
        <v>70.8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82</v>
      </c>
      <c r="P525" s="2">
        <f>E525 - O525</f>
        <v>-10</v>
      </c>
      <c r="Q525" s="2">
        <f>ROUND(
  SIGN(P525)*
  IF(ABS(P525)&lt;=10,ABS(P525)*0.5,
     IF(ABS(P525)&lt;=15,5+(ABS(P525)-10)*(1.67/5),
        6.67+(ABS(P525)-15)*0.333)),
2)</f>
        <v>-5</v>
      </c>
    </row>
    <row r="526" spans="1:17" ht="34.5" customHeight="1" x14ac:dyDescent="0.3">
      <c r="B526" s="2">
        <v>525</v>
      </c>
      <c r="C526" s="17">
        <f>ROUND(MAX(MIN(N526 + Q526, 100), 0), 2)</f>
        <v>65.77</v>
      </c>
      <c r="D526" s="2" t="s">
        <v>754</v>
      </c>
      <c r="E526" s="7">
        <v>65</v>
      </c>
      <c r="F526" s="2">
        <v>53</v>
      </c>
      <c r="G526" s="2">
        <v>30</v>
      </c>
      <c r="H526" s="2" t="s">
        <v>91</v>
      </c>
      <c r="I526" s="2" t="s">
        <v>36</v>
      </c>
      <c r="J526" s="3" t="s">
        <v>92</v>
      </c>
      <c r="M526" s="2">
        <f>IF(J526="1000+", 1000, (LEFT(J526,FIND("-",J526)-1)+RIGHT(J526,LEN(J526)-FIND("-",J526)))/2)</f>
        <v>12.5</v>
      </c>
      <c r="N526" s="2">
        <f>ROUND(E526 * 0.7+F526 * 0.2+G526 * 0.1,2)</f>
        <v>59.1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50</v>
      </c>
      <c r="P526" s="2">
        <f>E526 - O526</f>
        <v>15</v>
      </c>
      <c r="Q526" s="2">
        <f>ROUND(
  SIGN(P526)*
  IF(ABS(P526)&lt;=10,ABS(P526)*0.5,
     IF(ABS(P526)&lt;=15,5+(ABS(P526)-10)*(1.67/5),
        6.67+(ABS(P526)-15)*0.333)),
2)</f>
        <v>6.67</v>
      </c>
    </row>
    <row r="527" spans="1:17" ht="34.5" customHeight="1" x14ac:dyDescent="0.3">
      <c r="B527" s="2">
        <v>526</v>
      </c>
      <c r="C527" s="17">
        <f>ROUND(MAX(MIN(N527 + Q527, 100), 0), 2)</f>
        <v>65.7</v>
      </c>
      <c r="D527" s="2" t="s">
        <v>608</v>
      </c>
      <c r="E527" s="7">
        <v>67</v>
      </c>
      <c r="F527" s="2">
        <v>55</v>
      </c>
      <c r="G527" s="2">
        <v>53</v>
      </c>
      <c r="H527" s="2" t="s">
        <v>31</v>
      </c>
      <c r="I527" s="2" t="s">
        <v>72</v>
      </c>
      <c r="J527" s="3" t="s">
        <v>146</v>
      </c>
      <c r="M527" s="2">
        <f>IF(J527="1000+", 1000, (LEFT(J527,FIND("-",J527)-1)+RIGHT(J527,LEN(J527)-FIND("-",J527)))/2)</f>
        <v>30</v>
      </c>
      <c r="N527" s="2">
        <f>ROUND(E527 * 0.7+F527 * 0.2+G527 * 0.1,2)</f>
        <v>63.2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62</v>
      </c>
      <c r="P527" s="2">
        <f>E527 - O527</f>
        <v>5</v>
      </c>
      <c r="Q527" s="2">
        <f>ROUND(
  SIGN(P527)*
  IF(ABS(P527)&lt;=10,ABS(P527)*0.5,
     IF(ABS(P527)&lt;=15,5+(ABS(P527)-10)*(1.67/5),
        6.67+(ABS(P527)-15)*0.333)),
2)</f>
        <v>2.5</v>
      </c>
    </row>
    <row r="528" spans="1:17" ht="34.5" customHeight="1" x14ac:dyDescent="0.3">
      <c r="A528" s="2">
        <v>2026</v>
      </c>
      <c r="B528" s="2">
        <v>527</v>
      </c>
      <c r="C528" s="17">
        <f>ROUND(MAX(MIN(N528 + Q528, 100), 0), 2)</f>
        <v>65.7</v>
      </c>
      <c r="D528" s="2" t="s">
        <v>1716</v>
      </c>
      <c r="E528" s="5">
        <v>73</v>
      </c>
      <c r="F528" s="7">
        <v>67</v>
      </c>
      <c r="G528" s="2">
        <v>47</v>
      </c>
      <c r="H528" s="2" t="s">
        <v>1726</v>
      </c>
      <c r="I528" s="2" t="s">
        <v>1731</v>
      </c>
      <c r="J528" s="3" t="s">
        <v>1737</v>
      </c>
      <c r="K528" s="2" t="s">
        <v>1717</v>
      </c>
      <c r="M528" s="2">
        <f>IF(J528="1000+", 1000, (LEFT(J528,FIND("-",J528)-1)+RIGHT(J528,LEN(J528)-FIND("-",J528)))/2)</f>
        <v>150</v>
      </c>
      <c r="N528" s="2">
        <f>ROUND(E528 * 0.7+F528 * 0.2+G528 * 0.1,2)</f>
        <v>69.2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80</v>
      </c>
      <c r="P528" s="2">
        <f>E528 - O528</f>
        <v>-7</v>
      </c>
      <c r="Q528" s="2">
        <f>ROUND(
  SIGN(P528)*
  IF(ABS(P528)&lt;=10,ABS(P528)*0.5,
     IF(ABS(P528)&lt;=15,5+(ABS(P528)-10)*(1.67/5),
        6.67+(ABS(P528)-15)*0.333)),
2)</f>
        <v>-3.5</v>
      </c>
    </row>
    <row r="529" spans="1:17" ht="34.5" customHeight="1" x14ac:dyDescent="0.3">
      <c r="B529" s="2">
        <v>528</v>
      </c>
      <c r="C529" s="17">
        <f>ROUND(MAX(MIN(N529 + Q529, 100), 0), 2)</f>
        <v>65.7</v>
      </c>
      <c r="D529" s="2" t="s">
        <v>507</v>
      </c>
      <c r="E529" s="7">
        <v>68</v>
      </c>
      <c r="F529" s="7">
        <v>68</v>
      </c>
      <c r="G529" s="2">
        <v>45</v>
      </c>
      <c r="H529" s="2" t="s">
        <v>31</v>
      </c>
      <c r="I529" s="2" t="s">
        <v>165</v>
      </c>
      <c r="J529" s="3" t="s">
        <v>23</v>
      </c>
      <c r="M529" s="2">
        <f>IF(J529="1000+", 1000, (LEFT(J529,FIND("-",J529)-1)+RIGHT(J529,LEN(J529)-FIND("-",J529)))/2)</f>
        <v>60</v>
      </c>
      <c r="N529" s="2">
        <f>ROUND(E529 * 0.7+F529 * 0.2+G529 * 0.1,2)</f>
        <v>65.7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68</v>
      </c>
      <c r="P529" s="2">
        <f>E529 - O529</f>
        <v>0</v>
      </c>
      <c r="Q529" s="2">
        <f>ROUND(
  SIGN(P529)*
  IF(ABS(P529)&lt;=10,ABS(P529)*0.5,
     IF(ABS(P529)&lt;=15,5+(ABS(P529)-10)*(1.67/5),
        6.67+(ABS(P529)-15)*0.333)),
2)</f>
        <v>0</v>
      </c>
    </row>
    <row r="530" spans="1:17" ht="34.5" customHeight="1" x14ac:dyDescent="0.3">
      <c r="A530" s="2">
        <v>2026</v>
      </c>
      <c r="B530" s="2">
        <v>529</v>
      </c>
      <c r="C530" s="17">
        <f>ROUND(MAX(MIN(N530 + Q530, 100), 0), 2)</f>
        <v>65.7</v>
      </c>
      <c r="D530" s="2" t="s">
        <v>1967</v>
      </c>
      <c r="E530" s="7">
        <v>69</v>
      </c>
      <c r="F530" s="7">
        <v>62</v>
      </c>
      <c r="G530" s="2">
        <v>30</v>
      </c>
      <c r="H530" s="2" t="s">
        <v>1256</v>
      </c>
      <c r="I530" s="2" t="s">
        <v>1334</v>
      </c>
      <c r="J530" s="3" t="s">
        <v>1262</v>
      </c>
      <c r="M530" s="2">
        <f>IF(J530="1000+", 1000, (LEFT(J530,FIND("-",J530)-1)+RIGHT(J530,LEN(J530)-FIND("-",J530)))/2)</f>
        <v>45</v>
      </c>
      <c r="N530" s="2">
        <f>ROUND(E530 * 0.7+F530 * 0.2+G530 * 0.1,2)</f>
        <v>63.7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65</v>
      </c>
      <c r="P530" s="2">
        <f>E530 - O530</f>
        <v>4</v>
      </c>
      <c r="Q530" s="2">
        <f>ROUND(
  SIGN(P530)*
  IF(ABS(P530)&lt;=10,ABS(P530)*0.5,
     IF(ABS(P530)&lt;=15,5+(ABS(P530)-10)*(1.67/5),
        6.67+(ABS(P530)-15)*0.333)),
2)</f>
        <v>2</v>
      </c>
    </row>
    <row r="531" spans="1:17" ht="34.5" customHeight="1" x14ac:dyDescent="0.3">
      <c r="A531" s="2">
        <v>2026</v>
      </c>
      <c r="B531" s="2">
        <v>530</v>
      </c>
      <c r="C531" s="17">
        <f>ROUND(MAX(MIN(N531 + Q531, 100), 0), 2)</f>
        <v>65.7</v>
      </c>
      <c r="D531" s="11" t="s">
        <v>1296</v>
      </c>
      <c r="E531" s="5">
        <v>70</v>
      </c>
      <c r="F531" s="7">
        <v>64</v>
      </c>
      <c r="G531" s="7">
        <v>64</v>
      </c>
      <c r="H531" s="11" t="s">
        <v>1257</v>
      </c>
      <c r="I531" s="11" t="s">
        <v>1258</v>
      </c>
      <c r="J531" s="19" t="s">
        <v>1301</v>
      </c>
      <c r="M531" s="2">
        <f>IF(J531="1000+", 1000, (LEFT(J531,FIND("-",J531)-1)+RIGHT(J531,LEN(J531)-FIND("-",J531)))/2)</f>
        <v>115</v>
      </c>
      <c r="N531" s="2">
        <f>ROUND(E531 * 0.7+F531 * 0.2+G531 * 0.1,2)</f>
        <v>68.2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75</v>
      </c>
      <c r="P531" s="2">
        <f>E531 - O531</f>
        <v>-5</v>
      </c>
      <c r="Q531" s="2">
        <f>ROUND(
  SIGN(P531)*
  IF(ABS(P531)&lt;=10,ABS(P531)*0.5,
     IF(ABS(P531)&lt;=15,5+(ABS(P531)-10)*(1.67/5),
        6.67+(ABS(P531)-15)*0.333)),
2)</f>
        <v>-2.5</v>
      </c>
    </row>
    <row r="532" spans="1:17" ht="34.5" customHeight="1" x14ac:dyDescent="0.3">
      <c r="B532" s="2">
        <v>531</v>
      </c>
      <c r="C532" s="17">
        <f>ROUND(MAX(MIN(N532 + Q532, 100), 0), 2)</f>
        <v>65.599999999999994</v>
      </c>
      <c r="D532" s="2" t="s">
        <v>678</v>
      </c>
      <c r="E532" s="7">
        <v>65</v>
      </c>
      <c r="F532" s="2">
        <v>53</v>
      </c>
      <c r="G532" s="2">
        <v>45</v>
      </c>
      <c r="H532" s="2" t="s">
        <v>31</v>
      </c>
      <c r="I532" s="2" t="s">
        <v>36</v>
      </c>
      <c r="J532" s="3" t="s">
        <v>37</v>
      </c>
      <c r="M532" s="2">
        <f>IF(J532="1000+", 1000, (LEFT(J532,FIND("-",J532)-1)+RIGHT(J532,LEN(J532)-FIND("-",J532)))/2)</f>
        <v>15</v>
      </c>
      <c r="N532" s="2">
        <f>ROUND(E532 * 0.7+F532 * 0.2+G532 * 0.1,2)</f>
        <v>60.6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55</v>
      </c>
      <c r="P532" s="2">
        <f>E532 - O532</f>
        <v>10</v>
      </c>
      <c r="Q532" s="2">
        <f>ROUND(
  SIGN(P532)*
  IF(ABS(P532)&lt;=10,ABS(P532)*0.5,
     IF(ABS(P532)&lt;=15,5+(ABS(P532)-10)*(1.67/5),
        6.67+(ABS(P532)-15)*0.333)),
2)</f>
        <v>5</v>
      </c>
    </row>
    <row r="533" spans="1:17" ht="34.5" customHeight="1" x14ac:dyDescent="0.3">
      <c r="B533" s="2">
        <v>532</v>
      </c>
      <c r="C533" s="17">
        <f>ROUND(MAX(MIN(N533 + Q533, 100), 0), 2)</f>
        <v>65.599999999999994</v>
      </c>
      <c r="D533" s="2" t="s">
        <v>433</v>
      </c>
      <c r="E533" s="5">
        <v>71</v>
      </c>
      <c r="F533" s="7">
        <v>69</v>
      </c>
      <c r="G533" s="7">
        <v>66</v>
      </c>
      <c r="H533" s="2" t="s">
        <v>434</v>
      </c>
      <c r="I533" s="2" t="s">
        <v>177</v>
      </c>
      <c r="J533" s="3" t="s">
        <v>88</v>
      </c>
      <c r="M533" s="2">
        <f>IF(J533="1000+", 1000, (LEFT(J533,FIND("-",J533)-1)+RIGHT(J533,LEN(J533)-FIND("-",J533)))/2)</f>
        <v>150</v>
      </c>
      <c r="N533" s="2">
        <f>ROUND(E533 * 0.7+F533 * 0.2+G533 * 0.1,2)</f>
        <v>70.099999999999994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80</v>
      </c>
      <c r="P533" s="2">
        <f>E533 - O533</f>
        <v>-9</v>
      </c>
      <c r="Q533" s="2">
        <f>ROUND(
  SIGN(P533)*
  IF(ABS(P533)&lt;=10,ABS(P533)*0.5,
     IF(ABS(P533)&lt;=15,5+(ABS(P533)-10)*(1.67/5),
        6.67+(ABS(P533)-15)*0.333)),
2)</f>
        <v>-4.5</v>
      </c>
    </row>
    <row r="534" spans="1:17" ht="34.5" customHeight="1" x14ac:dyDescent="0.3">
      <c r="A534" s="2">
        <v>2026</v>
      </c>
      <c r="B534" s="2">
        <v>533</v>
      </c>
      <c r="C534" s="17">
        <f>ROUND(MAX(MIN(N534 + Q534, 100), 0), 2)</f>
        <v>65.599999999999994</v>
      </c>
      <c r="D534" s="2" t="s">
        <v>1915</v>
      </c>
      <c r="E534" s="7">
        <v>67</v>
      </c>
      <c r="F534" s="7">
        <v>62</v>
      </c>
      <c r="G534" s="2">
        <v>53</v>
      </c>
      <c r="H534" s="2" t="s">
        <v>1256</v>
      </c>
      <c r="I534" s="2" t="s">
        <v>1924</v>
      </c>
      <c r="J534" s="3" t="s">
        <v>1262</v>
      </c>
      <c r="M534" s="2">
        <f>IF(J534="1000+", 1000, (LEFT(J534,FIND("-",J534)-1)+RIGHT(J534,LEN(J534)-FIND("-",J534)))/2)</f>
        <v>45</v>
      </c>
      <c r="N534" s="2">
        <f>ROUND(E534 * 0.7+F534 * 0.2+G534 * 0.1,2)</f>
        <v>64.599999999999994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65</v>
      </c>
      <c r="P534" s="2">
        <f>E534 - O534</f>
        <v>2</v>
      </c>
      <c r="Q534" s="2">
        <f>ROUND(
  SIGN(P534)*
  IF(ABS(P534)&lt;=10,ABS(P534)*0.5,
     IF(ABS(P534)&lt;=15,5+(ABS(P534)-10)*(1.67/5),
        6.67+(ABS(P534)-15)*0.333)),
2)</f>
        <v>1</v>
      </c>
    </row>
    <row r="535" spans="1:17" ht="34.5" customHeight="1" x14ac:dyDescent="0.3">
      <c r="A535" s="2">
        <v>2026</v>
      </c>
      <c r="B535" s="2">
        <v>534</v>
      </c>
      <c r="C535" s="17">
        <f>ROUND(MAX(MIN(N535 + Q535, 100), 0), 2)</f>
        <v>65.599999999999994</v>
      </c>
      <c r="D535" s="2" t="s">
        <v>1935</v>
      </c>
      <c r="E535" s="7">
        <v>66</v>
      </c>
      <c r="F535" s="2">
        <v>58</v>
      </c>
      <c r="G535" s="2">
        <v>48</v>
      </c>
      <c r="H535" s="2" t="s">
        <v>1944</v>
      </c>
      <c r="I535" s="2" t="s">
        <v>36</v>
      </c>
      <c r="J535" s="3" t="s">
        <v>1261</v>
      </c>
      <c r="M535" s="2">
        <f>IF(J535="1000+", 1000, (LEFT(J535,FIND("-",J535)-1)+RIGHT(J535,LEN(J535)-FIND("-",J535)))/2)</f>
        <v>20</v>
      </c>
      <c r="N535" s="2">
        <f>ROUND(E535 * 0.7+F535 * 0.2+G535 * 0.1,2)</f>
        <v>62.6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60</v>
      </c>
      <c r="P535" s="2">
        <f>E535 - O535</f>
        <v>6</v>
      </c>
      <c r="Q535" s="2">
        <f>ROUND(
  SIGN(P535)*
  IF(ABS(P535)&lt;=10,ABS(P535)*0.5,
     IF(ABS(P535)&lt;=15,5+(ABS(P535)-10)*(1.67/5),
        6.67+(ABS(P535)-15)*0.333)),
2)</f>
        <v>3</v>
      </c>
    </row>
    <row r="536" spans="1:17" ht="34.5" customHeight="1" x14ac:dyDescent="0.3">
      <c r="A536" s="2">
        <v>2026</v>
      </c>
      <c r="B536" s="2">
        <v>535</v>
      </c>
      <c r="C536" s="17">
        <f>ROUND(MAX(MIN(N536 + Q536, 100), 0), 2)</f>
        <v>65.53</v>
      </c>
      <c r="D536" s="2" t="s">
        <v>1955</v>
      </c>
      <c r="E536" s="2">
        <v>68</v>
      </c>
      <c r="F536" s="2">
        <v>82</v>
      </c>
      <c r="G536" s="2">
        <v>72</v>
      </c>
      <c r="H536" s="2" t="s">
        <v>1257</v>
      </c>
      <c r="I536" s="2" t="s">
        <v>1276</v>
      </c>
      <c r="J536" s="3" t="s">
        <v>1260</v>
      </c>
      <c r="M536" s="2">
        <f>IF(J536="1000+", 1000, (LEFT(J536,FIND("-",J536)-1)+RIGHT(J536,LEN(J536)-FIND("-",J536)))/2)</f>
        <v>150</v>
      </c>
      <c r="N536" s="2">
        <f>ROUND(E536 * 0.7+F536 * 0.2+G536 * 0.1,2)</f>
        <v>71.2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80</v>
      </c>
      <c r="P536" s="2">
        <f>E536 - O536</f>
        <v>-12</v>
      </c>
      <c r="Q536" s="2">
        <f>ROUND(
  SIGN(P536)*
  IF(ABS(P536)&lt;=10,ABS(P536)*0.5,
     IF(ABS(P536)&lt;=15,5+(ABS(P536)-10)*(1.67/5),
        6.67+(ABS(P536)-15)*0.333)),
2)</f>
        <v>-5.67</v>
      </c>
    </row>
    <row r="537" spans="1:17" ht="34.5" customHeight="1" x14ac:dyDescent="0.3">
      <c r="B537" s="2">
        <v>536</v>
      </c>
      <c r="C537" s="17">
        <f>ROUND(MAX(MIN(N537 + Q537, 100), 0), 2)</f>
        <v>65.5</v>
      </c>
      <c r="D537" s="2" t="s">
        <v>622</v>
      </c>
      <c r="E537" s="5">
        <v>73</v>
      </c>
      <c r="F537" s="7">
        <v>60</v>
      </c>
      <c r="G537" s="2">
        <v>34</v>
      </c>
      <c r="H537" s="2" t="s">
        <v>48</v>
      </c>
      <c r="I537" s="2" t="s">
        <v>17</v>
      </c>
      <c r="J537" s="3" t="s">
        <v>140</v>
      </c>
      <c r="M537" s="2">
        <f>IF(J537="1000+", 1000, (LEFT(J537,FIND("-",J537)-1)+RIGHT(J537,LEN(J537)-FIND("-",J537)))/2)</f>
        <v>115</v>
      </c>
      <c r="N537" s="2">
        <f>ROUND(E537 * 0.7+F537 * 0.2+G537 * 0.1,2)</f>
        <v>66.5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75</v>
      </c>
      <c r="P537" s="2">
        <f>E537 - O537</f>
        <v>-2</v>
      </c>
      <c r="Q537" s="2">
        <f>ROUND(
  SIGN(P537)*
  IF(ABS(P537)&lt;=10,ABS(P537)*0.5,
     IF(ABS(P537)&lt;=15,5+(ABS(P537)-10)*(1.67/5),
        6.67+(ABS(P537)-15)*0.333)),
2)</f>
        <v>-1</v>
      </c>
    </row>
    <row r="538" spans="1:17" ht="34.5" customHeight="1" x14ac:dyDescent="0.3">
      <c r="B538" s="2">
        <v>537</v>
      </c>
      <c r="C538" s="17">
        <f>ROUND(MAX(MIN(N538 + Q538, 100), 0), 2)</f>
        <v>65.5</v>
      </c>
      <c r="D538" s="2" t="s">
        <v>465</v>
      </c>
      <c r="E538" s="7">
        <v>67</v>
      </c>
      <c r="F538" s="5">
        <v>71</v>
      </c>
      <c r="G538" s="2">
        <v>59</v>
      </c>
      <c r="H538" s="2" t="s">
        <v>31</v>
      </c>
      <c r="I538" s="2" t="s">
        <v>165</v>
      </c>
      <c r="J538" s="3" t="s">
        <v>18</v>
      </c>
      <c r="M538" s="2">
        <f>IF(J538="1000+", 1000, (LEFT(J538,FIND("-",J538)-1)+RIGHT(J538,LEN(J538)-FIND("-",J538)))/2)</f>
        <v>75</v>
      </c>
      <c r="N538" s="2">
        <f>ROUND(E538 * 0.7+F538 * 0.2+G538 * 0.1,2)</f>
        <v>67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70</v>
      </c>
      <c r="P538" s="2">
        <f>E538 - O538</f>
        <v>-3</v>
      </c>
      <c r="Q538" s="2">
        <f>ROUND(
  SIGN(P538)*
  IF(ABS(P538)&lt;=10,ABS(P538)*0.5,
     IF(ABS(P538)&lt;=15,5+(ABS(P538)-10)*(1.67/5),
        6.67+(ABS(P538)-15)*0.333)),
2)</f>
        <v>-1.5</v>
      </c>
    </row>
    <row r="539" spans="1:17" ht="34.5" customHeight="1" x14ac:dyDescent="0.3">
      <c r="B539" s="2">
        <v>538</v>
      </c>
      <c r="C539" s="17">
        <f>ROUND(MAX(MIN(N539 + Q539, 100), 0), 2)</f>
        <v>65.5</v>
      </c>
      <c r="D539" s="2" t="s">
        <v>468</v>
      </c>
      <c r="E539" s="5">
        <v>71</v>
      </c>
      <c r="F539" s="5">
        <v>70</v>
      </c>
      <c r="G539" s="6">
        <v>88</v>
      </c>
      <c r="H539" s="2" t="s">
        <v>324</v>
      </c>
      <c r="I539" s="2" t="s">
        <v>325</v>
      </c>
      <c r="J539" s="3" t="s">
        <v>65</v>
      </c>
      <c r="M539" s="2">
        <f>IF(J539="1000+", 1000, (LEFT(J539,FIND("-",J539)-1)+RIGHT(J539,LEN(J539)-FIND("-",J539)))/2)</f>
        <v>250</v>
      </c>
      <c r="N539" s="2">
        <f>ROUND(E539 * 0.7+F539 * 0.2+G539 * 0.1,2)</f>
        <v>72.5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87</v>
      </c>
      <c r="P539" s="2">
        <f>E539 - O539</f>
        <v>-16</v>
      </c>
      <c r="Q539" s="2">
        <f>ROUND(
  SIGN(P539)*
  IF(ABS(P539)&lt;=10,ABS(P539)*0.5,
     IF(ABS(P539)&lt;=15,5+(ABS(P539)-10)*(1.67/5),
        6.67+(ABS(P539)-15)*0.333)),
2)</f>
        <v>-7</v>
      </c>
    </row>
    <row r="540" spans="1:17" ht="34.5" customHeight="1" x14ac:dyDescent="0.3">
      <c r="B540" s="2">
        <v>539</v>
      </c>
      <c r="C540" s="17">
        <f>ROUND(MAX(MIN(N540 + Q540, 100), 0), 2)</f>
        <v>65.5</v>
      </c>
      <c r="D540" s="2" t="s">
        <v>436</v>
      </c>
      <c r="E540" s="7">
        <v>65</v>
      </c>
      <c r="F540" s="5">
        <v>70</v>
      </c>
      <c r="G540" s="5">
        <v>75</v>
      </c>
      <c r="H540" s="2" t="s">
        <v>26</v>
      </c>
      <c r="I540" s="2" t="s">
        <v>72</v>
      </c>
      <c r="J540" s="3" t="s">
        <v>23</v>
      </c>
      <c r="M540" s="2">
        <f>IF(J540="1000+", 1000, (LEFT(J540,FIND("-",J540)-1)+RIGHT(J540,LEN(J540)-FIND("-",J540)))/2)</f>
        <v>60</v>
      </c>
      <c r="N540" s="2">
        <f>ROUND(E540 * 0.7+F540 * 0.2+G540 * 0.1,2)</f>
        <v>67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68</v>
      </c>
      <c r="P540" s="2">
        <f>E540 - O540</f>
        <v>-3</v>
      </c>
      <c r="Q540" s="2">
        <f>ROUND(
  SIGN(P540)*
  IF(ABS(P540)&lt;=10,ABS(P540)*0.5,
     IF(ABS(P540)&lt;=15,5+(ABS(P540)-10)*(1.67/5),
        6.67+(ABS(P540)-15)*0.333)),
2)</f>
        <v>-1.5</v>
      </c>
    </row>
    <row r="541" spans="1:17" ht="34.5" customHeight="1" x14ac:dyDescent="0.3">
      <c r="B541" s="2">
        <v>540</v>
      </c>
      <c r="C541" s="17">
        <f>ROUND(MAX(MIN(N541 + Q541, 100), 0), 2)</f>
        <v>65.47</v>
      </c>
      <c r="D541" s="2" t="s">
        <v>824</v>
      </c>
      <c r="E541" s="7">
        <v>65</v>
      </c>
      <c r="F541" s="2">
        <v>50</v>
      </c>
      <c r="G541" s="2">
        <v>33</v>
      </c>
      <c r="H541" s="2" t="s">
        <v>104</v>
      </c>
      <c r="I541" s="2" t="s">
        <v>447</v>
      </c>
      <c r="J541" s="3" t="s">
        <v>1574</v>
      </c>
      <c r="K541" s="2" t="s">
        <v>825</v>
      </c>
      <c r="M541" s="2">
        <f>IF(J541="1000+", 1000, (LEFT(J541,FIND("-",J541)-1)+RIGHT(J541,LEN(J541)-FIND("-",J541)))/2)</f>
        <v>12.5</v>
      </c>
      <c r="N541" s="2">
        <f>ROUND(E541 * 0.7+F541 * 0.2+G541 * 0.1,2)</f>
        <v>58.8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50</v>
      </c>
      <c r="P541" s="2">
        <f>E541 - O541</f>
        <v>15</v>
      </c>
      <c r="Q541" s="2">
        <f>ROUND(
  SIGN(P541)*
  IF(ABS(P541)&lt;=10,ABS(P541)*0.5,
     IF(ABS(P541)&lt;=15,5+(ABS(P541)-10)*(1.67/5),
        6.67+(ABS(P541)-15)*0.333)),
2)</f>
        <v>6.67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65.400000000000006</v>
      </c>
      <c r="D542" s="2" t="s">
        <v>1557</v>
      </c>
      <c r="E542" s="7">
        <v>67</v>
      </c>
      <c r="F542" s="2">
        <v>55</v>
      </c>
      <c r="G542" s="2">
        <v>50</v>
      </c>
      <c r="H542" s="2" t="s">
        <v>1563</v>
      </c>
      <c r="I542" s="2" t="s">
        <v>1567</v>
      </c>
      <c r="J542" s="3" t="s">
        <v>1570</v>
      </c>
      <c r="M542" s="2">
        <f>IF(J542="1000+", 1000, (LEFT(J542,FIND("-",J542)-1)+RIGHT(J542,LEN(J542)-FIND("-",J542)))/2)</f>
        <v>30</v>
      </c>
      <c r="N542" s="2">
        <f>ROUND(E542 * 0.7+F542 * 0.2+G542 * 0.1,2)</f>
        <v>62.9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62</v>
      </c>
      <c r="P542" s="2">
        <f>E542 - O542</f>
        <v>5</v>
      </c>
      <c r="Q542" s="2">
        <f>ROUND(
  SIGN(P542)*
  IF(ABS(P542)&lt;=10,ABS(P542)*0.5,
     IF(ABS(P542)&lt;=15,5+(ABS(P542)-10)*(1.67/5),
        6.67+(ABS(P542)-15)*0.333)),
2)</f>
        <v>2.5</v>
      </c>
    </row>
    <row r="543" spans="1:17" ht="34.5" customHeight="1" x14ac:dyDescent="0.3">
      <c r="A543" s="2">
        <v>2026</v>
      </c>
      <c r="B543" s="2">
        <v>542</v>
      </c>
      <c r="C543" s="17">
        <f>ROUND(MAX(MIN(N543 + Q543, 100), 0), 2)</f>
        <v>65.400000000000006</v>
      </c>
      <c r="D543" s="2" t="s">
        <v>1807</v>
      </c>
      <c r="E543" s="5">
        <v>73</v>
      </c>
      <c r="F543" s="2">
        <v>58</v>
      </c>
      <c r="G543" s="7">
        <v>62</v>
      </c>
      <c r="H543" s="2" t="s">
        <v>1257</v>
      </c>
      <c r="I543" s="2" t="s">
        <v>1727</v>
      </c>
      <c r="J543" s="3" t="s">
        <v>1260</v>
      </c>
      <c r="M543" s="2">
        <f>IF(J543="1000+", 1000, (LEFT(J543,FIND("-",J543)-1)+RIGHT(J543,LEN(J543)-FIND("-",J543)))/2)</f>
        <v>150</v>
      </c>
      <c r="N543" s="2">
        <f>ROUND(E543 * 0.7+F543 * 0.2+G543 * 0.1,2)</f>
        <v>68.900000000000006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80</v>
      </c>
      <c r="P543" s="2">
        <f>E543 - O543</f>
        <v>-7</v>
      </c>
      <c r="Q543" s="2">
        <f>ROUND(
  SIGN(P543)*
  IF(ABS(P543)&lt;=10,ABS(P543)*0.5,
     IF(ABS(P543)&lt;=15,5+(ABS(P543)-10)*(1.67/5),
        6.67+(ABS(P543)-15)*0.333)),
2)</f>
        <v>-3.5</v>
      </c>
    </row>
    <row r="544" spans="1:17" ht="34.5" customHeight="1" x14ac:dyDescent="0.3">
      <c r="A544" s="2">
        <v>2026</v>
      </c>
      <c r="B544" s="2">
        <v>543</v>
      </c>
      <c r="C544" s="17">
        <f>ROUND(MAX(MIN(N544 + Q544, 100), 0), 2)</f>
        <v>65.400000000000006</v>
      </c>
      <c r="D544" s="2" t="s">
        <v>1360</v>
      </c>
      <c r="E544" s="7">
        <v>68</v>
      </c>
      <c r="F544" s="7">
        <v>64</v>
      </c>
      <c r="G544" s="7">
        <v>60</v>
      </c>
      <c r="H544" s="2" t="s">
        <v>1256</v>
      </c>
      <c r="I544" s="2" t="s">
        <v>1258</v>
      </c>
      <c r="J544" s="3" t="s">
        <v>1264</v>
      </c>
      <c r="M544" s="2">
        <f>IF(J544="1000+", 1000, (LEFT(J544,FIND("-",J544)-1)+RIGHT(J544,LEN(J544)-FIND("-",J544)))/2)</f>
        <v>75</v>
      </c>
      <c r="N544" s="2">
        <f>ROUND(E544 * 0.7+F544 * 0.2+G544 * 0.1,2)</f>
        <v>66.400000000000006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70</v>
      </c>
      <c r="P544" s="2">
        <f>E544 - O544</f>
        <v>-2</v>
      </c>
      <c r="Q544" s="2">
        <f>ROUND(
  SIGN(P544)*
  IF(ABS(P544)&lt;=10,ABS(P544)*0.5,
     IF(ABS(P544)&lt;=15,5+(ABS(P544)-10)*(1.67/5),
        6.67+(ABS(P544)-15)*0.333)),
2)</f>
        <v>-1</v>
      </c>
    </row>
    <row r="545" spans="1:17" ht="34.5" customHeight="1" x14ac:dyDescent="0.3">
      <c r="B545" s="2">
        <v>544</v>
      </c>
      <c r="C545" s="17">
        <f>ROUND(MAX(MIN(N545 + Q545, 100), 0), 2)</f>
        <v>65.400000000000006</v>
      </c>
      <c r="D545" s="2" t="s">
        <v>531</v>
      </c>
      <c r="E545" s="7">
        <v>68</v>
      </c>
      <c r="F545" s="5">
        <v>72</v>
      </c>
      <c r="G545" s="2">
        <v>54</v>
      </c>
      <c r="H545" s="2" t="s">
        <v>145</v>
      </c>
      <c r="I545" s="2" t="s">
        <v>27</v>
      </c>
      <c r="J545" s="3" t="s">
        <v>122</v>
      </c>
      <c r="M545" s="2">
        <f>IF(J545="1000+", 1000, (LEFT(J545,FIND("-",J545)-1)+RIGHT(J545,LEN(J545)-FIND("-",J545)))/2)</f>
        <v>105</v>
      </c>
      <c r="N545" s="2">
        <f>ROUND(E545 * 0.7+F545 * 0.2+G545 * 0.1,2)</f>
        <v>67.400000000000006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72</v>
      </c>
      <c r="P545" s="2">
        <f>E545 - O545</f>
        <v>-4</v>
      </c>
      <c r="Q545" s="2">
        <f>ROUND(
  SIGN(P545)*
  IF(ABS(P545)&lt;=10,ABS(P545)*0.5,
     IF(ABS(P545)&lt;=15,5+(ABS(P545)-10)*(1.67/5),
        6.67+(ABS(P545)-15)*0.333)),
2)</f>
        <v>-2</v>
      </c>
    </row>
    <row r="546" spans="1:17" ht="34.5" customHeight="1" x14ac:dyDescent="0.3">
      <c r="B546" s="2">
        <v>545</v>
      </c>
      <c r="C546" s="17">
        <f>ROUND(MAX(MIN(N546 + Q546, 100), 0), 2)</f>
        <v>65.37</v>
      </c>
      <c r="D546" s="2" t="s">
        <v>768</v>
      </c>
      <c r="E546" s="7">
        <v>65</v>
      </c>
      <c r="F546" s="2">
        <v>50</v>
      </c>
      <c r="G546" s="2">
        <v>32</v>
      </c>
      <c r="H546" s="2" t="s">
        <v>104</v>
      </c>
      <c r="I546" s="2" t="s">
        <v>36</v>
      </c>
      <c r="J546" s="3" t="s">
        <v>92</v>
      </c>
      <c r="M546" s="2">
        <f>IF(J546="1000+", 1000, (LEFT(J546,FIND("-",J546)-1)+RIGHT(J546,LEN(J546)-FIND("-",J546)))/2)</f>
        <v>12.5</v>
      </c>
      <c r="N546" s="2">
        <f>ROUND(E546 * 0.7+F546 * 0.2+G546 * 0.1,2)</f>
        <v>58.7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50</v>
      </c>
      <c r="P546" s="2">
        <f>E546 - O546</f>
        <v>15</v>
      </c>
      <c r="Q546" s="2">
        <f>ROUND(
  SIGN(P546)*
  IF(ABS(P546)&lt;=10,ABS(P546)*0.5,
     IF(ABS(P546)&lt;=15,5+(ABS(P546)-10)*(1.67/5),
        6.67+(ABS(P546)-15)*0.333)),
2)</f>
        <v>6.67</v>
      </c>
    </row>
    <row r="547" spans="1:17" ht="34.5" customHeight="1" x14ac:dyDescent="0.3">
      <c r="A547" s="2">
        <v>2026</v>
      </c>
      <c r="B547" s="2">
        <v>546</v>
      </c>
      <c r="C547" s="17">
        <f>ROUND(MAX(MIN(N547 + Q547, 100), 0), 2)</f>
        <v>65.37</v>
      </c>
      <c r="D547" s="2" t="s">
        <v>2017</v>
      </c>
      <c r="E547" s="7">
        <v>67</v>
      </c>
      <c r="F547" s="2">
        <v>50</v>
      </c>
      <c r="G547" s="2">
        <v>28</v>
      </c>
      <c r="H547" s="2" t="s">
        <v>1256</v>
      </c>
      <c r="I547" s="2" t="s">
        <v>36</v>
      </c>
      <c r="J547" s="3" t="s">
        <v>1266</v>
      </c>
      <c r="M547" s="2">
        <f>IF(J547="1000+", 1000, (LEFT(J547,FIND("-",J547)-1)+RIGHT(J547,LEN(J547)-FIND("-",J547)))/2)</f>
        <v>15</v>
      </c>
      <c r="N547" s="2">
        <f>ROUND(E547 * 0.7+F547 * 0.2+G547 * 0.1,2)</f>
        <v>59.7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55</v>
      </c>
      <c r="P547" s="2">
        <f>E547 - O547</f>
        <v>12</v>
      </c>
      <c r="Q547" s="2">
        <f>ROUND(
  SIGN(P547)*
  IF(ABS(P547)&lt;=10,ABS(P547)*0.5,
     IF(ABS(P547)&lt;=15,5+(ABS(P547)-10)*(1.67/5),
        6.67+(ABS(P547)-15)*0.333)),
2)</f>
        <v>5.67</v>
      </c>
    </row>
    <row r="548" spans="1:17" ht="34.5" customHeight="1" x14ac:dyDescent="0.3">
      <c r="B548" s="2">
        <v>547</v>
      </c>
      <c r="C548" s="17">
        <f>ROUND(MAX(MIN(N548 + Q548, 100), 0), 2)</f>
        <v>65.3</v>
      </c>
      <c r="D548" s="2" t="s">
        <v>543</v>
      </c>
      <c r="E548" s="7">
        <v>68</v>
      </c>
      <c r="F548" s="7">
        <v>62</v>
      </c>
      <c r="G548" s="2">
        <v>53</v>
      </c>
      <c r="H548" s="2" t="s">
        <v>217</v>
      </c>
      <c r="I548" s="2" t="s">
        <v>22</v>
      </c>
      <c r="J548" s="3" t="s">
        <v>23</v>
      </c>
      <c r="M548" s="2">
        <f>IF(J548="1000+", 1000, (LEFT(J548,FIND("-",J548)-1)+RIGHT(J548,LEN(J548)-FIND("-",J548)))/2)</f>
        <v>60</v>
      </c>
      <c r="N548" s="2">
        <f>ROUND(E548 * 0.7+F548 * 0.2+G548 * 0.1,2)</f>
        <v>65.3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68</v>
      </c>
      <c r="P548" s="2">
        <f>E548 - O548</f>
        <v>0</v>
      </c>
      <c r="Q548" s="2">
        <f>ROUND(
  SIGN(P548)*
  IF(ABS(P548)&lt;=10,ABS(P548)*0.5,
     IF(ABS(P548)&lt;=15,5+(ABS(P548)-10)*(1.67/5),
        6.67+(ABS(P548)-15)*0.333)),
2)</f>
        <v>0</v>
      </c>
    </row>
    <row r="549" spans="1:17" ht="34.5" customHeight="1" x14ac:dyDescent="0.3">
      <c r="B549" s="2">
        <v>548</v>
      </c>
      <c r="C549" s="17">
        <f>ROUND(MAX(MIN(N549 + Q549, 100), 0), 2)</f>
        <v>65.3</v>
      </c>
      <c r="D549" s="2" t="s">
        <v>539</v>
      </c>
      <c r="E549" s="7">
        <v>68</v>
      </c>
      <c r="F549" s="7">
        <v>65</v>
      </c>
      <c r="G549" s="7">
        <v>67</v>
      </c>
      <c r="H549" s="2" t="s">
        <v>256</v>
      </c>
      <c r="I549" s="2" t="s">
        <v>13</v>
      </c>
      <c r="J549" s="3" t="s">
        <v>122</v>
      </c>
      <c r="M549" s="2">
        <f>IF(J549="1000+", 1000, (LEFT(J549,FIND("-",J549)-1)+RIGHT(J549,LEN(J549)-FIND("-",J549)))/2)</f>
        <v>105</v>
      </c>
      <c r="N549" s="2">
        <f>ROUND(E549 * 0.7+F549 * 0.2+G549 * 0.1,2)</f>
        <v>67.3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72</v>
      </c>
      <c r="P549" s="2">
        <f>E549 - O549</f>
        <v>-4</v>
      </c>
      <c r="Q549" s="2">
        <f>ROUND(
  SIGN(P549)*
  IF(ABS(P549)&lt;=10,ABS(P549)*0.5,
     IF(ABS(P549)&lt;=15,5+(ABS(P549)-10)*(1.67/5),
        6.67+(ABS(P549)-15)*0.333)),
2)</f>
        <v>-2</v>
      </c>
    </row>
    <row r="550" spans="1:17" ht="34.5" customHeight="1" x14ac:dyDescent="0.3">
      <c r="B550" s="2">
        <v>549</v>
      </c>
      <c r="C550" s="17">
        <f>ROUND(MAX(MIN(N550 + Q550, 100), 0), 2)</f>
        <v>65.2</v>
      </c>
      <c r="D550" s="2" t="s">
        <v>609</v>
      </c>
      <c r="E550" s="5">
        <v>70</v>
      </c>
      <c r="F550" s="2">
        <v>51</v>
      </c>
      <c r="G550" s="2">
        <v>50</v>
      </c>
      <c r="H550" s="2" t="s">
        <v>610</v>
      </c>
      <c r="I550" s="2" t="s">
        <v>22</v>
      </c>
      <c r="J550" s="3" t="s">
        <v>23</v>
      </c>
      <c r="M550" s="2">
        <f>IF(J550="1000+", 1000, (LEFT(J550,FIND("-",J550)-1)+RIGHT(J550,LEN(J550)-FIND("-",J550)))/2)</f>
        <v>60</v>
      </c>
      <c r="N550" s="2">
        <f>ROUND(E550 * 0.7+F550 * 0.2+G550 * 0.1,2)</f>
        <v>64.2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68</v>
      </c>
      <c r="P550" s="2">
        <f>E550 - O550</f>
        <v>2</v>
      </c>
      <c r="Q550" s="2">
        <f>ROUND(
  SIGN(P550)*
  IF(ABS(P550)&lt;=10,ABS(P550)*0.5,
     IF(ABS(P550)&lt;=15,5+(ABS(P550)-10)*(1.67/5),
        6.67+(ABS(P550)-15)*0.333)),
2)</f>
        <v>1</v>
      </c>
    </row>
    <row r="551" spans="1:17" ht="34.5" customHeight="1" x14ac:dyDescent="0.3">
      <c r="B551" s="2">
        <v>550</v>
      </c>
      <c r="C551" s="17">
        <f>ROUND(MAX(MIN(N551 + Q551, 100), 0), 2)</f>
        <v>65.2</v>
      </c>
      <c r="D551" s="2" t="s">
        <v>700</v>
      </c>
      <c r="E551" s="7">
        <v>65</v>
      </c>
      <c r="F551" s="2">
        <v>54</v>
      </c>
      <c r="G551" s="2">
        <v>39</v>
      </c>
      <c r="H551" s="2" t="s">
        <v>31</v>
      </c>
      <c r="I551" s="2" t="s">
        <v>36</v>
      </c>
      <c r="J551" s="3" t="s">
        <v>37</v>
      </c>
      <c r="M551" s="2">
        <f>IF(J551="1000+", 1000, (LEFT(J551,FIND("-",J551)-1)+RIGHT(J551,LEN(J551)-FIND("-",J551)))/2)</f>
        <v>15</v>
      </c>
      <c r="N551" s="2">
        <f>ROUND(E551 * 0.7+F551 * 0.2+G551 * 0.1,2)</f>
        <v>60.2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55</v>
      </c>
      <c r="P551" s="2">
        <f>E551 - O551</f>
        <v>10</v>
      </c>
      <c r="Q551" s="2">
        <f>ROUND(
  SIGN(P551)*
  IF(ABS(P551)&lt;=10,ABS(P551)*0.5,
     IF(ABS(P551)&lt;=15,5+(ABS(P551)-10)*(1.67/5),
        6.67+(ABS(P551)-15)*0.333)),
2)</f>
        <v>5</v>
      </c>
    </row>
    <row r="552" spans="1:17" ht="34.5" customHeight="1" x14ac:dyDescent="0.3">
      <c r="B552" s="2">
        <v>551</v>
      </c>
      <c r="C552" s="17">
        <f>ROUND(MAX(MIN(N552 + Q552, 100), 0), 2)</f>
        <v>65.2</v>
      </c>
      <c r="D552" s="2" t="s">
        <v>604</v>
      </c>
      <c r="E552" s="5">
        <v>74</v>
      </c>
      <c r="F552" s="2">
        <v>58</v>
      </c>
      <c r="G552" s="2">
        <v>58</v>
      </c>
      <c r="H552" s="2" t="s">
        <v>605</v>
      </c>
      <c r="I552" s="2" t="s">
        <v>177</v>
      </c>
      <c r="J552" s="3" t="s">
        <v>28</v>
      </c>
      <c r="M552" s="2">
        <f>IF(J552="1000+", 1000, (LEFT(J552,FIND("-",J552)-1)+RIGHT(J552,LEN(J552)-FIND("-",J552)))/2)</f>
        <v>200</v>
      </c>
      <c r="N552" s="2">
        <f>ROUND(E552 * 0.7+F552 * 0.2+G552 * 0.1,2)</f>
        <v>69.2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82</v>
      </c>
      <c r="P552" s="2">
        <f>E552 - O552</f>
        <v>-8</v>
      </c>
      <c r="Q552" s="2">
        <f>ROUND(
  SIGN(P552)*
  IF(ABS(P552)&lt;=10,ABS(P552)*0.5,
     IF(ABS(P552)&lt;=15,5+(ABS(P552)-10)*(1.67/5),
        6.67+(ABS(P552)-15)*0.333)),
2)</f>
        <v>-4</v>
      </c>
    </row>
    <row r="553" spans="1:17" ht="34.5" customHeight="1" x14ac:dyDescent="0.3">
      <c r="B553" s="2">
        <v>552</v>
      </c>
      <c r="C553" s="17">
        <f>ROUND(MAX(MIN(N553 + Q553, 100), 0), 2)</f>
        <v>65.2</v>
      </c>
      <c r="D553" s="2" t="s">
        <v>508</v>
      </c>
      <c r="E553" s="5">
        <v>73</v>
      </c>
      <c r="F553" s="7">
        <v>60</v>
      </c>
      <c r="G553" s="2">
        <v>56</v>
      </c>
      <c r="H553" s="2" t="s">
        <v>171</v>
      </c>
      <c r="I553" s="2" t="s">
        <v>72</v>
      </c>
      <c r="J553" s="3" t="s">
        <v>88</v>
      </c>
      <c r="K553" s="2" t="s">
        <v>509</v>
      </c>
      <c r="M553" s="2">
        <f>IF(J553="1000+", 1000, (LEFT(J553,FIND("-",J553)-1)+RIGHT(J553,LEN(J553)-FIND("-",J553)))/2)</f>
        <v>150</v>
      </c>
      <c r="N553" s="2">
        <f>ROUND(E553 * 0.7+F553 * 0.2+G553 * 0.1,2)</f>
        <v>68.7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80</v>
      </c>
      <c r="P553" s="2">
        <f>E553 - O553</f>
        <v>-7</v>
      </c>
      <c r="Q553" s="2">
        <f>ROUND(
  SIGN(P553)*
  IF(ABS(P553)&lt;=10,ABS(P553)*0.5,
     IF(ABS(P553)&lt;=15,5+(ABS(P553)-10)*(1.67/5),
        6.67+(ABS(P553)-15)*0.333)),
2)</f>
        <v>-3.5</v>
      </c>
    </row>
    <row r="554" spans="1:17" ht="34.5" customHeight="1" x14ac:dyDescent="0.3">
      <c r="B554" s="2">
        <v>553</v>
      </c>
      <c r="C554" s="17">
        <f>ROUND(MAX(MIN(N554 + Q554, 100), 0), 2)</f>
        <v>65.2</v>
      </c>
      <c r="D554" s="2" t="s">
        <v>415</v>
      </c>
      <c r="E554" s="5">
        <v>71</v>
      </c>
      <c r="F554" s="7">
        <v>66</v>
      </c>
      <c r="G554" s="7">
        <v>68</v>
      </c>
      <c r="H554" s="2" t="s">
        <v>416</v>
      </c>
      <c r="I554" s="2" t="s">
        <v>417</v>
      </c>
      <c r="J554" s="3" t="s">
        <v>88</v>
      </c>
      <c r="K554" s="2" t="s">
        <v>418</v>
      </c>
      <c r="M554" s="2">
        <f>IF(J554="1000+", 1000, (LEFT(J554,FIND("-",J554)-1)+RIGHT(J554,LEN(J554)-FIND("-",J554)))/2)</f>
        <v>150</v>
      </c>
      <c r="N554" s="2">
        <f>ROUND(E554 * 0.7+F554 * 0.2+G554 * 0.1,2)</f>
        <v>69.7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80</v>
      </c>
      <c r="P554" s="2">
        <f>E554 - O554</f>
        <v>-9</v>
      </c>
      <c r="Q554" s="2">
        <f>ROUND(
  SIGN(P554)*
  IF(ABS(P554)&lt;=10,ABS(P554)*0.5,
     IF(ABS(P554)&lt;=15,5+(ABS(P554)-10)*(1.67/5),
        6.67+(ABS(P554)-15)*0.333)),
2)</f>
        <v>-4.5</v>
      </c>
    </row>
    <row r="555" spans="1:17" ht="34.5" customHeight="1" x14ac:dyDescent="0.3">
      <c r="B555" s="2">
        <v>554</v>
      </c>
      <c r="C555" s="17">
        <f>ROUND(MAX(MIN(N555 + Q555, 100), 0), 2)</f>
        <v>65.2</v>
      </c>
      <c r="D555" s="2" t="s">
        <v>545</v>
      </c>
      <c r="E555" s="7">
        <v>68</v>
      </c>
      <c r="F555" s="7">
        <v>64</v>
      </c>
      <c r="G555" s="7">
        <v>68</v>
      </c>
      <c r="H555" s="2" t="s">
        <v>423</v>
      </c>
      <c r="I555" s="2" t="s">
        <v>228</v>
      </c>
      <c r="J555" s="3" t="s">
        <v>122</v>
      </c>
      <c r="M555" s="2">
        <f>IF(J555="1000+", 1000, (LEFT(J555,FIND("-",J555)-1)+RIGHT(J555,LEN(J555)-FIND("-",J555)))/2)</f>
        <v>105</v>
      </c>
      <c r="N555" s="2">
        <f>ROUND(E555 * 0.7+F555 * 0.2+G555 * 0.1,2)</f>
        <v>67.2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72</v>
      </c>
      <c r="P555" s="2">
        <f>E555 - O555</f>
        <v>-4</v>
      </c>
      <c r="Q555" s="2">
        <f>ROUND(
  SIGN(P555)*
  IF(ABS(P555)&lt;=10,ABS(P555)*0.5,
     IF(ABS(P555)&lt;=15,5+(ABS(P555)-10)*(1.67/5),
        6.67+(ABS(P555)-15)*0.333)),
2)</f>
        <v>-2</v>
      </c>
    </row>
    <row r="556" spans="1:17" ht="34.5" customHeight="1" x14ac:dyDescent="0.3">
      <c r="B556" s="2">
        <v>555</v>
      </c>
      <c r="C556" s="17">
        <f>ROUND(MAX(MIN(N556 + Q556, 100), 0), 2)</f>
        <v>65.2</v>
      </c>
      <c r="D556" s="2" t="s">
        <v>510</v>
      </c>
      <c r="E556" s="7">
        <v>65</v>
      </c>
      <c r="F556" s="6">
        <v>88</v>
      </c>
      <c r="G556" s="5">
        <v>71</v>
      </c>
      <c r="H556" s="2" t="s">
        <v>48</v>
      </c>
      <c r="I556" s="2" t="s">
        <v>201</v>
      </c>
      <c r="J556" s="3" t="s">
        <v>140</v>
      </c>
      <c r="M556" s="2">
        <f>IF(J556="1000+", 1000, (LEFT(J556,FIND("-",J556)-1)+RIGHT(J556,LEN(J556)-FIND("-",J556)))/2)</f>
        <v>115</v>
      </c>
      <c r="N556" s="2">
        <f>ROUND(E556 * 0.7+F556 * 0.2+G556 * 0.1,2)</f>
        <v>70.2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75</v>
      </c>
      <c r="P556" s="2">
        <f>E556 - O556</f>
        <v>-10</v>
      </c>
      <c r="Q556" s="2">
        <f>ROUND(
  SIGN(P556)*
  IF(ABS(P556)&lt;=10,ABS(P556)*0.5,
     IF(ABS(P556)&lt;=15,5+(ABS(P556)-10)*(1.67/5),
        6.67+(ABS(P556)-15)*0.333)),
2)</f>
        <v>-5</v>
      </c>
    </row>
    <row r="557" spans="1:17" ht="34.5" customHeight="1" x14ac:dyDescent="0.3">
      <c r="B557" s="2">
        <v>556</v>
      </c>
      <c r="C557" s="17">
        <f>ROUND(MAX(MIN(N557 + Q557, 100), 0), 2)</f>
        <v>65.099999999999994</v>
      </c>
      <c r="D557" s="2" t="s">
        <v>590</v>
      </c>
      <c r="E557" s="5">
        <v>71</v>
      </c>
      <c r="F557" s="2">
        <v>55</v>
      </c>
      <c r="G557" s="7">
        <v>64</v>
      </c>
      <c r="H557" s="2" t="s">
        <v>48</v>
      </c>
      <c r="I557" s="2" t="s">
        <v>72</v>
      </c>
      <c r="J557" s="3" t="s">
        <v>140</v>
      </c>
      <c r="M557" s="2">
        <f>IF(J557="1000+", 1000, (LEFT(J557,FIND("-",J557)-1)+RIGHT(J557,LEN(J557)-FIND("-",J557)))/2)</f>
        <v>115</v>
      </c>
      <c r="N557" s="2">
        <f>ROUND(E557 * 0.7+F557 * 0.2+G557 * 0.1,2)</f>
        <v>67.099999999999994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75</v>
      </c>
      <c r="P557" s="2">
        <f>E557 - O557</f>
        <v>-4</v>
      </c>
      <c r="Q557" s="2">
        <f>ROUND(
  SIGN(P557)*
  IF(ABS(P557)&lt;=10,ABS(P557)*0.5,
     IF(ABS(P557)&lt;=15,5+(ABS(P557)-10)*(1.67/5),
        6.67+(ABS(P557)-15)*0.333)),
2)</f>
        <v>-2</v>
      </c>
    </row>
    <row r="558" spans="1:17" ht="34.5" customHeight="1" x14ac:dyDescent="0.3">
      <c r="B558" s="2">
        <v>557</v>
      </c>
      <c r="C558" s="17">
        <f>ROUND(MAX(MIN(N558 + Q558, 100), 0), 2)</f>
        <v>65.099999999999994</v>
      </c>
      <c r="D558" s="2" t="s">
        <v>680</v>
      </c>
      <c r="E558" s="7">
        <v>64</v>
      </c>
      <c r="F558" s="2">
        <v>53</v>
      </c>
      <c r="G558" s="2">
        <v>52</v>
      </c>
      <c r="H558" s="2" t="s">
        <v>31</v>
      </c>
      <c r="I558" s="2" t="s">
        <v>36</v>
      </c>
      <c r="J558" s="3" t="s">
        <v>37</v>
      </c>
      <c r="M558" s="2">
        <f>IF(J558="1000+", 1000, (LEFT(J558,FIND("-",J558)-1)+RIGHT(J558,LEN(J558)-FIND("-",J558)))/2)</f>
        <v>15</v>
      </c>
      <c r="N558" s="2">
        <f>ROUND(E558 * 0.7+F558 * 0.2+G558 * 0.1,2)</f>
        <v>60.6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55</v>
      </c>
      <c r="P558" s="2">
        <f>E558 - O558</f>
        <v>9</v>
      </c>
      <c r="Q558" s="2">
        <f>ROUND(
  SIGN(P558)*
  IF(ABS(P558)&lt;=10,ABS(P558)*0.5,
     IF(ABS(P558)&lt;=15,5+(ABS(P558)-10)*(1.67/5),
        6.67+(ABS(P558)-15)*0.333)),
2)</f>
        <v>4.5</v>
      </c>
    </row>
    <row r="559" spans="1:17" ht="34.5" customHeight="1" x14ac:dyDescent="0.3">
      <c r="B559" s="2">
        <v>558</v>
      </c>
      <c r="C559" s="17">
        <f>ROUND(MAX(MIN(N559 + Q559, 100), 0), 2)</f>
        <v>65.099999999999994</v>
      </c>
      <c r="D559" s="2" t="s">
        <v>566</v>
      </c>
      <c r="E559" s="5">
        <v>70</v>
      </c>
      <c r="F559" s="7">
        <v>62</v>
      </c>
      <c r="G559" s="7">
        <v>62</v>
      </c>
      <c r="H559" s="2" t="s">
        <v>48</v>
      </c>
      <c r="I559" s="2" t="s">
        <v>551</v>
      </c>
      <c r="J559" s="3" t="s">
        <v>140</v>
      </c>
      <c r="M559" s="2">
        <f>IF(J559="1000+", 1000, (LEFT(J559,FIND("-",J559)-1)+RIGHT(J559,LEN(J559)-FIND("-",J559)))/2)</f>
        <v>115</v>
      </c>
      <c r="N559" s="2">
        <f>ROUND(E559 * 0.7+F559 * 0.2+G559 * 0.1,2)</f>
        <v>67.599999999999994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75</v>
      </c>
      <c r="P559" s="2">
        <f>E559 - O559</f>
        <v>-5</v>
      </c>
      <c r="Q559" s="2">
        <f>ROUND(
  SIGN(P559)*
  IF(ABS(P559)&lt;=10,ABS(P559)*0.5,
     IF(ABS(P559)&lt;=15,5+(ABS(P559)-10)*(1.67/5),
        6.67+(ABS(P559)-15)*0.333)),
2)</f>
        <v>-2.5</v>
      </c>
    </row>
    <row r="560" spans="1:17" ht="34.5" customHeight="1" x14ac:dyDescent="0.3">
      <c r="B560" s="2">
        <v>559</v>
      </c>
      <c r="C560" s="17">
        <f>ROUND(MAX(MIN(N560 + Q560, 100), 0), 2)</f>
        <v>65.099999999999994</v>
      </c>
      <c r="D560" s="2" t="s">
        <v>564</v>
      </c>
      <c r="E560" s="5">
        <v>70</v>
      </c>
      <c r="F560" s="7">
        <v>62</v>
      </c>
      <c r="G560" s="7">
        <v>62</v>
      </c>
      <c r="H560" s="2" t="s">
        <v>396</v>
      </c>
      <c r="I560" s="2" t="s">
        <v>36</v>
      </c>
      <c r="J560" s="3" t="s">
        <v>140</v>
      </c>
      <c r="M560" s="2">
        <f>IF(J560="1000+", 1000, (LEFT(J560,FIND("-",J560)-1)+RIGHT(J560,LEN(J560)-FIND("-",J560)))/2)</f>
        <v>115</v>
      </c>
      <c r="N560" s="2">
        <f>ROUND(E560 * 0.7+F560 * 0.2+G560 * 0.1,2)</f>
        <v>67.599999999999994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75</v>
      </c>
      <c r="P560" s="2">
        <f>E560 - O560</f>
        <v>-5</v>
      </c>
      <c r="Q560" s="2">
        <f>ROUND(
  SIGN(P560)*
  IF(ABS(P560)&lt;=10,ABS(P560)*0.5,
     IF(ABS(P560)&lt;=15,5+(ABS(P560)-10)*(1.67/5),
        6.67+(ABS(P560)-15)*0.333)),
2)</f>
        <v>-2.5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65.099999999999994</v>
      </c>
      <c r="D561" s="2" t="s">
        <v>1882</v>
      </c>
      <c r="E561" s="7">
        <v>66</v>
      </c>
      <c r="F561" s="7">
        <v>62</v>
      </c>
      <c r="G561" s="7">
        <v>60</v>
      </c>
      <c r="H561" s="2" t="s">
        <v>1450</v>
      </c>
      <c r="I561" s="2" t="s">
        <v>1258</v>
      </c>
      <c r="J561" s="3" t="s">
        <v>1262</v>
      </c>
      <c r="M561" s="2">
        <f>IF(J561="1000+", 1000, (LEFT(J561,FIND("-",J561)-1)+RIGHT(J561,LEN(J561)-FIND("-",J561)))/2)</f>
        <v>45</v>
      </c>
      <c r="N561" s="2">
        <f>ROUND(E561 * 0.7+F561 * 0.2+G561 * 0.1,2)</f>
        <v>64.599999999999994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65</v>
      </c>
      <c r="P561" s="2">
        <f>E561 - O561</f>
        <v>1</v>
      </c>
      <c r="Q561" s="2">
        <f>ROUND(
  SIGN(P561)*
  IF(ABS(P561)&lt;=10,ABS(P561)*0.5,
     IF(ABS(P561)&lt;=15,5+(ABS(P561)-10)*(1.67/5),
        6.67+(ABS(P561)-15)*0.333)),
2)</f>
        <v>0.5</v>
      </c>
    </row>
    <row r="562" spans="1:17" ht="34.5" customHeight="1" x14ac:dyDescent="0.3">
      <c r="B562" s="2">
        <v>561</v>
      </c>
      <c r="C562" s="17">
        <f>ROUND(MAX(MIN(N562 + Q562, 100), 0), 2)</f>
        <v>65.099999999999994</v>
      </c>
      <c r="D562" s="2" t="s">
        <v>456</v>
      </c>
      <c r="E562" s="7">
        <v>66</v>
      </c>
      <c r="F562" s="7">
        <v>67</v>
      </c>
      <c r="G562" s="5">
        <v>75</v>
      </c>
      <c r="H562" s="2" t="s">
        <v>153</v>
      </c>
      <c r="I562" s="2" t="s">
        <v>154</v>
      </c>
      <c r="J562" s="3" t="s">
        <v>18</v>
      </c>
      <c r="M562" s="2">
        <f>IF(J562="1000+", 1000, (LEFT(J562,FIND("-",J562)-1)+RIGHT(J562,LEN(J562)-FIND("-",J562)))/2)</f>
        <v>75</v>
      </c>
      <c r="N562" s="2">
        <f>ROUND(E562 * 0.7+F562 * 0.2+G562 * 0.1,2)</f>
        <v>67.099999999999994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70</v>
      </c>
      <c r="P562" s="2">
        <f>E562 - O562</f>
        <v>-4</v>
      </c>
      <c r="Q562" s="2">
        <f>ROUND(
  SIGN(P562)*
  IF(ABS(P562)&lt;=10,ABS(P562)*0.5,
     IF(ABS(P562)&lt;=15,5+(ABS(P562)-10)*(1.67/5),
        6.67+(ABS(P562)-15)*0.333)),
2)</f>
        <v>-2</v>
      </c>
    </row>
    <row r="563" spans="1:17" ht="34.5" customHeight="1" x14ac:dyDescent="0.3">
      <c r="B563" s="2">
        <v>562</v>
      </c>
      <c r="C563" s="17">
        <f>ROUND(MAX(MIN(N563 + Q563, 100), 0), 2)</f>
        <v>65.03</v>
      </c>
      <c r="D563" s="2" t="s">
        <v>419</v>
      </c>
      <c r="E563" s="7">
        <v>68</v>
      </c>
      <c r="F563" s="5">
        <v>78</v>
      </c>
      <c r="G563" s="5">
        <v>75</v>
      </c>
      <c r="H563" s="2" t="s">
        <v>279</v>
      </c>
      <c r="I563" s="2" t="s">
        <v>280</v>
      </c>
      <c r="J563" s="3" t="s">
        <v>88</v>
      </c>
      <c r="M563" s="2">
        <f>IF(J563="1000+", 1000, (LEFT(J563,FIND("-",J563)-1)+RIGHT(J563,LEN(J563)-FIND("-",J563)))/2)</f>
        <v>150</v>
      </c>
      <c r="N563" s="2">
        <f>ROUND(E563 * 0.7+F563 * 0.2+G563 * 0.1,2)</f>
        <v>70.7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80</v>
      </c>
      <c r="P563" s="2">
        <f>E563 - O563</f>
        <v>-12</v>
      </c>
      <c r="Q563" s="2">
        <f>ROUND(
  SIGN(P563)*
  IF(ABS(P563)&lt;=10,ABS(P563)*0.5,
     IF(ABS(P563)&lt;=15,5+(ABS(P563)-10)*(1.67/5),
        6.67+(ABS(P563)-15)*0.333)),
2)</f>
        <v>-5.67</v>
      </c>
    </row>
    <row r="564" spans="1:17" ht="34.5" customHeight="1" x14ac:dyDescent="0.3">
      <c r="B564" s="2">
        <v>563</v>
      </c>
      <c r="C564" s="17">
        <f>ROUND(MAX(MIN(N564 + Q564, 100), 0), 2)</f>
        <v>65</v>
      </c>
      <c r="D564" s="2" t="s">
        <v>732</v>
      </c>
      <c r="E564" s="5">
        <v>70</v>
      </c>
      <c r="F564" s="2">
        <v>40</v>
      </c>
      <c r="G564" s="2">
        <v>40</v>
      </c>
      <c r="H564" s="2" t="s">
        <v>64</v>
      </c>
      <c r="I564" s="2" t="s">
        <v>36</v>
      </c>
      <c r="J564" s="3" t="s">
        <v>146</v>
      </c>
      <c r="M564" s="2">
        <f>IF(J564="1000+", 1000, (LEFT(J564,FIND("-",J564)-1)+RIGHT(J564,LEN(J564)-FIND("-",J564)))/2)</f>
        <v>30</v>
      </c>
      <c r="N564" s="2">
        <f>ROUND(E564 * 0.7+F564 * 0.2+G564 * 0.1,2)</f>
        <v>61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62</v>
      </c>
      <c r="P564" s="2">
        <f>E564 - O564</f>
        <v>8</v>
      </c>
      <c r="Q564" s="2">
        <f>ROUND(
  SIGN(P564)*
  IF(ABS(P564)&lt;=10,ABS(P564)*0.5,
     IF(ABS(P564)&lt;=15,5+(ABS(P564)-10)*(1.67/5),
        6.67+(ABS(P564)-15)*0.333)),
2)</f>
        <v>4</v>
      </c>
    </row>
    <row r="565" spans="1:17" ht="34.5" customHeight="1" x14ac:dyDescent="0.3">
      <c r="B565" s="2">
        <v>564</v>
      </c>
      <c r="C565" s="17">
        <f>ROUND(MAX(MIN(N565 + Q565, 100), 0), 2)</f>
        <v>65</v>
      </c>
      <c r="D565" s="2" t="s">
        <v>511</v>
      </c>
      <c r="E565" s="5">
        <v>70</v>
      </c>
      <c r="F565" s="5">
        <v>70</v>
      </c>
      <c r="G565" s="2">
        <v>45</v>
      </c>
      <c r="H565" s="2" t="s">
        <v>512</v>
      </c>
      <c r="I565" s="2" t="s">
        <v>513</v>
      </c>
      <c r="J565" s="3" t="s">
        <v>140</v>
      </c>
      <c r="K565" s="2" t="s">
        <v>514</v>
      </c>
      <c r="M565" s="2">
        <f>IF(J565="1000+", 1000, (LEFT(J565,FIND("-",J565)-1)+RIGHT(J565,LEN(J565)-FIND("-",J565)))/2)</f>
        <v>115</v>
      </c>
      <c r="N565" s="2">
        <f>ROUND(E565 * 0.7+F565 * 0.2+G565 * 0.1,2)</f>
        <v>67.5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75</v>
      </c>
      <c r="P565" s="2">
        <f>E565 - O565</f>
        <v>-5</v>
      </c>
      <c r="Q565" s="2">
        <f>ROUND(
  SIGN(P565)*
  IF(ABS(P565)&lt;=10,ABS(P565)*0.5,
     IF(ABS(P565)&lt;=15,5+(ABS(P565)-10)*(1.67/5),
        6.67+(ABS(P565)-15)*0.333)),
2)</f>
        <v>-2.5</v>
      </c>
    </row>
    <row r="566" spans="1:17" ht="34.5" customHeight="1" x14ac:dyDescent="0.3">
      <c r="B566" s="2">
        <v>565</v>
      </c>
      <c r="C566" s="17">
        <f>ROUND(MAX(MIN(N566 + Q566, 100), 0), 2)</f>
        <v>65</v>
      </c>
      <c r="D566" s="2" t="s">
        <v>597</v>
      </c>
      <c r="E566" s="7">
        <v>65</v>
      </c>
      <c r="F566" s="2">
        <v>56</v>
      </c>
      <c r="G566" s="7">
        <v>68</v>
      </c>
      <c r="H566" s="2" t="s">
        <v>379</v>
      </c>
      <c r="I566" s="2" t="s">
        <v>447</v>
      </c>
      <c r="J566" s="3" t="s">
        <v>146</v>
      </c>
      <c r="M566" s="2">
        <f>IF(J566="1000+", 1000, (LEFT(J566,FIND("-",J566)-1)+RIGHT(J566,LEN(J566)-FIND("-",J566)))/2)</f>
        <v>30</v>
      </c>
      <c r="N566" s="2">
        <f>ROUND(E566 * 0.7+F566 * 0.2+G566 * 0.1,2)</f>
        <v>63.5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62</v>
      </c>
      <c r="P566" s="2">
        <f>E566 - O566</f>
        <v>3</v>
      </c>
      <c r="Q566" s="2">
        <f>ROUND(
  SIGN(P566)*
  IF(ABS(P566)&lt;=10,ABS(P566)*0.5,
     IF(ABS(P566)&lt;=15,5+(ABS(P566)-10)*(1.67/5),
        6.67+(ABS(P566)-15)*0.333)),
2)</f>
        <v>1.5</v>
      </c>
    </row>
    <row r="567" spans="1:17" ht="34.5" customHeight="1" x14ac:dyDescent="0.3">
      <c r="B567" s="2">
        <v>566</v>
      </c>
      <c r="C567" s="17">
        <f>ROUND(MAX(MIN(N567 + Q567, 100), 0), 2)</f>
        <v>65</v>
      </c>
      <c r="D567" s="2" t="s">
        <v>547</v>
      </c>
      <c r="E567" s="7">
        <v>69</v>
      </c>
      <c r="F567" s="7">
        <v>66</v>
      </c>
      <c r="G567" s="7">
        <v>65</v>
      </c>
      <c r="H567" s="2" t="s">
        <v>48</v>
      </c>
      <c r="I567" s="2" t="s">
        <v>106</v>
      </c>
      <c r="J567" s="3" t="s">
        <v>140</v>
      </c>
      <c r="M567" s="2">
        <f>IF(J567="1000+", 1000, (LEFT(J567,FIND("-",J567)-1)+RIGHT(J567,LEN(J567)-FIND("-",J567)))/2)</f>
        <v>115</v>
      </c>
      <c r="N567" s="2">
        <f>ROUND(E567 * 0.7+F567 * 0.2+G567 * 0.1,2)</f>
        <v>68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75</v>
      </c>
      <c r="P567" s="2">
        <f>E567 - O567</f>
        <v>-6</v>
      </c>
      <c r="Q567" s="2">
        <f>ROUND(
  SIGN(P567)*
  IF(ABS(P567)&lt;=10,ABS(P567)*0.5,
     IF(ABS(P567)&lt;=15,5+(ABS(P567)-10)*(1.67/5),
        6.67+(ABS(P567)-15)*0.333)),
2)</f>
        <v>-3</v>
      </c>
    </row>
    <row r="568" spans="1:17" ht="34.5" customHeight="1" x14ac:dyDescent="0.3">
      <c r="A568" s="2">
        <v>2026</v>
      </c>
      <c r="B568" s="2">
        <v>567</v>
      </c>
      <c r="C568" s="17">
        <f>ROUND(MAX(MIN(N568 + Q568, 100), 0), 2)</f>
        <v>65</v>
      </c>
      <c r="D568" s="2" t="s">
        <v>1980</v>
      </c>
      <c r="E568" s="7">
        <v>68</v>
      </c>
      <c r="F568" s="2">
        <v>53</v>
      </c>
      <c r="G568" s="2">
        <v>28</v>
      </c>
      <c r="H568" s="2" t="s">
        <v>1994</v>
      </c>
      <c r="I568" s="2" t="s">
        <v>1334</v>
      </c>
      <c r="J568" s="3" t="s">
        <v>1261</v>
      </c>
      <c r="M568" s="2">
        <f>IF(J568="1000+", 1000, (LEFT(J568,FIND("-",J568)-1)+RIGHT(J568,LEN(J568)-FIND("-",J568)))/2)</f>
        <v>20</v>
      </c>
      <c r="N568" s="2">
        <f>ROUND(E568 * 0.7+F568 * 0.2+G568 * 0.1,2)</f>
        <v>61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60</v>
      </c>
      <c r="P568" s="2">
        <f>E568 - O568</f>
        <v>8</v>
      </c>
      <c r="Q568" s="2">
        <f>ROUND(
  SIGN(P568)*
  IF(ABS(P568)&lt;=10,ABS(P568)*0.5,
     IF(ABS(P568)&lt;=15,5+(ABS(P568)-10)*(1.67/5),
        6.67+(ABS(P568)-15)*0.333)),
2)</f>
        <v>4</v>
      </c>
    </row>
    <row r="569" spans="1:17" ht="34.5" customHeight="1" x14ac:dyDescent="0.3">
      <c r="B569" s="2">
        <v>568</v>
      </c>
      <c r="C569" s="17">
        <f>ROUND(MAX(MIN(N569 + Q569, 100), 0), 2)</f>
        <v>64.930000000000007</v>
      </c>
      <c r="D569" s="2" t="s">
        <v>489</v>
      </c>
      <c r="E569" s="5">
        <v>70</v>
      </c>
      <c r="F569" s="6">
        <v>83</v>
      </c>
      <c r="G569" s="7">
        <v>60</v>
      </c>
      <c r="H569" s="2" t="s">
        <v>490</v>
      </c>
      <c r="I569" s="2" t="s">
        <v>17</v>
      </c>
      <c r="J569" s="3" t="s">
        <v>14</v>
      </c>
      <c r="M569" s="2">
        <f>IF(J569="1000+", 1000, (LEFT(J569,FIND("-",J569)-1)+RIGHT(J569,LEN(J569)-FIND("-",J569)))/2)</f>
        <v>225</v>
      </c>
      <c r="N569" s="2">
        <f>ROUND(E569 * 0.7+F569 * 0.2+G569 * 0.1,2)</f>
        <v>71.599999999999994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85</v>
      </c>
      <c r="P569" s="2">
        <f>E569 - O569</f>
        <v>-15</v>
      </c>
      <c r="Q569" s="2">
        <f>ROUND(
  SIGN(P569)*
  IF(ABS(P569)&lt;=10,ABS(P569)*0.5,
     IF(ABS(P569)&lt;=15,5+(ABS(P569)-10)*(1.67/5),
        6.67+(ABS(P569)-15)*0.333)),
2)</f>
        <v>-6.67</v>
      </c>
    </row>
    <row r="570" spans="1:17" ht="34.5" customHeight="1" x14ac:dyDescent="0.3">
      <c r="B570" s="2">
        <v>569</v>
      </c>
      <c r="C570" s="17">
        <f>ROUND(MAX(MIN(N570 + Q570, 100), 0), 2)</f>
        <v>64.900000000000006</v>
      </c>
      <c r="D570" s="2" t="s">
        <v>623</v>
      </c>
      <c r="E570" s="5">
        <v>75</v>
      </c>
      <c r="F570" s="2">
        <v>57</v>
      </c>
      <c r="G570" s="2">
        <v>35</v>
      </c>
      <c r="H570" s="2" t="s">
        <v>624</v>
      </c>
      <c r="I570" s="2" t="s">
        <v>625</v>
      </c>
      <c r="J570" s="3" t="s">
        <v>88</v>
      </c>
      <c r="M570" s="2">
        <f>IF(J570="1000+", 1000, (LEFT(J570,FIND("-",J570)-1)+RIGHT(J570,LEN(J570)-FIND("-",J570)))/2)</f>
        <v>150</v>
      </c>
      <c r="N570" s="2">
        <f>ROUND(E570 * 0.7+F570 * 0.2+G570 * 0.1,2)</f>
        <v>67.400000000000006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80</v>
      </c>
      <c r="P570" s="2">
        <f>E570 - O570</f>
        <v>-5</v>
      </c>
      <c r="Q570" s="2">
        <f>ROUND(
  SIGN(P570)*
  IF(ABS(P570)&lt;=10,ABS(P570)*0.5,
     IF(ABS(P570)&lt;=15,5+(ABS(P570)-10)*(1.67/5),
        6.67+(ABS(P570)-15)*0.333)),
2)</f>
        <v>-2.5</v>
      </c>
    </row>
    <row r="571" spans="1:17" ht="34.5" customHeight="1" x14ac:dyDescent="0.3">
      <c r="B571" s="2">
        <v>570</v>
      </c>
      <c r="C571" s="17">
        <f>ROUND(MAX(MIN(N571 + Q571, 100), 0), 2)</f>
        <v>64.900000000000006</v>
      </c>
      <c r="D571" s="2" t="s">
        <v>662</v>
      </c>
      <c r="E571" s="7">
        <v>67</v>
      </c>
      <c r="F571" s="2">
        <v>50</v>
      </c>
      <c r="G571" s="2">
        <v>45</v>
      </c>
      <c r="H571" s="2" t="s">
        <v>31</v>
      </c>
      <c r="I571" s="2" t="s">
        <v>447</v>
      </c>
      <c r="J571" s="3" t="s">
        <v>132</v>
      </c>
      <c r="M571" s="2">
        <f>IF(J571="1000+", 1000, (LEFT(J571,FIND("-",J571)-1)+RIGHT(J571,LEN(J571)-FIND("-",J571)))/2)</f>
        <v>20</v>
      </c>
      <c r="N571" s="2">
        <f>ROUND(E571 * 0.7+F571 * 0.2+G571 * 0.1,2)</f>
        <v>61.4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60</v>
      </c>
      <c r="P571" s="2">
        <f>E571 - O571</f>
        <v>7</v>
      </c>
      <c r="Q571" s="2">
        <f>ROUND(
  SIGN(P571)*
  IF(ABS(P571)&lt;=10,ABS(P571)*0.5,
     IF(ABS(P571)&lt;=15,5+(ABS(P571)-10)*(1.67/5),
        6.67+(ABS(P571)-15)*0.333)),
2)</f>
        <v>3.5</v>
      </c>
    </row>
    <row r="572" spans="1:17" ht="34.5" customHeight="1" x14ac:dyDescent="0.3">
      <c r="B572" s="2">
        <v>571</v>
      </c>
      <c r="C572" s="17">
        <f>ROUND(MAX(MIN(N572 + Q572, 100), 0), 2)</f>
        <v>64.900000000000006</v>
      </c>
      <c r="D572" s="2" t="s">
        <v>600</v>
      </c>
      <c r="E572" s="7">
        <v>67</v>
      </c>
      <c r="F572" s="2">
        <v>55</v>
      </c>
      <c r="G572" s="7">
        <v>60</v>
      </c>
      <c r="H572" s="2" t="s">
        <v>163</v>
      </c>
      <c r="I572" s="2" t="s">
        <v>22</v>
      </c>
      <c r="J572" s="3" t="s">
        <v>32</v>
      </c>
      <c r="M572" s="2">
        <f>IF(J572="1000+", 1000, (LEFT(J572,FIND("-",J572)-1)+RIGHT(J572,LEN(J572)-FIND("-",J572)))/2)</f>
        <v>45</v>
      </c>
      <c r="N572" s="2">
        <f>ROUND(E572 * 0.7+F572 * 0.2+G572 * 0.1,2)</f>
        <v>63.9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65</v>
      </c>
      <c r="P572" s="2">
        <f>E572 - O572</f>
        <v>2</v>
      </c>
      <c r="Q572" s="2">
        <f>ROUND(
  SIGN(P572)*
  IF(ABS(P572)&lt;=10,ABS(P572)*0.5,
     IF(ABS(P572)&lt;=15,5+(ABS(P572)-10)*(1.67/5),
        6.67+(ABS(P572)-15)*0.333)),
2)</f>
        <v>1</v>
      </c>
    </row>
    <row r="573" spans="1:17" ht="34.5" customHeight="1" x14ac:dyDescent="0.3">
      <c r="B573" s="2">
        <v>572</v>
      </c>
      <c r="C573" s="17">
        <f>ROUND(MAX(MIN(N573 + Q573, 100), 0), 2)</f>
        <v>64.900000000000006</v>
      </c>
      <c r="D573" s="2" t="s">
        <v>581</v>
      </c>
      <c r="E573" s="7">
        <v>66</v>
      </c>
      <c r="F573" s="7">
        <v>60</v>
      </c>
      <c r="G573" s="7">
        <v>62</v>
      </c>
      <c r="H573" s="2" t="s">
        <v>416</v>
      </c>
      <c r="I573" s="2" t="s">
        <v>417</v>
      </c>
      <c r="J573" s="3" t="s">
        <v>32</v>
      </c>
      <c r="M573" s="2">
        <f>IF(J573="1000+", 1000, (LEFT(J573,FIND("-",J573)-1)+RIGHT(J573,LEN(J573)-FIND("-",J573)))/2)</f>
        <v>45</v>
      </c>
      <c r="N573" s="2">
        <f>ROUND(E573 * 0.7+F573 * 0.2+G573 * 0.1,2)</f>
        <v>64.400000000000006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65</v>
      </c>
      <c r="P573" s="2">
        <f>E573 - O573</f>
        <v>1</v>
      </c>
      <c r="Q573" s="2">
        <f>ROUND(
  SIGN(P573)*
  IF(ABS(P573)&lt;=10,ABS(P573)*0.5,
     IF(ABS(P573)&lt;=15,5+(ABS(P573)-10)*(1.67/5),
        6.67+(ABS(P573)-15)*0.333)),
2)</f>
        <v>0.5</v>
      </c>
    </row>
    <row r="574" spans="1:17" ht="34.5" customHeight="1" x14ac:dyDescent="0.3">
      <c r="B574" s="2">
        <v>573</v>
      </c>
      <c r="C574" s="17">
        <f>ROUND(MAX(MIN(N574 + Q574, 100), 0), 2)</f>
        <v>64.900000000000006</v>
      </c>
      <c r="D574" s="2" t="s">
        <v>498</v>
      </c>
      <c r="E574" s="7">
        <v>67</v>
      </c>
      <c r="F574" s="7">
        <v>65</v>
      </c>
      <c r="G574" s="7">
        <v>65</v>
      </c>
      <c r="H574" s="2" t="s">
        <v>31</v>
      </c>
      <c r="I574" s="2" t="s">
        <v>165</v>
      </c>
      <c r="J574" s="3" t="s">
        <v>18</v>
      </c>
      <c r="M574" s="2">
        <f>IF(J574="1000+", 1000, (LEFT(J574,FIND("-",J574)-1)+RIGHT(J574,LEN(J574)-FIND("-",J574)))/2)</f>
        <v>75</v>
      </c>
      <c r="N574" s="2">
        <f>ROUND(E574 * 0.7+F574 * 0.2+G574 * 0.1,2)</f>
        <v>66.400000000000006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70</v>
      </c>
      <c r="P574" s="2">
        <f>E574 - O574</f>
        <v>-3</v>
      </c>
      <c r="Q574" s="2">
        <f>ROUND(
  SIGN(P574)*
  IF(ABS(P574)&lt;=10,ABS(P574)*0.5,
     IF(ABS(P574)&lt;=15,5+(ABS(P574)-10)*(1.67/5),
        6.67+(ABS(P574)-15)*0.333)),
2)</f>
        <v>-1.5</v>
      </c>
    </row>
    <row r="575" spans="1:17" ht="34.5" customHeight="1" x14ac:dyDescent="0.3">
      <c r="A575" s="2">
        <v>2026</v>
      </c>
      <c r="B575" s="2">
        <v>574</v>
      </c>
      <c r="C575" s="17">
        <f>ROUND(MAX(MIN(N575 + Q575, 100), 0), 2)</f>
        <v>64.900000000000006</v>
      </c>
      <c r="D575" s="2" t="s">
        <v>1959</v>
      </c>
      <c r="E575" s="7">
        <v>64</v>
      </c>
      <c r="F575" s="7">
        <v>64</v>
      </c>
      <c r="G575" s="2">
        <v>53</v>
      </c>
      <c r="H575" s="2" t="s">
        <v>1256</v>
      </c>
      <c r="I575" s="2" t="s">
        <v>36</v>
      </c>
      <c r="J575" s="3" t="s">
        <v>1261</v>
      </c>
      <c r="M575" s="2">
        <f>IF(J575="1000+", 1000, (LEFT(J575,FIND("-",J575)-1)+RIGHT(J575,LEN(J575)-FIND("-",J575)))/2)</f>
        <v>20</v>
      </c>
      <c r="N575" s="2">
        <f>ROUND(E575 * 0.7+F575 * 0.2+G575 * 0.1,2)</f>
        <v>62.9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60</v>
      </c>
      <c r="P575" s="2">
        <f>E575 - O575</f>
        <v>4</v>
      </c>
      <c r="Q575" s="2">
        <f>ROUND(
  SIGN(P575)*
  IF(ABS(P575)&lt;=10,ABS(P575)*0.5,
     IF(ABS(P575)&lt;=15,5+(ABS(P575)-10)*(1.67/5),
        6.67+(ABS(P575)-15)*0.333)),
2)</f>
        <v>2</v>
      </c>
    </row>
    <row r="576" spans="1:17" ht="34.5" customHeight="1" x14ac:dyDescent="0.3">
      <c r="B576" s="2">
        <v>575</v>
      </c>
      <c r="C576" s="17">
        <f>ROUND(MAX(MIN(N576 + Q576, 100), 0), 2)</f>
        <v>64.8</v>
      </c>
      <c r="D576" s="2" t="s">
        <v>642</v>
      </c>
      <c r="E576" s="5">
        <v>70</v>
      </c>
      <c r="F576" s="2">
        <v>50</v>
      </c>
      <c r="G576" s="2">
        <v>33</v>
      </c>
      <c r="H576" s="2" t="s">
        <v>40</v>
      </c>
      <c r="I576" s="2" t="s">
        <v>72</v>
      </c>
      <c r="J576" s="3" t="s">
        <v>32</v>
      </c>
      <c r="K576" s="2" t="s">
        <v>643</v>
      </c>
      <c r="M576" s="2">
        <f>IF(J576="1000+", 1000, (LEFT(J576,FIND("-",J576)-1)+RIGHT(J576,LEN(J576)-FIND("-",J576)))/2)</f>
        <v>45</v>
      </c>
      <c r="N576" s="2">
        <f>ROUND(E576 * 0.7+F576 * 0.2+G576 * 0.1,2)</f>
        <v>62.3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65</v>
      </c>
      <c r="P576" s="2">
        <f>E576 - O576</f>
        <v>5</v>
      </c>
      <c r="Q576" s="2">
        <f>ROUND(
  SIGN(P576)*
  IF(ABS(P576)&lt;=10,ABS(P576)*0.5,
     IF(ABS(P576)&lt;=15,5+(ABS(P576)-10)*(1.67/5),
        6.67+(ABS(P576)-15)*0.333)),
2)</f>
        <v>2.5</v>
      </c>
    </row>
    <row r="577" spans="1:17" ht="34.5" customHeight="1" x14ac:dyDescent="0.3">
      <c r="B577" s="2">
        <v>576</v>
      </c>
      <c r="C577" s="17">
        <f>ROUND(MAX(MIN(N577 + Q577, 100), 0), 2)</f>
        <v>64.8</v>
      </c>
      <c r="D577" s="2" t="s">
        <v>475</v>
      </c>
      <c r="E577" s="5">
        <v>72</v>
      </c>
      <c r="F577" s="5">
        <v>75</v>
      </c>
      <c r="G577" s="2">
        <v>54</v>
      </c>
      <c r="H577" s="2" t="s">
        <v>476</v>
      </c>
      <c r="I577" s="2" t="s">
        <v>218</v>
      </c>
      <c r="J577" s="3" t="s">
        <v>14</v>
      </c>
      <c r="K577" s="2" t="s">
        <v>477</v>
      </c>
      <c r="M577" s="2">
        <f>IF(J577="1000+", 1000, (LEFT(J577,FIND("-",J577)-1)+RIGHT(J577,LEN(J577)-FIND("-",J577)))/2)</f>
        <v>225</v>
      </c>
      <c r="N577" s="2">
        <f>ROUND(E577 * 0.7+F577 * 0.2+G577 * 0.1,2)</f>
        <v>70.8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85</v>
      </c>
      <c r="P577" s="2">
        <f>E577 - O577</f>
        <v>-13</v>
      </c>
      <c r="Q577" s="2">
        <f>ROUND(
  SIGN(P577)*
  IF(ABS(P577)&lt;=10,ABS(P577)*0.5,
     IF(ABS(P577)&lt;=15,5+(ABS(P577)-10)*(1.67/5),
        6.67+(ABS(P577)-15)*0.333)),
2)</f>
        <v>-6</v>
      </c>
    </row>
    <row r="578" spans="1:17" ht="34.5" customHeight="1" x14ac:dyDescent="0.3">
      <c r="B578" s="2">
        <v>577</v>
      </c>
      <c r="C578" s="17">
        <f>ROUND(MAX(MIN(N578 + Q578, 100), 0), 2)</f>
        <v>64.8</v>
      </c>
      <c r="D578" s="2" t="s">
        <v>499</v>
      </c>
      <c r="E578" s="7">
        <v>67</v>
      </c>
      <c r="F578" s="7">
        <v>66</v>
      </c>
      <c r="G578" s="7">
        <v>62</v>
      </c>
      <c r="H578" s="2" t="s">
        <v>48</v>
      </c>
      <c r="I578" s="2" t="s">
        <v>106</v>
      </c>
      <c r="J578" s="3" t="s">
        <v>18</v>
      </c>
      <c r="M578" s="2">
        <f>IF(J578="1000+", 1000, (LEFT(J578,FIND("-",J578)-1)+RIGHT(J578,LEN(J578)-FIND("-",J578)))/2)</f>
        <v>75</v>
      </c>
      <c r="N578" s="2">
        <f>ROUND(E578 * 0.7+F578 * 0.2+G578 * 0.1,2)</f>
        <v>66.3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70</v>
      </c>
      <c r="P578" s="2">
        <f>E578 - O578</f>
        <v>-3</v>
      </c>
      <c r="Q578" s="2">
        <f>ROUND(
  SIGN(P578)*
  IF(ABS(P578)&lt;=10,ABS(P578)*0.5,
     IF(ABS(P578)&lt;=15,5+(ABS(P578)-10)*(1.67/5),
        6.67+(ABS(P578)-15)*0.333)),
2)</f>
        <v>-1.5</v>
      </c>
    </row>
    <row r="579" spans="1:17" ht="34.5" customHeight="1" x14ac:dyDescent="0.3">
      <c r="B579" s="2">
        <v>578</v>
      </c>
      <c r="C579" s="17">
        <f>ROUND(MAX(MIN(N579 + Q579, 100), 0), 2)</f>
        <v>64.8</v>
      </c>
      <c r="D579" s="2" t="s">
        <v>502</v>
      </c>
      <c r="E579" s="7">
        <v>64</v>
      </c>
      <c r="F579" s="7">
        <v>65</v>
      </c>
      <c r="G579" s="5">
        <v>75</v>
      </c>
      <c r="H579" s="2" t="s">
        <v>145</v>
      </c>
      <c r="I579" s="2" t="s">
        <v>13</v>
      </c>
      <c r="J579" s="3" t="s">
        <v>32</v>
      </c>
      <c r="M579" s="2">
        <f>IF(J579="1000+", 1000, (LEFT(J579,FIND("-",J579)-1)+RIGHT(J579,LEN(J579)-FIND("-",J579)))/2)</f>
        <v>45</v>
      </c>
      <c r="N579" s="2">
        <f>ROUND(E579 * 0.7+F579 * 0.2+G579 * 0.1,2)</f>
        <v>65.3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65</v>
      </c>
      <c r="P579" s="2">
        <f>E579 - O579</f>
        <v>-1</v>
      </c>
      <c r="Q579" s="2">
        <f>ROUND(
  SIGN(P579)*
  IF(ABS(P579)&lt;=10,ABS(P579)*0.5,
     IF(ABS(P579)&lt;=15,5+(ABS(P579)-10)*(1.67/5),
        6.67+(ABS(P579)-15)*0.333)),
2)</f>
        <v>-0.5</v>
      </c>
    </row>
    <row r="580" spans="1:17" ht="34.5" customHeight="1" x14ac:dyDescent="0.3">
      <c r="B580" s="2">
        <v>579</v>
      </c>
      <c r="C580" s="17">
        <f>ROUND(MAX(MIN(N580 + Q580, 100), 0), 2)</f>
        <v>64.8</v>
      </c>
      <c r="D580" s="2" t="s">
        <v>427</v>
      </c>
      <c r="E580" s="7">
        <v>63</v>
      </c>
      <c r="F580" s="6">
        <v>89</v>
      </c>
      <c r="G580" s="2">
        <v>54</v>
      </c>
      <c r="H580" s="2" t="s">
        <v>138</v>
      </c>
      <c r="I580" s="2" t="s">
        <v>36</v>
      </c>
      <c r="J580" s="3" t="s">
        <v>23</v>
      </c>
      <c r="M580" s="2">
        <f>IF(J580="1000+", 1000, (LEFT(J580,FIND("-",J580)-1)+RIGHT(J580,LEN(J580)-FIND("-",J580)))/2)</f>
        <v>60</v>
      </c>
      <c r="N580" s="2">
        <f>ROUND(E580 * 0.7+F580 * 0.2+G580 * 0.1,2)</f>
        <v>67.3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68</v>
      </c>
      <c r="P580" s="2">
        <f>E580 - O580</f>
        <v>-5</v>
      </c>
      <c r="Q580" s="2">
        <f>ROUND(
  SIGN(P580)*
  IF(ABS(P580)&lt;=10,ABS(P580)*0.5,
     IF(ABS(P580)&lt;=15,5+(ABS(P580)-10)*(1.67/5),
        6.67+(ABS(P580)-15)*0.333)),
2)</f>
        <v>-2.5</v>
      </c>
    </row>
    <row r="581" spans="1:17" ht="34.5" customHeight="1" x14ac:dyDescent="0.3">
      <c r="A581" s="2">
        <v>2026</v>
      </c>
      <c r="B581" s="2">
        <v>580</v>
      </c>
      <c r="C581" s="17">
        <f>ROUND(MAX(MIN(N581 + Q581, 100), 0), 2)</f>
        <v>64.8</v>
      </c>
      <c r="D581" s="2" t="s">
        <v>2013</v>
      </c>
      <c r="E581" s="7">
        <v>67</v>
      </c>
      <c r="F581" s="2">
        <v>52</v>
      </c>
      <c r="G581" s="2">
        <v>40</v>
      </c>
      <c r="H581" s="2" t="s">
        <v>1617</v>
      </c>
      <c r="I581" s="2" t="s">
        <v>1288</v>
      </c>
      <c r="J581" s="3" t="s">
        <v>1261</v>
      </c>
      <c r="M581" s="2">
        <f>IF(J581="1000+", 1000, (LEFT(J581,FIND("-",J581)-1)+RIGHT(J581,LEN(J581)-FIND("-",J581)))/2)</f>
        <v>20</v>
      </c>
      <c r="N581" s="2">
        <f>ROUND(E581 * 0.7+F581 * 0.2+G581 * 0.1,2)</f>
        <v>61.3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60</v>
      </c>
      <c r="P581" s="2">
        <f>E581 - O581</f>
        <v>7</v>
      </c>
      <c r="Q581" s="2">
        <f>ROUND(
  SIGN(P581)*
  IF(ABS(P581)&lt;=10,ABS(P581)*0.5,
     IF(ABS(P581)&lt;=15,5+(ABS(P581)-10)*(1.67/5),
        6.67+(ABS(P581)-15)*0.333)),
2)</f>
        <v>3.5</v>
      </c>
    </row>
    <row r="582" spans="1:17" ht="34.5" customHeight="1" x14ac:dyDescent="0.3">
      <c r="B582" s="2">
        <v>581</v>
      </c>
      <c r="C582" s="17">
        <f>ROUND(MAX(MIN(N582 + Q582, 100), 0), 2)</f>
        <v>64.73</v>
      </c>
      <c r="D582" s="2" t="s">
        <v>495</v>
      </c>
      <c r="E582" s="5">
        <v>70</v>
      </c>
      <c r="F582" s="6">
        <v>82</v>
      </c>
      <c r="G582" s="7">
        <v>60</v>
      </c>
      <c r="H582" s="2" t="s">
        <v>322</v>
      </c>
      <c r="I582" s="2" t="s">
        <v>325</v>
      </c>
      <c r="J582" s="3" t="s">
        <v>14</v>
      </c>
      <c r="M582" s="2">
        <f>IF(J582="1000+", 1000, (LEFT(J582,FIND("-",J582)-1)+RIGHT(J582,LEN(J582)-FIND("-",J582)))/2)</f>
        <v>225</v>
      </c>
      <c r="N582" s="2">
        <f>ROUND(E582 * 0.7+F582 * 0.2+G582 * 0.1,2)</f>
        <v>71.400000000000006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85</v>
      </c>
      <c r="P582" s="2">
        <f>E582 - O582</f>
        <v>-15</v>
      </c>
      <c r="Q582" s="2">
        <f>ROUND(
  SIGN(P582)*
  IF(ABS(P582)&lt;=10,ABS(P582)*0.5,
     IF(ABS(P582)&lt;=15,5+(ABS(P582)-10)*(1.67/5),
        6.67+(ABS(P582)-15)*0.333)),
2)</f>
        <v>-6.67</v>
      </c>
    </row>
    <row r="583" spans="1:17" ht="34.5" customHeight="1" x14ac:dyDescent="0.3">
      <c r="B583" s="2">
        <v>582</v>
      </c>
      <c r="C583" s="17">
        <f>ROUND(MAX(MIN(N583 + Q583, 100), 0), 2)</f>
        <v>64.7</v>
      </c>
      <c r="D583" s="2" t="s">
        <v>706</v>
      </c>
      <c r="E583" s="7">
        <v>67</v>
      </c>
      <c r="F583" s="2">
        <v>50</v>
      </c>
      <c r="G583" s="2">
        <v>43</v>
      </c>
      <c r="H583" s="2" t="s">
        <v>31</v>
      </c>
      <c r="I583" s="2" t="s">
        <v>447</v>
      </c>
      <c r="J583" s="3" t="s">
        <v>132</v>
      </c>
      <c r="M583" s="2">
        <f>IF(J583="1000+", 1000, (LEFT(J583,FIND("-",J583)-1)+RIGHT(J583,LEN(J583)-FIND("-",J583)))/2)</f>
        <v>20</v>
      </c>
      <c r="N583" s="2">
        <f>ROUND(E583 * 0.7+F583 * 0.2+G583 * 0.1,2)</f>
        <v>61.2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60</v>
      </c>
      <c r="P583" s="2">
        <f>E583 - O583</f>
        <v>7</v>
      </c>
      <c r="Q583" s="2">
        <f>ROUND(
  SIGN(P583)*
  IF(ABS(P583)&lt;=10,ABS(P583)*0.5,
     IF(ABS(P583)&lt;=15,5+(ABS(P583)-10)*(1.67/5),
        6.67+(ABS(P583)-15)*0.333)),
2)</f>
        <v>3.5</v>
      </c>
    </row>
    <row r="584" spans="1:17" ht="34.5" customHeight="1" x14ac:dyDescent="0.3">
      <c r="A584" s="2">
        <v>2026</v>
      </c>
      <c r="B584" s="2">
        <v>583</v>
      </c>
      <c r="C584" s="17">
        <f>ROUND(MAX(MIN(N584 + Q584, 100), 0), 2)</f>
        <v>64.7</v>
      </c>
      <c r="D584" s="2" t="s">
        <v>1506</v>
      </c>
      <c r="E584" s="7">
        <v>67</v>
      </c>
      <c r="F584" s="2">
        <v>53</v>
      </c>
      <c r="G584" s="2">
        <v>47</v>
      </c>
      <c r="H584" s="2" t="s">
        <v>1487</v>
      </c>
      <c r="I584" s="2" t="s">
        <v>1523</v>
      </c>
      <c r="J584" s="3" t="s">
        <v>1534</v>
      </c>
      <c r="M584" s="2">
        <f>IF(J584="1000+", 1000, (LEFT(J584,FIND("-",J584)-1)+RIGHT(J584,LEN(J584)-FIND("-",J584)))/2)</f>
        <v>30</v>
      </c>
      <c r="N584" s="2">
        <f>ROUND(E584 * 0.7+F584 * 0.2+G584 * 0.1,2)</f>
        <v>62.2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62</v>
      </c>
      <c r="P584" s="2">
        <f>E584 - O584</f>
        <v>5</v>
      </c>
      <c r="Q584" s="2">
        <f>ROUND(
  SIGN(P584)*
  IF(ABS(P584)&lt;=10,ABS(P584)*0.5,
     IF(ABS(P584)&lt;=15,5+(ABS(P584)-10)*(1.67/5),
        6.67+(ABS(P584)-15)*0.333)),
2)</f>
        <v>2.5</v>
      </c>
    </row>
    <row r="585" spans="1:17" ht="34.5" customHeight="1" x14ac:dyDescent="0.3">
      <c r="B585" s="2">
        <v>584</v>
      </c>
      <c r="C585" s="17">
        <f>ROUND(MAX(MIN(N585 + Q585, 100), 0), 2)</f>
        <v>64.7</v>
      </c>
      <c r="D585" s="2" t="s">
        <v>647</v>
      </c>
      <c r="E585" s="7">
        <v>68</v>
      </c>
      <c r="F585" s="2">
        <v>51</v>
      </c>
      <c r="G585" s="2">
        <v>54</v>
      </c>
      <c r="H585" s="2" t="s">
        <v>322</v>
      </c>
      <c r="I585" s="2" t="s">
        <v>325</v>
      </c>
      <c r="J585" s="3" t="s">
        <v>32</v>
      </c>
      <c r="M585" s="2">
        <f>IF(J585="1000+", 1000, (LEFT(J585,FIND("-",J585)-1)+RIGHT(J585,LEN(J585)-FIND("-",J585)))/2)</f>
        <v>45</v>
      </c>
      <c r="N585" s="2">
        <f>ROUND(E585 * 0.7+F585 * 0.2+G585 * 0.1,2)</f>
        <v>63.2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65</v>
      </c>
      <c r="P585" s="2">
        <f>E585 - O585</f>
        <v>3</v>
      </c>
      <c r="Q585" s="2">
        <f>ROUND(
  SIGN(P585)*
  IF(ABS(P585)&lt;=10,ABS(P585)*0.5,
     IF(ABS(P585)&lt;=15,5+(ABS(P585)-10)*(1.67/5),
        6.67+(ABS(P585)-15)*0.333)),
2)</f>
        <v>1.5</v>
      </c>
    </row>
    <row r="586" spans="1:17" ht="34.5" customHeight="1" x14ac:dyDescent="0.3">
      <c r="B586" s="2">
        <v>585</v>
      </c>
      <c r="C586" s="17">
        <f>ROUND(MAX(MIN(N586 + Q586, 100), 0), 2)</f>
        <v>64.7</v>
      </c>
      <c r="D586" s="2" t="s">
        <v>606</v>
      </c>
      <c r="E586" s="7">
        <v>67</v>
      </c>
      <c r="F586" s="7">
        <v>60</v>
      </c>
      <c r="G586" s="2">
        <v>48</v>
      </c>
      <c r="H586" s="2" t="s">
        <v>48</v>
      </c>
      <c r="I586" s="2" t="s">
        <v>72</v>
      </c>
      <c r="J586" s="3" t="s">
        <v>32</v>
      </c>
      <c r="M586" s="2">
        <f>IF(J586="1000+", 1000, (LEFT(J586,FIND("-",J586)-1)+RIGHT(J586,LEN(J586)-FIND("-",J586)))/2)</f>
        <v>45</v>
      </c>
      <c r="N586" s="2">
        <f>ROUND(E586 * 0.7+F586 * 0.2+G586 * 0.1,2)</f>
        <v>63.7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65</v>
      </c>
      <c r="P586" s="2">
        <f>E586 - O586</f>
        <v>2</v>
      </c>
      <c r="Q586" s="2">
        <f>ROUND(
  SIGN(P586)*
  IF(ABS(P586)&lt;=10,ABS(P586)*0.5,
     IF(ABS(P586)&lt;=15,5+(ABS(P586)-10)*(1.67/5),
        6.67+(ABS(P586)-15)*0.333)),
2)</f>
        <v>1</v>
      </c>
    </row>
    <row r="587" spans="1:17" ht="34.5" customHeight="1" x14ac:dyDescent="0.3">
      <c r="A587" s="2">
        <v>2026</v>
      </c>
      <c r="B587" s="2">
        <v>586</v>
      </c>
      <c r="C587" s="17">
        <f>ROUND(MAX(MIN(N587 + Q587, 100), 0), 2)</f>
        <v>64.7</v>
      </c>
      <c r="D587" s="2" t="s">
        <v>1368</v>
      </c>
      <c r="E587" s="7">
        <v>68</v>
      </c>
      <c r="F587" s="7">
        <v>61</v>
      </c>
      <c r="G587" s="2">
        <v>59</v>
      </c>
      <c r="H587" s="2" t="s">
        <v>1382</v>
      </c>
      <c r="I587" s="2" t="s">
        <v>1383</v>
      </c>
      <c r="J587" s="3" t="s">
        <v>1390</v>
      </c>
      <c r="M587" s="2">
        <f>IF(J587="1000+", 1000, (LEFT(J587,FIND("-",J587)-1)+RIGHT(J587,LEN(J587)-FIND("-",J587)))/2)</f>
        <v>75</v>
      </c>
      <c r="N587" s="2">
        <f>ROUND(E587 * 0.7+F587 * 0.2+G587 * 0.1,2)</f>
        <v>65.7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70</v>
      </c>
      <c r="P587" s="2">
        <f>E587 - O587</f>
        <v>-2</v>
      </c>
      <c r="Q587" s="2">
        <f>ROUND(
  SIGN(P587)*
  IF(ABS(P587)&lt;=10,ABS(P587)*0.5,
     IF(ABS(P587)&lt;=15,5+(ABS(P587)-10)*(1.67/5),
        6.67+(ABS(P587)-15)*0.333)),
2)</f>
        <v>-1</v>
      </c>
    </row>
    <row r="588" spans="1:17" ht="34.5" customHeight="1" x14ac:dyDescent="0.3">
      <c r="B588" s="2">
        <v>587</v>
      </c>
      <c r="C588" s="17">
        <f>ROUND(MAX(MIN(N588 + Q588, 100), 0), 2)</f>
        <v>64.7</v>
      </c>
      <c r="D588" s="2" t="s">
        <v>504</v>
      </c>
      <c r="E588" s="7">
        <v>67</v>
      </c>
      <c r="F588" s="7">
        <v>65</v>
      </c>
      <c r="G588" s="7">
        <v>63</v>
      </c>
      <c r="H588" s="2" t="s">
        <v>197</v>
      </c>
      <c r="I588" s="2" t="s">
        <v>228</v>
      </c>
      <c r="J588" s="3" t="s">
        <v>18</v>
      </c>
      <c r="M588" s="2">
        <f>IF(J588="1000+", 1000, (LEFT(J588,FIND("-",J588)-1)+RIGHT(J588,LEN(J588)-FIND("-",J588)))/2)</f>
        <v>75</v>
      </c>
      <c r="N588" s="2">
        <f>ROUND(E588 * 0.7+F588 * 0.2+G588 * 0.1,2)</f>
        <v>66.2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70</v>
      </c>
      <c r="P588" s="2">
        <f>E588 - O588</f>
        <v>-3</v>
      </c>
      <c r="Q588" s="2">
        <f>ROUND(
  SIGN(P588)*
  IF(ABS(P588)&lt;=10,ABS(P588)*0.5,
     IF(ABS(P588)&lt;=15,5+(ABS(P588)-10)*(1.67/5),
        6.67+(ABS(P588)-15)*0.333)),
2)</f>
        <v>-1.5</v>
      </c>
    </row>
    <row r="589" spans="1:17" ht="34.5" customHeight="1" x14ac:dyDescent="0.3">
      <c r="A589" s="2">
        <v>2026</v>
      </c>
      <c r="B589" s="2">
        <v>588</v>
      </c>
      <c r="C589" s="17">
        <f>ROUND(MAX(MIN(N589 + Q589, 100), 0), 2)</f>
        <v>64.7</v>
      </c>
      <c r="D589" s="2" t="s">
        <v>1940</v>
      </c>
      <c r="E589" s="7">
        <v>65</v>
      </c>
      <c r="F589" s="7">
        <v>62</v>
      </c>
      <c r="G589" s="2">
        <v>53</v>
      </c>
      <c r="H589" s="2" t="s">
        <v>1483</v>
      </c>
      <c r="I589" s="2" t="s">
        <v>36</v>
      </c>
      <c r="J589" s="3" t="s">
        <v>1263</v>
      </c>
      <c r="M589" s="2">
        <f>IF(J589="1000+", 1000, (LEFT(J589,FIND("-",J589)-1)+RIGHT(J589,LEN(J589)-FIND("-",J589)))/2)</f>
        <v>30</v>
      </c>
      <c r="N589" s="2">
        <f>ROUND(E589 * 0.7+F589 * 0.2+G589 * 0.1,2)</f>
        <v>63.2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62</v>
      </c>
      <c r="P589" s="2">
        <f>E589 - O589</f>
        <v>3</v>
      </c>
      <c r="Q589" s="2">
        <f>ROUND(
  SIGN(P589)*
  IF(ABS(P589)&lt;=10,ABS(P589)*0.5,
     IF(ABS(P589)&lt;=15,5+(ABS(P589)-10)*(1.67/5),
        6.67+(ABS(P589)-15)*0.333)),
2)</f>
        <v>1.5</v>
      </c>
    </row>
    <row r="590" spans="1:17" ht="34.5" customHeight="1" x14ac:dyDescent="0.3">
      <c r="A590" s="2">
        <v>2026</v>
      </c>
      <c r="B590" s="2">
        <v>589</v>
      </c>
      <c r="C590" s="17">
        <f>ROUND(MAX(MIN(N590 + Q590, 100), 0), 2)</f>
        <v>64.64</v>
      </c>
      <c r="D590" s="2" t="s">
        <v>1927</v>
      </c>
      <c r="E590" s="7">
        <v>64</v>
      </c>
      <c r="F590" s="2">
        <v>50</v>
      </c>
      <c r="G590" s="2">
        <v>35</v>
      </c>
      <c r="H590" s="2" t="s">
        <v>1483</v>
      </c>
      <c r="I590" s="2" t="s">
        <v>36</v>
      </c>
      <c r="J590" s="3" t="s">
        <v>1574</v>
      </c>
      <c r="M590" s="2">
        <f>IF(J590="1000+", 1000, (LEFT(J590,FIND("-",J590)-1)+RIGHT(J590,LEN(J590)-FIND("-",J590)))/2)</f>
        <v>12.5</v>
      </c>
      <c r="N590" s="2">
        <f>ROUND(E590 * 0.7+F590 * 0.2+G590 * 0.1,2)</f>
        <v>58.3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50</v>
      </c>
      <c r="P590" s="2">
        <f>E590 - O590</f>
        <v>14</v>
      </c>
      <c r="Q590" s="2">
        <f>ROUND(
  SIGN(P590)*
  IF(ABS(P590)&lt;=10,ABS(P590)*0.5,
     IF(ABS(P590)&lt;=15,5+(ABS(P590)-10)*(1.67/5),
        6.67+(ABS(P590)-15)*0.333)),
2)</f>
        <v>6.34</v>
      </c>
    </row>
    <row r="591" spans="1:17" ht="34.5" customHeight="1" x14ac:dyDescent="0.3">
      <c r="A591" s="2">
        <v>2026</v>
      </c>
      <c r="B591" s="2">
        <v>590</v>
      </c>
      <c r="C591" s="17">
        <f>ROUND(MAX(MIN(N591 + Q591, 100), 0), 2)</f>
        <v>64.599999999999994</v>
      </c>
      <c r="D591" s="2" t="s">
        <v>1788</v>
      </c>
      <c r="E591" s="7">
        <v>67</v>
      </c>
      <c r="F591" s="2">
        <v>56</v>
      </c>
      <c r="G591" s="2">
        <v>55</v>
      </c>
      <c r="H591" s="2" t="s">
        <v>1799</v>
      </c>
      <c r="I591" s="2" t="s">
        <v>1385</v>
      </c>
      <c r="J591" s="3" t="s">
        <v>1262</v>
      </c>
      <c r="M591" s="2">
        <f>IF(J591="1000+", 1000, (LEFT(J591,FIND("-",J591)-1)+RIGHT(J591,LEN(J591)-FIND("-",J591)))/2)</f>
        <v>45</v>
      </c>
      <c r="N591" s="2">
        <f>ROUND(E591 * 0.7+F591 * 0.2+G591 * 0.1,2)</f>
        <v>63.6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65</v>
      </c>
      <c r="P591" s="2">
        <f>E591 - O591</f>
        <v>2</v>
      </c>
      <c r="Q591" s="2">
        <f>ROUND(
  SIGN(P591)*
  IF(ABS(P591)&lt;=10,ABS(P591)*0.5,
     IF(ABS(P591)&lt;=15,5+(ABS(P591)-10)*(1.67/5),
        6.67+(ABS(P591)-15)*0.333)),
2)</f>
        <v>1</v>
      </c>
    </row>
    <row r="592" spans="1:17" ht="34.5" customHeight="1" x14ac:dyDescent="0.3">
      <c r="A592" s="2">
        <v>2026</v>
      </c>
      <c r="B592" s="2">
        <v>591</v>
      </c>
      <c r="C592" s="17">
        <f>ROUND(MAX(MIN(N592 + Q592, 100), 0), 2)</f>
        <v>64.599999999999994</v>
      </c>
      <c r="D592" s="2" t="s">
        <v>1584</v>
      </c>
      <c r="E592" s="7">
        <v>69</v>
      </c>
      <c r="F592" s="7">
        <v>60</v>
      </c>
      <c r="G592" s="2">
        <v>58</v>
      </c>
      <c r="H592" s="2" t="s">
        <v>1587</v>
      </c>
      <c r="I592" s="2" t="s">
        <v>1591</v>
      </c>
      <c r="J592" s="3" t="s">
        <v>1598</v>
      </c>
      <c r="K592" s="2" t="s">
        <v>1599</v>
      </c>
      <c r="M592" s="2">
        <f>IF(J592="1000+", 1000, (LEFT(J592,FIND("-",J592)-1)+RIGHT(J592,LEN(J592)-FIND("-",J592)))/2)</f>
        <v>105</v>
      </c>
      <c r="N592" s="2">
        <f>ROUND(E592 * 0.7+F592 * 0.2+G592 * 0.1,2)</f>
        <v>66.099999999999994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72</v>
      </c>
      <c r="P592" s="2">
        <f>E592 - O592</f>
        <v>-3</v>
      </c>
      <c r="Q592" s="2">
        <f>ROUND(
  SIGN(P592)*
  IF(ABS(P592)&lt;=10,ABS(P592)*0.5,
     IF(ABS(P592)&lt;=15,5+(ABS(P592)-10)*(1.67/5),
        6.67+(ABS(P592)-15)*0.333)),
2)</f>
        <v>-1.5</v>
      </c>
    </row>
    <row r="593" spans="1:17" ht="34.5" customHeight="1" x14ac:dyDescent="0.3">
      <c r="B593" s="2">
        <v>592</v>
      </c>
      <c r="C593" s="17">
        <f>ROUND(MAX(MIN(N593 + Q593, 100), 0), 2)</f>
        <v>64.599999999999994</v>
      </c>
      <c r="D593" s="2" t="s">
        <v>486</v>
      </c>
      <c r="E593" s="7">
        <v>68</v>
      </c>
      <c r="F593" s="2">
        <v>58</v>
      </c>
      <c r="G593" s="7">
        <v>64</v>
      </c>
      <c r="H593" s="2" t="s">
        <v>48</v>
      </c>
      <c r="I593" s="2" t="s">
        <v>487</v>
      </c>
      <c r="J593" s="3" t="s">
        <v>18</v>
      </c>
      <c r="K593" s="2" t="s">
        <v>488</v>
      </c>
      <c r="M593" s="2">
        <f>IF(J593="1000+", 1000, (LEFT(J593,FIND("-",J593)-1)+RIGHT(J593,LEN(J593)-FIND("-",J593)))/2)</f>
        <v>75</v>
      </c>
      <c r="N593" s="2">
        <f>ROUND(E593 * 0.7+F593 * 0.2+G593 * 0.1,2)</f>
        <v>65.599999999999994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70</v>
      </c>
      <c r="P593" s="2">
        <f>E593 - O593</f>
        <v>-2</v>
      </c>
      <c r="Q593" s="2">
        <f>ROUND(
  SIGN(P593)*
  IF(ABS(P593)&lt;=10,ABS(P593)*0.5,
     IF(ABS(P593)&lt;=15,5+(ABS(P593)-10)*(1.67/5),
        6.67+(ABS(P593)-15)*0.333)),
2)</f>
        <v>-1</v>
      </c>
    </row>
    <row r="594" spans="1:17" ht="34.5" customHeight="1" x14ac:dyDescent="0.3">
      <c r="A594" s="2">
        <v>2026</v>
      </c>
      <c r="B594" s="2">
        <v>593</v>
      </c>
      <c r="C594" s="17">
        <f>ROUND(MAX(MIN(N594 + Q594, 100), 0), 2)</f>
        <v>64.599999999999994</v>
      </c>
      <c r="D594" s="2" t="s">
        <v>1357</v>
      </c>
      <c r="E594" s="7">
        <v>67</v>
      </c>
      <c r="F594" s="7">
        <v>65</v>
      </c>
      <c r="G594" s="7">
        <v>62</v>
      </c>
      <c r="H594" s="2" t="s">
        <v>1256</v>
      </c>
      <c r="I594" s="2" t="s">
        <v>1258</v>
      </c>
      <c r="J594" s="3" t="s">
        <v>1264</v>
      </c>
      <c r="M594" s="2">
        <f>IF(J594="1000+", 1000, (LEFT(J594,FIND("-",J594)-1)+RIGHT(J594,LEN(J594)-FIND("-",J594)))/2)</f>
        <v>75</v>
      </c>
      <c r="N594" s="2">
        <f>ROUND(E594 * 0.7+F594 * 0.2+G594 * 0.1,2)</f>
        <v>66.099999999999994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70</v>
      </c>
      <c r="P594" s="2">
        <f>E594 - O594</f>
        <v>-3</v>
      </c>
      <c r="Q594" s="2">
        <f>ROUND(
  SIGN(P594)*
  IF(ABS(P594)&lt;=10,ABS(P594)*0.5,
     IF(ABS(P594)&lt;=15,5+(ABS(P594)-10)*(1.67/5),
        6.67+(ABS(P594)-15)*0.333)),
2)</f>
        <v>-1.5</v>
      </c>
    </row>
    <row r="595" spans="1:17" ht="34.5" customHeight="1" x14ac:dyDescent="0.3">
      <c r="B595" s="2">
        <v>594</v>
      </c>
      <c r="C595" s="17">
        <f>ROUND(MAX(MIN(N595 + Q595, 100), 0), 2)</f>
        <v>64.569999999999993</v>
      </c>
      <c r="D595" s="2" t="s">
        <v>496</v>
      </c>
      <c r="E595" s="7">
        <v>69</v>
      </c>
      <c r="F595" s="5">
        <v>70</v>
      </c>
      <c r="G595" s="5">
        <v>76</v>
      </c>
      <c r="H595" s="2" t="s">
        <v>71</v>
      </c>
      <c r="I595" s="2" t="s">
        <v>218</v>
      </c>
      <c r="J595" s="3" t="s">
        <v>88</v>
      </c>
      <c r="M595" s="2">
        <f>IF(J595="1000+", 1000, (LEFT(J595,FIND("-",J595)-1)+RIGHT(J595,LEN(J595)-FIND("-",J595)))/2)</f>
        <v>150</v>
      </c>
      <c r="N595" s="2">
        <f>ROUND(E595 * 0.7+F595 * 0.2+G595 * 0.1,2)</f>
        <v>69.900000000000006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80</v>
      </c>
      <c r="P595" s="2">
        <f>E595 - O595</f>
        <v>-11</v>
      </c>
      <c r="Q595" s="2">
        <f>ROUND(
  SIGN(P595)*
  IF(ABS(P595)&lt;=10,ABS(P595)*0.5,
     IF(ABS(P595)&lt;=15,5+(ABS(P595)-10)*(1.67/5),
        6.67+(ABS(P595)-15)*0.333)),
2)</f>
        <v>-5.33</v>
      </c>
    </row>
    <row r="596" spans="1:17" ht="34.5" customHeight="1" x14ac:dyDescent="0.3">
      <c r="B596" s="2">
        <v>595</v>
      </c>
      <c r="C596" s="17">
        <f>ROUND(MAX(MIN(N596 + Q596, 100), 0), 2)</f>
        <v>64.5</v>
      </c>
      <c r="D596" s="2" t="s">
        <v>522</v>
      </c>
      <c r="E596" s="5">
        <v>76</v>
      </c>
      <c r="F596" s="2">
        <v>53</v>
      </c>
      <c r="G596" s="2">
        <v>52</v>
      </c>
      <c r="H596" s="2" t="s">
        <v>452</v>
      </c>
      <c r="I596" s="2" t="s">
        <v>523</v>
      </c>
      <c r="J596" s="3" t="s">
        <v>14</v>
      </c>
      <c r="K596" s="2" t="s">
        <v>524</v>
      </c>
      <c r="M596" s="2">
        <f>IF(J596="1000+", 1000, (LEFT(J596,FIND("-",J596)-1)+RIGHT(J596,LEN(J596)-FIND("-",J596)))/2)</f>
        <v>225</v>
      </c>
      <c r="N596" s="2">
        <f>ROUND(E596 * 0.7+F596 * 0.2+G596 * 0.1,2)</f>
        <v>69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85</v>
      </c>
      <c r="P596" s="2">
        <f>E596 - O596</f>
        <v>-9</v>
      </c>
      <c r="Q596" s="2">
        <f>ROUND(
  SIGN(P596)*
  IF(ABS(P596)&lt;=10,ABS(P596)*0.5,
     IF(ABS(P596)&lt;=15,5+(ABS(P596)-10)*(1.67/5),
        6.67+(ABS(P596)-15)*0.333)),
2)</f>
        <v>-4.5</v>
      </c>
    </row>
    <row r="597" spans="1:17" ht="34.5" customHeight="1" x14ac:dyDescent="0.3">
      <c r="B597" s="2">
        <v>596</v>
      </c>
      <c r="C597" s="17">
        <f>ROUND(MAX(MIN(N597 + Q597, 100), 0), 2)</f>
        <v>64.5</v>
      </c>
      <c r="D597" s="2" t="s">
        <v>1365</v>
      </c>
      <c r="E597" s="7">
        <v>67</v>
      </c>
      <c r="F597" s="2">
        <v>58</v>
      </c>
      <c r="G597" s="2">
        <v>50</v>
      </c>
      <c r="H597" s="2" t="s">
        <v>1257</v>
      </c>
      <c r="I597" s="2" t="s">
        <v>36</v>
      </c>
      <c r="J597" s="3" t="s">
        <v>1262</v>
      </c>
      <c r="M597" s="2">
        <f>IF(J597="1000+", 1000, (LEFT(J597,FIND("-",J597)-1)+RIGHT(J597,LEN(J597)-FIND("-",J597)))/2)</f>
        <v>45</v>
      </c>
      <c r="N597" s="2">
        <f>ROUND(E597 * 0.7+F597 * 0.2+G597 * 0.1,2)</f>
        <v>63.5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65</v>
      </c>
      <c r="P597" s="2">
        <f>E597 - O597</f>
        <v>2</v>
      </c>
      <c r="Q597" s="2">
        <f>ROUND(
  SIGN(P597)*
  IF(ABS(P597)&lt;=10,ABS(P597)*0.5,
     IF(ABS(P597)&lt;=15,5+(ABS(P597)-10)*(1.67/5),
        6.67+(ABS(P597)-15)*0.333)),
2)</f>
        <v>1</v>
      </c>
    </row>
    <row r="598" spans="1:17" ht="34.5" customHeight="1" x14ac:dyDescent="0.3">
      <c r="A598" s="2">
        <v>2026</v>
      </c>
      <c r="B598" s="2">
        <v>597</v>
      </c>
      <c r="C598" s="17">
        <f>ROUND(MAX(MIN(N598 + Q598, 100), 0), 2)</f>
        <v>64.5</v>
      </c>
      <c r="D598" s="2" t="s">
        <v>1840</v>
      </c>
      <c r="E598" s="7">
        <v>65</v>
      </c>
      <c r="F598" s="7">
        <v>60</v>
      </c>
      <c r="G598" s="2">
        <v>55</v>
      </c>
      <c r="H598" s="2" t="s">
        <v>1256</v>
      </c>
      <c r="I598" s="2" t="s">
        <v>1259</v>
      </c>
      <c r="J598" s="3" t="s">
        <v>1263</v>
      </c>
      <c r="M598" s="2">
        <f>IF(J598="1000+", 1000, (LEFT(J598,FIND("-",J598)-1)+RIGHT(J598,LEN(J598)-FIND("-",J598)))/2)</f>
        <v>30</v>
      </c>
      <c r="N598" s="2">
        <f>ROUND(E598 * 0.7+F598 * 0.2+G598 * 0.1,2)</f>
        <v>63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62</v>
      </c>
      <c r="P598" s="2">
        <f>E598 - O598</f>
        <v>3</v>
      </c>
      <c r="Q598" s="2">
        <f>ROUND(
  SIGN(P598)*
  IF(ABS(P598)&lt;=10,ABS(P598)*0.5,
     IF(ABS(P598)&lt;=15,5+(ABS(P598)-10)*(1.67/5),
        6.67+(ABS(P598)-15)*0.333)),
2)</f>
        <v>1.5</v>
      </c>
    </row>
    <row r="599" spans="1:17" ht="34.5" customHeight="1" x14ac:dyDescent="0.3">
      <c r="B599" s="2">
        <v>598</v>
      </c>
      <c r="C599" s="17">
        <f>ROUND(MAX(MIN(N599 + Q599, 100), 0), 2)</f>
        <v>64.5</v>
      </c>
      <c r="D599" s="2" t="s">
        <v>594</v>
      </c>
      <c r="E599" s="7">
        <v>66</v>
      </c>
      <c r="F599" s="7">
        <v>60</v>
      </c>
      <c r="G599" s="2">
        <v>58</v>
      </c>
      <c r="H599" s="2" t="s">
        <v>48</v>
      </c>
      <c r="I599" s="2" t="s">
        <v>36</v>
      </c>
      <c r="J599" s="3" t="s">
        <v>32</v>
      </c>
      <c r="M599" s="2">
        <f>IF(J599="1000+", 1000, (LEFT(J599,FIND("-",J599)-1)+RIGHT(J599,LEN(J599)-FIND("-",J599)))/2)</f>
        <v>45</v>
      </c>
      <c r="N599" s="2">
        <f>ROUND(E599 * 0.7+F599 * 0.2+G599 * 0.1,2)</f>
        <v>64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65</v>
      </c>
      <c r="P599" s="2">
        <f>E599 - O599</f>
        <v>1</v>
      </c>
      <c r="Q599" s="2">
        <f>ROUND(
  SIGN(P599)*
  IF(ABS(P599)&lt;=10,ABS(P599)*0.5,
     IF(ABS(P599)&lt;=15,5+(ABS(P599)-10)*(1.67/5),
        6.67+(ABS(P599)-15)*0.333)),
2)</f>
        <v>0.5</v>
      </c>
    </row>
    <row r="600" spans="1:17" ht="34.5" customHeight="1" x14ac:dyDescent="0.3">
      <c r="B600" s="2">
        <v>599</v>
      </c>
      <c r="C600" s="17">
        <f>ROUND(MAX(MIN(N600 + Q600, 100), 0), 2)</f>
        <v>64.5</v>
      </c>
      <c r="D600" s="2" t="s">
        <v>552</v>
      </c>
      <c r="E600" s="5">
        <v>71</v>
      </c>
      <c r="F600" s="7">
        <v>68</v>
      </c>
      <c r="G600" s="2">
        <v>57</v>
      </c>
      <c r="H600" s="2" t="s">
        <v>87</v>
      </c>
      <c r="I600" s="2" t="s">
        <v>22</v>
      </c>
      <c r="J600" s="3" t="s">
        <v>88</v>
      </c>
      <c r="M600" s="2">
        <f>IF(J600="1000+", 1000, (LEFT(J600,FIND("-",J600)-1)+RIGHT(J600,LEN(J600)-FIND("-",J600)))/2)</f>
        <v>150</v>
      </c>
      <c r="N600" s="2">
        <f>ROUND(E600 * 0.7+F600 * 0.2+G600 * 0.1,2)</f>
        <v>69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80</v>
      </c>
      <c r="P600" s="2">
        <f>E600 - O600</f>
        <v>-9</v>
      </c>
      <c r="Q600" s="2">
        <f>ROUND(
  SIGN(P600)*
  IF(ABS(P600)&lt;=10,ABS(P600)*0.5,
     IF(ABS(P600)&lt;=15,5+(ABS(P600)-10)*(1.67/5),
        6.67+(ABS(P600)-15)*0.333)),
2)</f>
        <v>-4.5</v>
      </c>
    </row>
    <row r="601" spans="1:17" ht="34.5" customHeight="1" x14ac:dyDescent="0.3">
      <c r="B601" s="2">
        <v>600</v>
      </c>
      <c r="C601" s="17">
        <f>ROUND(MAX(MIN(N601 + Q601, 100), 0), 2)</f>
        <v>64.459999999999994</v>
      </c>
      <c r="D601" s="2" t="s">
        <v>557</v>
      </c>
      <c r="E601" s="5">
        <v>73</v>
      </c>
      <c r="F601" s="7">
        <v>67</v>
      </c>
      <c r="G601" s="7">
        <v>63</v>
      </c>
      <c r="H601" s="2" t="s">
        <v>558</v>
      </c>
      <c r="I601" s="2" t="s">
        <v>559</v>
      </c>
      <c r="J601" s="3" t="s">
        <v>65</v>
      </c>
      <c r="M601" s="2">
        <f>IF(J601="1000+", 1000, (LEFT(J601,FIND("-",J601)-1)+RIGHT(J601,LEN(J601)-FIND("-",J601)))/2)</f>
        <v>250</v>
      </c>
      <c r="N601" s="2">
        <f>ROUND(E601 * 0.7+F601 * 0.2+G601 * 0.1,2)</f>
        <v>70.8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87</v>
      </c>
      <c r="P601" s="2">
        <f>E601 - O601</f>
        <v>-14</v>
      </c>
      <c r="Q601" s="2">
        <f>ROUND(
  SIGN(P601)*
  IF(ABS(P601)&lt;=10,ABS(P601)*0.5,
     IF(ABS(P601)&lt;=15,5+(ABS(P601)-10)*(1.67/5),
        6.67+(ABS(P601)-15)*0.333)),
2)</f>
        <v>-6.34</v>
      </c>
    </row>
    <row r="602" spans="1:17" ht="34.5" customHeight="1" x14ac:dyDescent="0.3">
      <c r="B602" s="2">
        <v>601</v>
      </c>
      <c r="C602" s="17">
        <f>ROUND(MAX(MIN(N602 + Q602, 100), 0), 2)</f>
        <v>64.400000000000006</v>
      </c>
      <c r="D602" s="2" t="s">
        <v>688</v>
      </c>
      <c r="E602" s="7">
        <v>67</v>
      </c>
      <c r="F602" s="2">
        <v>50</v>
      </c>
      <c r="G602" s="2">
        <v>40</v>
      </c>
      <c r="H602" s="2" t="s">
        <v>48</v>
      </c>
      <c r="I602" s="2" t="s">
        <v>72</v>
      </c>
      <c r="J602" s="3" t="s">
        <v>132</v>
      </c>
      <c r="M602" s="2">
        <f>IF(J602="1000+", 1000, (LEFT(J602,FIND("-",J602)-1)+RIGHT(J602,LEN(J602)-FIND("-",J602)))/2)</f>
        <v>20</v>
      </c>
      <c r="N602" s="2">
        <f>ROUND(E602 * 0.7+F602 * 0.2+G602 * 0.1,2)</f>
        <v>60.9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60</v>
      </c>
      <c r="P602" s="2">
        <f>E602 - O602</f>
        <v>7</v>
      </c>
      <c r="Q602" s="2">
        <f>ROUND(
  SIGN(P602)*
  IF(ABS(P602)&lt;=10,ABS(P602)*0.5,
     IF(ABS(P602)&lt;=15,5+(ABS(P602)-10)*(1.67/5),
        6.67+(ABS(P602)-15)*0.333)),
2)</f>
        <v>3.5</v>
      </c>
    </row>
    <row r="603" spans="1:17" ht="34.5" customHeight="1" x14ac:dyDescent="0.3">
      <c r="B603" s="2">
        <v>602</v>
      </c>
      <c r="C603" s="17">
        <f>ROUND(MAX(MIN(N603 + Q603, 100), 0), 2)</f>
        <v>64.400000000000006</v>
      </c>
      <c r="D603" s="2" t="s">
        <v>579</v>
      </c>
      <c r="E603" s="7">
        <v>67</v>
      </c>
      <c r="F603" s="2">
        <v>48</v>
      </c>
      <c r="G603" s="2">
        <v>44</v>
      </c>
      <c r="H603" s="2" t="s">
        <v>31</v>
      </c>
      <c r="I603" s="2" t="s">
        <v>447</v>
      </c>
      <c r="J603" s="3" t="s">
        <v>132</v>
      </c>
      <c r="K603" s="2" t="s">
        <v>580</v>
      </c>
      <c r="M603" s="2">
        <f>IF(J603="1000+", 1000, (LEFT(J603,FIND("-",J603)-1)+RIGHT(J603,LEN(J603)-FIND("-",J603)))/2)</f>
        <v>20</v>
      </c>
      <c r="N603" s="2">
        <f>ROUND(E603 * 0.7+F603 * 0.2+G603 * 0.1,2)</f>
        <v>60.9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60</v>
      </c>
      <c r="P603" s="2">
        <f>E603 - O603</f>
        <v>7</v>
      </c>
      <c r="Q603" s="2">
        <f>ROUND(
  SIGN(P603)*
  IF(ABS(P603)&lt;=10,ABS(P603)*0.5,
     IF(ABS(P603)&lt;=15,5+(ABS(P603)-10)*(1.67/5),
        6.67+(ABS(P603)-15)*0.333)),
2)</f>
        <v>3.5</v>
      </c>
    </row>
    <row r="604" spans="1:17" ht="34.5" customHeight="1" x14ac:dyDescent="0.3">
      <c r="B604" s="2">
        <v>603</v>
      </c>
      <c r="C604" s="17">
        <f>ROUND(MAX(MIN(N604 + Q604, 100), 0), 2)</f>
        <v>64.400000000000006</v>
      </c>
      <c r="D604" s="2" t="s">
        <v>635</v>
      </c>
      <c r="E604" s="7">
        <v>69</v>
      </c>
      <c r="F604" s="2">
        <v>53</v>
      </c>
      <c r="G604" s="2">
        <v>50</v>
      </c>
      <c r="H604" s="2" t="s">
        <v>31</v>
      </c>
      <c r="I604" s="2" t="s">
        <v>17</v>
      </c>
      <c r="J604" s="3" t="s">
        <v>23</v>
      </c>
      <c r="M604" s="2">
        <f>IF(J604="1000+", 1000, (LEFT(J604,FIND("-",J604)-1)+RIGHT(J604,LEN(J604)-FIND("-",J604)))/2)</f>
        <v>60</v>
      </c>
      <c r="N604" s="2">
        <f>ROUND(E604 * 0.7+F604 * 0.2+G604 * 0.1,2)</f>
        <v>63.9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68</v>
      </c>
      <c r="P604" s="2">
        <f>E604 - O604</f>
        <v>1</v>
      </c>
      <c r="Q604" s="2">
        <f>ROUND(
  SIGN(P604)*
  IF(ABS(P604)&lt;=10,ABS(P604)*0.5,
     IF(ABS(P604)&lt;=15,5+(ABS(P604)-10)*(1.67/5),
        6.67+(ABS(P604)-15)*0.333)),
2)</f>
        <v>0.5</v>
      </c>
    </row>
    <row r="605" spans="1:17" ht="34.5" customHeight="1" x14ac:dyDescent="0.3">
      <c r="B605" s="2">
        <v>604</v>
      </c>
      <c r="C605" s="17">
        <f>ROUND(MAX(MIN(N605 + Q605, 100), 0), 2)</f>
        <v>64.400000000000006</v>
      </c>
      <c r="D605" s="2" t="s">
        <v>578</v>
      </c>
      <c r="E605" s="7">
        <v>69</v>
      </c>
      <c r="F605" s="7">
        <v>64</v>
      </c>
      <c r="G605" s="7">
        <v>63</v>
      </c>
      <c r="H605" s="2" t="s">
        <v>31</v>
      </c>
      <c r="I605" s="2" t="s">
        <v>41</v>
      </c>
      <c r="J605" s="3" t="s">
        <v>140</v>
      </c>
      <c r="M605" s="2">
        <f>IF(J605="1000+", 1000, (LEFT(J605,FIND("-",J605)-1)+RIGHT(J605,LEN(J605)-FIND("-",J605)))/2)</f>
        <v>115</v>
      </c>
      <c r="N605" s="2">
        <f>ROUND(E605 * 0.7+F605 * 0.2+G605 * 0.1,2)</f>
        <v>67.400000000000006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75</v>
      </c>
      <c r="P605" s="2">
        <f>E605 - O605</f>
        <v>-6</v>
      </c>
      <c r="Q605" s="2">
        <f>ROUND(
  SIGN(P605)*
  IF(ABS(P605)&lt;=10,ABS(P605)*0.5,
     IF(ABS(P605)&lt;=15,5+(ABS(P605)-10)*(1.67/5),
        6.67+(ABS(P605)-15)*0.333)),
2)</f>
        <v>-3</v>
      </c>
    </row>
    <row r="606" spans="1:17" ht="34.5" customHeight="1" x14ac:dyDescent="0.3">
      <c r="B606" s="2">
        <v>605</v>
      </c>
      <c r="C606" s="17">
        <f>ROUND(MAX(MIN(N606 + Q606, 100), 0), 2)</f>
        <v>64.400000000000006</v>
      </c>
      <c r="D606" s="2" t="s">
        <v>530</v>
      </c>
      <c r="E606" s="7">
        <v>66</v>
      </c>
      <c r="F606" s="7">
        <v>69</v>
      </c>
      <c r="G606" s="5">
        <v>74</v>
      </c>
      <c r="H606" s="2" t="s">
        <v>48</v>
      </c>
      <c r="I606" s="2" t="s">
        <v>106</v>
      </c>
      <c r="J606" s="3" t="s">
        <v>122</v>
      </c>
      <c r="M606" s="2">
        <f>IF(J606="1000+", 1000, (LEFT(J606,FIND("-",J606)-1)+RIGHT(J606,LEN(J606)-FIND("-",J606)))/2)</f>
        <v>105</v>
      </c>
      <c r="N606" s="2">
        <f>ROUND(E606 * 0.7+F606 * 0.2+G606 * 0.1,2)</f>
        <v>67.400000000000006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72</v>
      </c>
      <c r="P606" s="2">
        <f>E606 - O606</f>
        <v>-6</v>
      </c>
      <c r="Q606" s="2">
        <f>ROUND(
  SIGN(P606)*
  IF(ABS(P606)&lt;=10,ABS(P606)*0.5,
     IF(ABS(P606)&lt;=15,5+(ABS(P606)-10)*(1.67/5),
        6.67+(ABS(P606)-15)*0.333)),
2)</f>
        <v>-3</v>
      </c>
    </row>
    <row r="607" spans="1:17" ht="34.5" customHeight="1" x14ac:dyDescent="0.3">
      <c r="A607" s="2">
        <v>2026</v>
      </c>
      <c r="B607" s="2">
        <v>606</v>
      </c>
      <c r="C607" s="17">
        <f>ROUND(MAX(MIN(N607 + Q607, 100), 0), 2)</f>
        <v>64.3</v>
      </c>
      <c r="D607" s="2" t="s">
        <v>1689</v>
      </c>
      <c r="E607" s="5">
        <v>71</v>
      </c>
      <c r="F607" s="2">
        <v>59</v>
      </c>
      <c r="G607" s="2">
        <v>23</v>
      </c>
      <c r="H607" s="2" t="s">
        <v>1693</v>
      </c>
      <c r="I607" s="2" t="s">
        <v>1696</v>
      </c>
      <c r="J607" s="3" t="s">
        <v>1703</v>
      </c>
      <c r="M607" s="2">
        <f>IF(J607="1000+", 1000, (LEFT(J607,FIND("-",J607)-1)+RIGHT(J607,LEN(J607)-FIND("-",J607)))/2)</f>
        <v>75</v>
      </c>
      <c r="N607" s="2">
        <f>ROUND(E607 * 0.7+F607 * 0.2+G607 * 0.1,2)</f>
        <v>63.8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70</v>
      </c>
      <c r="P607" s="2">
        <f>E607 - O607</f>
        <v>1</v>
      </c>
      <c r="Q607" s="2">
        <f>ROUND(
  SIGN(P607)*
  IF(ABS(P607)&lt;=10,ABS(P607)*0.5,
     IF(ABS(P607)&lt;=15,5+(ABS(P607)-10)*(1.67/5),
        6.67+(ABS(P607)-15)*0.333)),
2)</f>
        <v>0.5</v>
      </c>
    </row>
    <row r="608" spans="1:17" ht="34.5" customHeight="1" x14ac:dyDescent="0.3">
      <c r="A608" s="2">
        <v>2026</v>
      </c>
      <c r="B608" s="2">
        <v>607</v>
      </c>
      <c r="C608" s="17">
        <f>ROUND(MAX(MIN(N608 + Q608, 100), 0), 2)</f>
        <v>64.3</v>
      </c>
      <c r="D608" s="11" t="s">
        <v>1316</v>
      </c>
      <c r="E608" s="7">
        <v>67</v>
      </c>
      <c r="F608" s="7">
        <v>63</v>
      </c>
      <c r="G608" s="2">
        <v>53</v>
      </c>
      <c r="H608" s="11" t="s">
        <v>1256</v>
      </c>
      <c r="I608" s="11" t="s">
        <v>1258</v>
      </c>
      <c r="J608" s="19" t="s">
        <v>1302</v>
      </c>
      <c r="K608" s="11" t="s">
        <v>1319</v>
      </c>
      <c r="M608" s="2">
        <f>IF(J608="1000+", 1000, (LEFT(J608,FIND("-",J608)-1)+RIGHT(J608,LEN(J608)-FIND("-",J608)))/2)</f>
        <v>60</v>
      </c>
      <c r="N608" s="2">
        <f>ROUND(E608 * 0.7+F608 * 0.2+G608 * 0.1,2)</f>
        <v>64.8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68</v>
      </c>
      <c r="P608" s="2">
        <f>E608 - O608</f>
        <v>-1</v>
      </c>
      <c r="Q608" s="2">
        <f>ROUND(
  SIGN(P608)*
  IF(ABS(P608)&lt;=10,ABS(P608)*0.5,
     IF(ABS(P608)&lt;=15,5+(ABS(P608)-10)*(1.67/5),
        6.67+(ABS(P608)-15)*0.333)),
2)</f>
        <v>-0.5</v>
      </c>
    </row>
    <row r="609" spans="1:17" ht="34.5" customHeight="1" x14ac:dyDescent="0.3">
      <c r="B609" s="2">
        <v>608</v>
      </c>
      <c r="C609" s="17">
        <f>ROUND(MAX(MIN(N609 + Q609, 100), 0), 2)</f>
        <v>64.3</v>
      </c>
      <c r="D609" s="2" t="s">
        <v>534</v>
      </c>
      <c r="E609" s="5">
        <v>71</v>
      </c>
      <c r="F609" s="5">
        <v>74</v>
      </c>
      <c r="G609" s="7">
        <v>68</v>
      </c>
      <c r="H609" s="2" t="s">
        <v>434</v>
      </c>
      <c r="I609" s="2" t="s">
        <v>535</v>
      </c>
      <c r="J609" s="3" t="s">
        <v>65</v>
      </c>
      <c r="M609" s="2">
        <f>IF(J609="1000+", 1000, (LEFT(J609,FIND("-",J609)-1)+RIGHT(J609,LEN(J609)-FIND("-",J609)))/2)</f>
        <v>250</v>
      </c>
      <c r="N609" s="2">
        <f>ROUND(E609 * 0.7+F609 * 0.2+G609 * 0.1,2)</f>
        <v>71.3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87</v>
      </c>
      <c r="P609" s="2">
        <f>E609 - O609</f>
        <v>-16</v>
      </c>
      <c r="Q609" s="2">
        <f>ROUND(
  SIGN(P609)*
  IF(ABS(P609)&lt;=10,ABS(P609)*0.5,
     IF(ABS(P609)&lt;=15,5+(ABS(P609)-10)*(1.67/5),
        6.67+(ABS(P609)-15)*0.333)),
2)</f>
        <v>-7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64.3</v>
      </c>
      <c r="D610" s="2" t="s">
        <v>1513</v>
      </c>
      <c r="E610" s="7">
        <v>67</v>
      </c>
      <c r="F610" s="2">
        <v>51</v>
      </c>
      <c r="G610" s="2">
        <v>47</v>
      </c>
      <c r="H610" s="2" t="s">
        <v>1487</v>
      </c>
      <c r="I610" s="2" t="s">
        <v>1523</v>
      </c>
      <c r="J610" s="3" t="s">
        <v>1534</v>
      </c>
      <c r="M610" s="2">
        <f>IF(J610="1000+", 1000, (LEFT(J610,FIND("-",J610)-1)+RIGHT(J610,LEN(J610)-FIND("-",J610)))/2)</f>
        <v>30</v>
      </c>
      <c r="N610" s="2">
        <f>ROUND(E610 * 0.7+F610 * 0.2+G610 * 0.1,2)</f>
        <v>61.8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62</v>
      </c>
      <c r="P610" s="2">
        <f>E610 - O610</f>
        <v>5</v>
      </c>
      <c r="Q610" s="2">
        <f>ROUND(
  SIGN(P610)*
  IF(ABS(P610)&lt;=10,ABS(P610)*0.5,
     IF(ABS(P610)&lt;=15,5+(ABS(P610)-10)*(1.67/5),
        6.67+(ABS(P610)-15)*0.333)),
2)</f>
        <v>2.5</v>
      </c>
    </row>
    <row r="611" spans="1:17" ht="34.5" customHeight="1" x14ac:dyDescent="0.3">
      <c r="B611" s="2">
        <v>610</v>
      </c>
      <c r="C611" s="17">
        <f>ROUND(MAX(MIN(N611 + Q611, 100), 0), 2)</f>
        <v>64.260000000000005</v>
      </c>
      <c r="D611" s="2" t="s">
        <v>482</v>
      </c>
      <c r="E611" s="5">
        <v>71</v>
      </c>
      <c r="F611" s="5">
        <v>71</v>
      </c>
      <c r="G611" s="7">
        <v>67</v>
      </c>
      <c r="H611" s="2" t="s">
        <v>197</v>
      </c>
      <c r="I611" s="2" t="s">
        <v>228</v>
      </c>
      <c r="J611" s="3" t="s">
        <v>14</v>
      </c>
      <c r="K611" s="2" t="s">
        <v>483</v>
      </c>
      <c r="M611" s="2">
        <f>IF(J611="1000+", 1000, (LEFT(J611,FIND("-",J611)-1)+RIGHT(J611,LEN(J611)-FIND("-",J611)))/2)</f>
        <v>225</v>
      </c>
      <c r="N611" s="2">
        <f>ROUND(E611 * 0.7+F611 * 0.2+G611 * 0.1,2)</f>
        <v>70.599999999999994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85</v>
      </c>
      <c r="P611" s="2">
        <f>E611 - O611</f>
        <v>-14</v>
      </c>
      <c r="Q611" s="2">
        <f>ROUND(
  SIGN(P611)*
  IF(ABS(P611)&lt;=10,ABS(P611)*0.5,
     IF(ABS(P611)&lt;=15,5+(ABS(P611)-10)*(1.67/5),
        6.67+(ABS(P611)-15)*0.333)),
2)</f>
        <v>-6.34</v>
      </c>
    </row>
    <row r="612" spans="1:17" ht="34.5" customHeight="1" x14ac:dyDescent="0.3">
      <c r="B612" s="2">
        <v>611</v>
      </c>
      <c r="C612" s="17">
        <f>ROUND(MAX(MIN(N612 + Q612, 100), 0), 2)</f>
        <v>64.23</v>
      </c>
      <c r="D612" s="2" t="s">
        <v>691</v>
      </c>
      <c r="E612" s="5">
        <v>72</v>
      </c>
      <c r="F612" s="5">
        <v>70</v>
      </c>
      <c r="G612" s="5">
        <v>75</v>
      </c>
      <c r="H612" s="2" t="s">
        <v>324</v>
      </c>
      <c r="I612" s="2" t="s">
        <v>298</v>
      </c>
      <c r="J612" s="3" t="s">
        <v>42</v>
      </c>
      <c r="M612" s="2">
        <f>IF(J612="1000+", 1000, (LEFT(J612,FIND("-",J612)-1)+RIGHT(J612,LEN(J612)-FIND("-",J612)))/2)</f>
        <v>600</v>
      </c>
      <c r="N612" s="2">
        <f>ROUND(E612 * 0.7+F612 * 0.2+G612 * 0.1,2)</f>
        <v>71.900000000000006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90</v>
      </c>
      <c r="P612" s="2">
        <f>E612 - O612</f>
        <v>-18</v>
      </c>
      <c r="Q612" s="2">
        <f>ROUND(
  SIGN(P612)*
  IF(ABS(P612)&lt;=10,ABS(P612)*0.5,
     IF(ABS(P612)&lt;=15,5+(ABS(P612)-10)*(1.67/5),
        6.67+(ABS(P612)-15)*0.333)),
2)</f>
        <v>-7.67</v>
      </c>
    </row>
    <row r="613" spans="1:17" ht="34.5" customHeight="1" x14ac:dyDescent="0.3">
      <c r="A613" s="2">
        <v>2026</v>
      </c>
      <c r="B613" s="2">
        <v>612</v>
      </c>
      <c r="C613" s="17">
        <f>ROUND(MAX(MIN(N613 + Q613, 100), 0), 2)</f>
        <v>64.2</v>
      </c>
      <c r="D613" s="2" t="s">
        <v>676</v>
      </c>
      <c r="E613" s="7">
        <v>68</v>
      </c>
      <c r="F613" s="2">
        <v>50</v>
      </c>
      <c r="G613" s="2">
        <v>51</v>
      </c>
      <c r="H613" s="2" t="s">
        <v>48</v>
      </c>
      <c r="I613" s="2" t="s">
        <v>36</v>
      </c>
      <c r="J613" s="3" t="s">
        <v>32</v>
      </c>
      <c r="M613" s="2">
        <f>IF(J613="1000+", 1000, (LEFT(J613,FIND("-",J613)-1)+RIGHT(J613,LEN(J613)-FIND("-",J613)))/2)</f>
        <v>45</v>
      </c>
      <c r="N613" s="2">
        <f>ROUND(E613 * 0.7+F613 * 0.2+G613 * 0.1,2)</f>
        <v>62.7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65</v>
      </c>
      <c r="P613" s="2">
        <f>E613 - O613</f>
        <v>3</v>
      </c>
      <c r="Q613" s="2">
        <f>ROUND(
  SIGN(P613)*
  IF(ABS(P613)&lt;=10,ABS(P613)*0.5,
     IF(ABS(P613)&lt;=15,5+(ABS(P613)-10)*(1.67/5),
        6.67+(ABS(P613)-15)*0.333)),
2)</f>
        <v>1.5</v>
      </c>
    </row>
    <row r="614" spans="1:17" ht="34.5" customHeight="1" x14ac:dyDescent="0.3">
      <c r="A614" s="2">
        <v>2026</v>
      </c>
      <c r="B614" s="2">
        <v>613</v>
      </c>
      <c r="C614" s="17">
        <f>ROUND(MAX(MIN(N614 + Q614, 100), 0), 2)</f>
        <v>64.2</v>
      </c>
      <c r="D614" s="2" t="s">
        <v>1358</v>
      </c>
      <c r="E614" s="7">
        <v>65</v>
      </c>
      <c r="F614" s="7">
        <v>60</v>
      </c>
      <c r="G614" s="2">
        <v>52</v>
      </c>
      <c r="H614" s="2" t="s">
        <v>1256</v>
      </c>
      <c r="I614" s="2" t="s">
        <v>36</v>
      </c>
      <c r="J614" s="3" t="s">
        <v>1263</v>
      </c>
      <c r="M614" s="2">
        <f>IF(J614="1000+", 1000, (LEFT(J614,FIND("-",J614)-1)+RIGHT(J614,LEN(J614)-FIND("-",J614)))/2)</f>
        <v>30</v>
      </c>
      <c r="N614" s="2">
        <f>ROUND(E614 * 0.7+F614 * 0.2+G614 * 0.1,2)</f>
        <v>62.7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62</v>
      </c>
      <c r="P614" s="2">
        <f>E614 - O614</f>
        <v>3</v>
      </c>
      <c r="Q614" s="2">
        <f>ROUND(
  SIGN(P614)*
  IF(ABS(P614)&lt;=10,ABS(P614)*0.5,
     IF(ABS(P614)&lt;=15,5+(ABS(P614)-10)*(1.67/5),
        6.67+(ABS(P614)-15)*0.333)),
2)</f>
        <v>1.5</v>
      </c>
    </row>
    <row r="615" spans="1:17" ht="34.5" customHeight="1" x14ac:dyDescent="0.3">
      <c r="A615" s="2">
        <v>2026</v>
      </c>
      <c r="B615" s="2">
        <v>614</v>
      </c>
      <c r="C615" s="17">
        <f>ROUND(MAX(MIN(N615 + Q615, 100), 0), 2)</f>
        <v>64.2</v>
      </c>
      <c r="D615" s="2" t="s">
        <v>1507</v>
      </c>
      <c r="E615" s="7">
        <v>67</v>
      </c>
      <c r="F615" s="7">
        <v>60</v>
      </c>
      <c r="G615" s="2">
        <v>58</v>
      </c>
      <c r="H615" s="2" t="s">
        <v>1483</v>
      </c>
      <c r="I615" s="2" t="s">
        <v>1528</v>
      </c>
      <c r="J615" s="3" t="s">
        <v>1535</v>
      </c>
      <c r="M615" s="2">
        <f>IF(J615="1000+", 1000, (LEFT(J615,FIND("-",J615)-1)+RIGHT(J615,LEN(J615)-FIND("-",J615)))/2)</f>
        <v>60</v>
      </c>
      <c r="N615" s="2">
        <f>ROUND(E615 * 0.7+F615 * 0.2+G615 * 0.1,2)</f>
        <v>64.7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68</v>
      </c>
      <c r="P615" s="2">
        <f>E615 - O615</f>
        <v>-1</v>
      </c>
      <c r="Q615" s="2">
        <f>ROUND(
  SIGN(P615)*
  IF(ABS(P615)&lt;=10,ABS(P615)*0.5,
     IF(ABS(P615)&lt;=15,5+(ABS(P615)-10)*(1.67/5),
        6.67+(ABS(P615)-15)*0.333)),
2)</f>
        <v>-0.5</v>
      </c>
    </row>
    <row r="616" spans="1:17" ht="34.5" customHeight="1" x14ac:dyDescent="0.3">
      <c r="B616" s="2">
        <v>615</v>
      </c>
      <c r="C616" s="17">
        <f>ROUND(MAX(MIN(N616 + Q616, 100), 0), 2)</f>
        <v>64.2</v>
      </c>
      <c r="D616" s="2" t="s">
        <v>586</v>
      </c>
      <c r="E616" s="7">
        <v>67</v>
      </c>
      <c r="F616" s="2">
        <v>55</v>
      </c>
      <c r="G616" s="7">
        <v>68</v>
      </c>
      <c r="H616" s="2" t="s">
        <v>490</v>
      </c>
      <c r="I616" s="2" t="s">
        <v>72</v>
      </c>
      <c r="J616" s="3" t="s">
        <v>23</v>
      </c>
      <c r="M616" s="2">
        <f>IF(J616="1000+", 1000, (LEFT(J616,FIND("-",J616)-1)+RIGHT(J616,LEN(J616)-FIND("-",J616)))/2)</f>
        <v>60</v>
      </c>
      <c r="N616" s="2">
        <f>ROUND(E616 * 0.7+F616 * 0.2+G616 * 0.1,2)</f>
        <v>64.7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68</v>
      </c>
      <c r="P616" s="2">
        <f>E616 - O616</f>
        <v>-1</v>
      </c>
      <c r="Q616" s="2">
        <f>ROUND(
  SIGN(P616)*
  IF(ABS(P616)&lt;=10,ABS(P616)*0.5,
     IF(ABS(P616)&lt;=15,5+(ABS(P616)-10)*(1.67/5),
        6.67+(ABS(P616)-15)*0.333)),
2)</f>
        <v>-0.5</v>
      </c>
    </row>
    <row r="617" spans="1:17" ht="34.5" customHeight="1" x14ac:dyDescent="0.3">
      <c r="B617" s="2">
        <v>616</v>
      </c>
      <c r="C617" s="17">
        <f>ROUND(MAX(MIN(N617 + Q617, 100), 0), 2)</f>
        <v>64.2</v>
      </c>
      <c r="D617" s="2" t="s">
        <v>562</v>
      </c>
      <c r="E617" s="7">
        <v>67</v>
      </c>
      <c r="F617" s="7">
        <v>66</v>
      </c>
      <c r="G617" s="7">
        <v>66</v>
      </c>
      <c r="H617" s="2" t="s">
        <v>61</v>
      </c>
      <c r="I617" s="2" t="s">
        <v>551</v>
      </c>
      <c r="J617" s="3" t="s">
        <v>122</v>
      </c>
      <c r="M617" s="2">
        <f>IF(J617="1000+", 1000, (LEFT(J617,FIND("-",J617)-1)+RIGHT(J617,LEN(J617)-FIND("-",J617)))/2)</f>
        <v>105</v>
      </c>
      <c r="N617" s="2">
        <f>ROUND(E617 * 0.7+F617 * 0.2+G617 * 0.1,2)</f>
        <v>66.7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72</v>
      </c>
      <c r="P617" s="2">
        <f>E617 - O617</f>
        <v>-5</v>
      </c>
      <c r="Q617" s="2">
        <f>ROUND(
  SIGN(P617)*
  IF(ABS(P617)&lt;=10,ABS(P617)*0.5,
     IF(ABS(P617)&lt;=15,5+(ABS(P617)-10)*(1.67/5),
        6.67+(ABS(P617)-15)*0.333)),
2)</f>
        <v>-2.5</v>
      </c>
    </row>
    <row r="618" spans="1:17" ht="34.5" customHeight="1" x14ac:dyDescent="0.3">
      <c r="B618" s="2">
        <v>617</v>
      </c>
      <c r="C618" s="17">
        <f>ROUND(MAX(MIN(N618 + Q618, 100), 0), 2)</f>
        <v>64.2</v>
      </c>
      <c r="D618" s="2" t="s">
        <v>506</v>
      </c>
      <c r="E618" s="7">
        <v>65</v>
      </c>
      <c r="F618" s="5">
        <v>73</v>
      </c>
      <c r="G618" s="2">
        <v>56</v>
      </c>
      <c r="H618" s="2" t="s">
        <v>48</v>
      </c>
      <c r="I618" s="2" t="s">
        <v>417</v>
      </c>
      <c r="J618" s="3" t="s">
        <v>23</v>
      </c>
      <c r="M618" s="2">
        <f>IF(J618="1000+", 1000, (LEFT(J618,FIND("-",J618)-1)+RIGHT(J618,LEN(J618)-FIND("-",J618)))/2)</f>
        <v>60</v>
      </c>
      <c r="N618" s="2">
        <f>ROUND(E618 * 0.7+F618 * 0.2+G618 * 0.1,2)</f>
        <v>65.7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68</v>
      </c>
      <c r="P618" s="2">
        <f>E618 - O618</f>
        <v>-3</v>
      </c>
      <c r="Q618" s="2">
        <f>ROUND(
  SIGN(P618)*
  IF(ABS(P618)&lt;=10,ABS(P618)*0.5,
     IF(ABS(P618)&lt;=15,5+(ABS(P618)-10)*(1.67/5),
        6.67+(ABS(P618)-15)*0.333)),
2)</f>
        <v>-1.5</v>
      </c>
    </row>
    <row r="619" spans="1:17" ht="34.5" customHeight="1" x14ac:dyDescent="0.3">
      <c r="B619" s="2">
        <v>618</v>
      </c>
      <c r="C619" s="17">
        <f>ROUND(MAX(MIN(N619 + Q619, 100), 0), 2)</f>
        <v>64.099999999999994</v>
      </c>
      <c r="D619" s="2" t="s">
        <v>780</v>
      </c>
      <c r="E619" s="7">
        <v>65</v>
      </c>
      <c r="F619" s="2">
        <v>49</v>
      </c>
      <c r="G619" s="2">
        <v>38</v>
      </c>
      <c r="H619" s="2" t="s">
        <v>35</v>
      </c>
      <c r="I619" s="2" t="s">
        <v>36</v>
      </c>
      <c r="J619" s="3" t="s">
        <v>37</v>
      </c>
      <c r="M619" s="2">
        <f>IF(J619="1000+", 1000, (LEFT(J619,FIND("-",J619)-1)+RIGHT(J619,LEN(J619)-FIND("-",J619)))/2)</f>
        <v>15</v>
      </c>
      <c r="N619" s="2">
        <f>ROUND(E619 * 0.7+F619 * 0.2+G619 * 0.1,2)</f>
        <v>59.1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55</v>
      </c>
      <c r="P619" s="2">
        <f>E619 - O619</f>
        <v>10</v>
      </c>
      <c r="Q619" s="2">
        <f>ROUND(
  SIGN(P619)*
  IF(ABS(P619)&lt;=10,ABS(P619)*0.5,
     IF(ABS(P619)&lt;=15,5+(ABS(P619)-10)*(1.67/5),
        6.67+(ABS(P619)-15)*0.333)),
2)</f>
        <v>5</v>
      </c>
    </row>
    <row r="620" spans="1:17" ht="34.5" customHeight="1" x14ac:dyDescent="0.3">
      <c r="B620" s="2">
        <v>619</v>
      </c>
      <c r="C620" s="17">
        <f>ROUND(MAX(MIN(N620 + Q620, 100), 0), 2)</f>
        <v>64.099999999999994</v>
      </c>
      <c r="D620" s="2" t="s">
        <v>484</v>
      </c>
      <c r="E620" s="5">
        <v>72</v>
      </c>
      <c r="F620" s="2">
        <v>56</v>
      </c>
      <c r="G620" s="7">
        <v>65</v>
      </c>
      <c r="H620" s="2" t="s">
        <v>71</v>
      </c>
      <c r="I620" s="2" t="s">
        <v>218</v>
      </c>
      <c r="J620" s="3" t="s">
        <v>88</v>
      </c>
      <c r="K620" s="2" t="s">
        <v>485</v>
      </c>
      <c r="M620" s="2">
        <f>IF(J620="1000+", 1000, (LEFT(J620,FIND("-",J620)-1)+RIGHT(J620,LEN(J620)-FIND("-",J620)))/2)</f>
        <v>150</v>
      </c>
      <c r="N620" s="2">
        <f>ROUND(E620 * 0.7+F620 * 0.2+G620 * 0.1,2)</f>
        <v>68.099999999999994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80</v>
      </c>
      <c r="P620" s="2">
        <f>E620 - O620</f>
        <v>-8</v>
      </c>
      <c r="Q620" s="2">
        <f>ROUND(
  SIGN(P620)*
  IF(ABS(P620)&lt;=10,ABS(P620)*0.5,
     IF(ABS(P620)&lt;=15,5+(ABS(P620)-10)*(1.67/5),
        6.67+(ABS(P620)-15)*0.333)),
2)</f>
        <v>-4</v>
      </c>
    </row>
    <row r="621" spans="1:17" ht="34.5" customHeight="1" x14ac:dyDescent="0.3">
      <c r="B621" s="2">
        <v>620</v>
      </c>
      <c r="C621" s="17">
        <f>ROUND(MAX(MIN(N621 + Q621, 100), 0), 2)</f>
        <v>64.099999999999994</v>
      </c>
      <c r="D621" s="2" t="s">
        <v>1482</v>
      </c>
      <c r="E621" s="7">
        <v>68</v>
      </c>
      <c r="F621" s="7">
        <v>60</v>
      </c>
      <c r="G621" s="7">
        <v>65</v>
      </c>
      <c r="H621" s="2" t="s">
        <v>1483</v>
      </c>
      <c r="I621" s="2" t="s">
        <v>1484</v>
      </c>
      <c r="J621" s="3" t="s">
        <v>1485</v>
      </c>
      <c r="M621" s="2">
        <f>IF(J621="1000+", 1000, (LEFT(J621,FIND("-",J621)-1)+RIGHT(J621,LEN(J621)-FIND("-",J621)))/2)</f>
        <v>105</v>
      </c>
      <c r="N621" s="2">
        <f>ROUND(E621 * 0.7+F621 * 0.2+G621 * 0.1,2)</f>
        <v>66.099999999999994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72</v>
      </c>
      <c r="P621" s="2">
        <f>E621 - O621</f>
        <v>-4</v>
      </c>
      <c r="Q621" s="2">
        <f>ROUND(
  SIGN(P621)*
  IF(ABS(P621)&lt;=10,ABS(P621)*0.5,
     IF(ABS(P621)&lt;=15,5+(ABS(P621)-10)*(1.67/5),
        6.67+(ABS(P621)-15)*0.333)),
2)</f>
        <v>-2</v>
      </c>
    </row>
    <row r="622" spans="1:17" ht="34.5" customHeight="1" x14ac:dyDescent="0.3">
      <c r="B622" s="2">
        <v>621</v>
      </c>
      <c r="C622" s="17">
        <f>ROUND(MAX(MIN(N622 + Q622, 100), 0), 2)</f>
        <v>64.099999999999994</v>
      </c>
      <c r="D622" s="2" t="s">
        <v>569</v>
      </c>
      <c r="E622" s="5">
        <v>72</v>
      </c>
      <c r="F622" s="7">
        <v>62</v>
      </c>
      <c r="G622" s="5">
        <v>73</v>
      </c>
      <c r="H622" s="2" t="s">
        <v>71</v>
      </c>
      <c r="I622" s="2" t="s">
        <v>228</v>
      </c>
      <c r="J622" s="3" t="s">
        <v>14</v>
      </c>
      <c r="M622" s="2">
        <f>IF(J622="1000+", 1000, (LEFT(J622,FIND("-",J622)-1)+RIGHT(J622,LEN(J622)-FIND("-",J622)))/2)</f>
        <v>225</v>
      </c>
      <c r="N622" s="2">
        <f>ROUND(E622 * 0.7+F622 * 0.2+G622 * 0.1,2)</f>
        <v>70.099999999999994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85</v>
      </c>
      <c r="P622" s="2">
        <f>E622 - O622</f>
        <v>-13</v>
      </c>
      <c r="Q622" s="2">
        <f>ROUND(
  SIGN(P622)*
  IF(ABS(P622)&lt;=10,ABS(P622)*0.5,
     IF(ABS(P622)&lt;=15,5+(ABS(P622)-10)*(1.67/5),
        6.67+(ABS(P622)-15)*0.333)),
2)</f>
        <v>-6</v>
      </c>
    </row>
    <row r="623" spans="1:17" ht="34.5" customHeight="1" x14ac:dyDescent="0.3">
      <c r="A623" s="2">
        <v>2026</v>
      </c>
      <c r="B623" s="2">
        <v>622</v>
      </c>
      <c r="C623" s="17">
        <f>ROUND(MAX(MIN(N623 + Q623, 100), 0), 2)</f>
        <v>64.099999999999994</v>
      </c>
      <c r="D623" s="2" t="s">
        <v>1792</v>
      </c>
      <c r="E623" s="7">
        <v>67</v>
      </c>
      <c r="F623" s="7">
        <v>67</v>
      </c>
      <c r="G623" s="7">
        <v>63</v>
      </c>
      <c r="H623" s="2" t="s">
        <v>1257</v>
      </c>
      <c r="I623" s="2" t="s">
        <v>1259</v>
      </c>
      <c r="J623" s="3" t="s">
        <v>1279</v>
      </c>
      <c r="M623" s="2">
        <f>IF(J623="1000+", 1000, (LEFT(J623,FIND("-",J623)-1)+RIGHT(J623,LEN(J623)-FIND("-",J623)))/2)</f>
        <v>105</v>
      </c>
      <c r="N623" s="2">
        <f>ROUND(E623 * 0.7+F623 * 0.2+G623 * 0.1,2)</f>
        <v>66.599999999999994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72</v>
      </c>
      <c r="P623" s="2">
        <f>E623 - O623</f>
        <v>-5</v>
      </c>
      <c r="Q623" s="2">
        <f>ROUND(
  SIGN(P623)*
  IF(ABS(P623)&lt;=10,ABS(P623)*0.5,
     IF(ABS(P623)&lt;=15,5+(ABS(P623)-10)*(1.67/5),
        6.67+(ABS(P623)-15)*0.333)),
2)</f>
        <v>-2.5</v>
      </c>
    </row>
    <row r="624" spans="1:17" ht="34.5" customHeight="1" x14ac:dyDescent="0.3">
      <c r="B624" s="2">
        <v>623</v>
      </c>
      <c r="C624" s="17">
        <f>ROUND(MAX(MIN(N624 + Q624, 100), 0), 2)</f>
        <v>64</v>
      </c>
      <c r="D624" s="2" t="s">
        <v>684</v>
      </c>
      <c r="E624" s="5">
        <v>70</v>
      </c>
      <c r="F624" s="2">
        <v>50</v>
      </c>
      <c r="G624" s="2">
        <v>40</v>
      </c>
      <c r="H624" s="2" t="s">
        <v>58</v>
      </c>
      <c r="I624" s="2" t="s">
        <v>218</v>
      </c>
      <c r="J624" s="3" t="s">
        <v>23</v>
      </c>
      <c r="M624" s="2">
        <f>IF(J624="1000+", 1000, (LEFT(J624,FIND("-",J624)-1)+RIGHT(J624,LEN(J624)-FIND("-",J624)))/2)</f>
        <v>60</v>
      </c>
      <c r="N624" s="2">
        <f>ROUND(E624 * 0.7+F624 * 0.2+G624 * 0.1,2)</f>
        <v>63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68</v>
      </c>
      <c r="P624" s="2">
        <f>E624 - O624</f>
        <v>2</v>
      </c>
      <c r="Q624" s="2">
        <f>ROUND(
  SIGN(P624)*
  IF(ABS(P624)&lt;=10,ABS(P624)*0.5,
     IF(ABS(P624)&lt;=15,5+(ABS(P624)-10)*(1.67/5),
        6.67+(ABS(P624)-15)*0.333)),
2)</f>
        <v>1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64</v>
      </c>
      <c r="D625" s="11" t="s">
        <v>1311</v>
      </c>
      <c r="E625" s="7">
        <v>65</v>
      </c>
      <c r="F625" s="2">
        <v>50</v>
      </c>
      <c r="G625" s="2">
        <v>35</v>
      </c>
      <c r="H625" s="11" t="s">
        <v>1256</v>
      </c>
      <c r="I625" s="11" t="s">
        <v>1288</v>
      </c>
      <c r="J625" s="19" t="s">
        <v>1266</v>
      </c>
      <c r="M625" s="2">
        <f>IF(J625="1000+", 1000, (LEFT(J625,FIND("-",J625)-1)+RIGHT(J625,LEN(J625)-FIND("-",J625)))/2)</f>
        <v>15</v>
      </c>
      <c r="N625" s="2">
        <f>ROUND(E625 * 0.7+F625 * 0.2+G625 * 0.1,2)</f>
        <v>59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55</v>
      </c>
      <c r="P625" s="2">
        <f>E625 - O625</f>
        <v>10</v>
      </c>
      <c r="Q625" s="2">
        <f>ROUND(
  SIGN(P625)*
  IF(ABS(P625)&lt;=10,ABS(P625)*0.5,
     IF(ABS(P625)&lt;=15,5+(ABS(P625)-10)*(1.67/5),
        6.67+(ABS(P625)-15)*0.333)),
2)</f>
        <v>5</v>
      </c>
    </row>
    <row r="626" spans="1:17" ht="34.5" customHeight="1" x14ac:dyDescent="0.3">
      <c r="B626" s="2">
        <v>625</v>
      </c>
      <c r="C626" s="17">
        <f>ROUND(MAX(MIN(N626 + Q626, 100), 0), 2)</f>
        <v>64</v>
      </c>
      <c r="D626" s="2" t="s">
        <v>366</v>
      </c>
      <c r="E626" s="7">
        <v>65</v>
      </c>
      <c r="F626" s="7">
        <v>50</v>
      </c>
      <c r="G626" s="2">
        <v>35</v>
      </c>
      <c r="H626" s="2" t="s">
        <v>48</v>
      </c>
      <c r="I626" s="2" t="s">
        <v>36</v>
      </c>
      <c r="J626" s="3" t="s">
        <v>37</v>
      </c>
      <c r="K626" s="2" t="s">
        <v>1706</v>
      </c>
      <c r="M626" s="2">
        <f>IF(J626="1000+", 1000, (LEFT(J626,FIND("-",J626)-1)+RIGHT(J626,LEN(J626)-FIND("-",J626)))/2)</f>
        <v>15</v>
      </c>
      <c r="N626" s="2">
        <f>ROUND(E626 * 0.7+F626 * 0.2+G626 * 0.1,2)</f>
        <v>59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55</v>
      </c>
      <c r="P626" s="2">
        <f>E626 - O626</f>
        <v>10</v>
      </c>
      <c r="Q626" s="2">
        <f>ROUND(
  SIGN(P626)*
  IF(ABS(P626)&lt;=10,ABS(P626)*0.5,
     IF(ABS(P626)&lt;=15,5+(ABS(P626)-10)*(1.67/5),
        6.67+(ABS(P626)-15)*0.333)),
2)</f>
        <v>5</v>
      </c>
    </row>
    <row r="627" spans="1:17" ht="34.5" customHeight="1" x14ac:dyDescent="0.3">
      <c r="B627" s="2">
        <v>626</v>
      </c>
      <c r="C627" s="17">
        <f>ROUND(MAX(MIN(N627 + Q627, 100), 0), 2)</f>
        <v>64</v>
      </c>
      <c r="D627" s="2" t="s">
        <v>682</v>
      </c>
      <c r="E627" s="7">
        <v>69</v>
      </c>
      <c r="F627" s="2">
        <v>54</v>
      </c>
      <c r="G627" s="2">
        <v>54</v>
      </c>
      <c r="H627" s="2" t="s">
        <v>512</v>
      </c>
      <c r="I627" s="2" t="s">
        <v>72</v>
      </c>
      <c r="J627" s="3" t="s">
        <v>18</v>
      </c>
      <c r="M627" s="2">
        <f>IF(J627="1000+", 1000, (LEFT(J627,FIND("-",J627)-1)+RIGHT(J627,LEN(J627)-FIND("-",J627)))/2)</f>
        <v>75</v>
      </c>
      <c r="N627" s="2">
        <f>ROUND(E627 * 0.7+F627 * 0.2+G627 * 0.1,2)</f>
        <v>64.5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70</v>
      </c>
      <c r="P627" s="2">
        <f>E627 - O627</f>
        <v>-1</v>
      </c>
      <c r="Q627" s="2">
        <f>ROUND(
  SIGN(P627)*
  IF(ABS(P627)&lt;=10,ABS(P627)*0.5,
     IF(ABS(P627)&lt;=15,5+(ABS(P627)-10)*(1.67/5),
        6.67+(ABS(P627)-15)*0.333)),
2)</f>
        <v>-0.5</v>
      </c>
    </row>
    <row r="628" spans="1:17" ht="34.5" customHeight="1" x14ac:dyDescent="0.3">
      <c r="B628" s="2">
        <v>627</v>
      </c>
      <c r="C628" s="17">
        <f>ROUND(MAX(MIN(N628 + Q628, 100), 0), 2)</f>
        <v>64</v>
      </c>
      <c r="D628" s="2" t="s">
        <v>619</v>
      </c>
      <c r="E628" s="7">
        <v>66</v>
      </c>
      <c r="F628" s="2">
        <v>59</v>
      </c>
      <c r="G628" s="2">
        <v>55</v>
      </c>
      <c r="H628" s="2" t="s">
        <v>381</v>
      </c>
      <c r="I628" s="2" t="s">
        <v>36</v>
      </c>
      <c r="J628" s="3" t="s">
        <v>32</v>
      </c>
      <c r="M628" s="2">
        <f>IF(J628="1000+", 1000, (LEFT(J628,FIND("-",J628)-1)+RIGHT(J628,LEN(J628)-FIND("-",J628)))/2)</f>
        <v>45</v>
      </c>
      <c r="N628" s="2">
        <f>ROUND(E628 * 0.7+F628 * 0.2+G628 * 0.1,2)</f>
        <v>63.5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65</v>
      </c>
      <c r="P628" s="2">
        <f>E628 - O628</f>
        <v>1</v>
      </c>
      <c r="Q628" s="2">
        <f>ROUND(
  SIGN(P628)*
  IF(ABS(P628)&lt;=10,ABS(P628)*0.5,
     IF(ABS(P628)&lt;=15,5+(ABS(P628)-10)*(1.67/5),
        6.67+(ABS(P628)-15)*0.333)),
2)</f>
        <v>0.5</v>
      </c>
    </row>
    <row r="629" spans="1:17" ht="34.5" customHeight="1" x14ac:dyDescent="0.3">
      <c r="B629" s="2">
        <v>628</v>
      </c>
      <c r="C629" s="17">
        <f>ROUND(MAX(MIN(N629 + Q629, 100), 0), 2)</f>
        <v>64</v>
      </c>
      <c r="D629" s="2" t="s">
        <v>516</v>
      </c>
      <c r="E629" s="7">
        <v>67</v>
      </c>
      <c r="F629" s="7">
        <v>60</v>
      </c>
      <c r="G629" s="2">
        <v>56</v>
      </c>
      <c r="H629" s="2" t="s">
        <v>322</v>
      </c>
      <c r="I629" s="2" t="s">
        <v>325</v>
      </c>
      <c r="J629" s="3" t="s">
        <v>23</v>
      </c>
      <c r="K629" s="2" t="s">
        <v>517</v>
      </c>
      <c r="M629" s="2">
        <f>IF(J629="1000+", 1000, (LEFT(J629,FIND("-",J629)-1)+RIGHT(J629,LEN(J629)-FIND("-",J629)))/2)</f>
        <v>60</v>
      </c>
      <c r="N629" s="2">
        <f>ROUND(E629 * 0.7+F629 * 0.2+G629 * 0.1,2)</f>
        <v>64.5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68</v>
      </c>
      <c r="P629" s="2">
        <f>E629 - O629</f>
        <v>-1</v>
      </c>
      <c r="Q629" s="2">
        <f>ROUND(
  SIGN(P629)*
  IF(ABS(P629)&lt;=10,ABS(P629)*0.5,
     IF(ABS(P629)&lt;=15,5+(ABS(P629)-10)*(1.67/5),
        6.67+(ABS(P629)-15)*0.333)),
2)</f>
        <v>-0.5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64</v>
      </c>
      <c r="D630" s="2" t="s">
        <v>1585</v>
      </c>
      <c r="E630" s="7">
        <v>67</v>
      </c>
      <c r="F630" s="7">
        <v>63</v>
      </c>
      <c r="G630" s="5">
        <v>70</v>
      </c>
      <c r="H630" s="2" t="s">
        <v>1587</v>
      </c>
      <c r="I630" s="2" t="s">
        <v>1592</v>
      </c>
      <c r="J630" s="3" t="s">
        <v>1598</v>
      </c>
      <c r="M630" s="2">
        <f>IF(J630="1000+", 1000, (LEFT(J630,FIND("-",J630)-1)+RIGHT(J630,LEN(J630)-FIND("-",J630)))/2)</f>
        <v>105</v>
      </c>
      <c r="N630" s="2">
        <f>ROUND(E630 * 0.7+F630 * 0.2+G630 * 0.1,2)</f>
        <v>66.5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72</v>
      </c>
      <c r="P630" s="2">
        <f>E630 - O630</f>
        <v>-5</v>
      </c>
      <c r="Q630" s="2">
        <f>ROUND(
  SIGN(P630)*
  IF(ABS(P630)&lt;=10,ABS(P630)*0.5,
     IF(ABS(P630)&lt;=15,5+(ABS(P630)-10)*(1.67/5),
        6.67+(ABS(P630)-15)*0.333)),
2)</f>
        <v>-2.5</v>
      </c>
    </row>
    <row r="631" spans="1:17" ht="34.5" customHeight="1" x14ac:dyDescent="0.3">
      <c r="B631" s="2">
        <v>630</v>
      </c>
      <c r="C631" s="17">
        <f>ROUND(MAX(MIN(N631 + Q631, 100), 0), 2)</f>
        <v>64</v>
      </c>
      <c r="D631" s="2" t="s">
        <v>525</v>
      </c>
      <c r="E631" s="7">
        <v>66</v>
      </c>
      <c r="F631" s="5">
        <v>71</v>
      </c>
      <c r="G631" s="2">
        <v>56</v>
      </c>
      <c r="H631" s="2" t="s">
        <v>31</v>
      </c>
      <c r="I631" s="2" t="s">
        <v>218</v>
      </c>
      <c r="J631" s="3" t="s">
        <v>18</v>
      </c>
      <c r="M631" s="2">
        <f>IF(J631="1000+", 1000, (LEFT(J631,FIND("-",J631)-1)+RIGHT(J631,LEN(J631)-FIND("-",J631)))/2)</f>
        <v>75</v>
      </c>
      <c r="N631" s="2">
        <f>ROUND(E631 * 0.7+F631 * 0.2+G631 * 0.1,2)</f>
        <v>66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70</v>
      </c>
      <c r="P631" s="2">
        <f>E631 - O631</f>
        <v>-4</v>
      </c>
      <c r="Q631" s="2">
        <f>ROUND(
  SIGN(P631)*
  IF(ABS(P631)&lt;=10,ABS(P631)*0.5,
     IF(ABS(P631)&lt;=15,5+(ABS(P631)-10)*(1.67/5),
        6.67+(ABS(P631)-15)*0.333)),
2)</f>
        <v>-2</v>
      </c>
    </row>
    <row r="632" spans="1:17" ht="34.5" customHeight="1" x14ac:dyDescent="0.3">
      <c r="B632" s="2">
        <v>631</v>
      </c>
      <c r="C632" s="17">
        <f>ROUND(MAX(MIN(N632 + Q632, 100), 0), 2)</f>
        <v>63.97</v>
      </c>
      <c r="D632" s="2" t="s">
        <v>797</v>
      </c>
      <c r="E632" s="7">
        <v>62</v>
      </c>
      <c r="F632" s="2">
        <v>51</v>
      </c>
      <c r="G632" s="2">
        <v>47</v>
      </c>
      <c r="H632" s="2" t="s">
        <v>104</v>
      </c>
      <c r="I632" s="2" t="s">
        <v>36</v>
      </c>
      <c r="J632" s="3" t="s">
        <v>92</v>
      </c>
      <c r="M632" s="2">
        <f>IF(J632="1000+", 1000, (LEFT(J632,FIND("-",J632)-1)+RIGHT(J632,LEN(J632)-FIND("-",J632)))/2)</f>
        <v>12.5</v>
      </c>
      <c r="N632" s="2">
        <f>ROUND(E632 * 0.7+F632 * 0.2+G632 * 0.1,2)</f>
        <v>58.3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50</v>
      </c>
      <c r="P632" s="2">
        <f>E632 - O632</f>
        <v>12</v>
      </c>
      <c r="Q632" s="2">
        <f>ROUND(
  SIGN(P632)*
  IF(ABS(P632)&lt;=10,ABS(P632)*0.5,
     IF(ABS(P632)&lt;=15,5+(ABS(P632)-10)*(1.67/5),
        6.67+(ABS(P632)-15)*0.333)),
2)</f>
        <v>5.67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63.9</v>
      </c>
      <c r="D633" s="2" t="s">
        <v>722</v>
      </c>
      <c r="E633" s="7">
        <v>67</v>
      </c>
      <c r="F633" s="2">
        <v>50</v>
      </c>
      <c r="G633" s="2">
        <v>45</v>
      </c>
      <c r="H633" s="2" t="s">
        <v>48</v>
      </c>
      <c r="I633" s="2" t="s">
        <v>72</v>
      </c>
      <c r="J633" s="3" t="s">
        <v>146</v>
      </c>
      <c r="M633" s="2">
        <f>IF(J633="1000+", 1000, (LEFT(J633,FIND("-",J633)-1)+RIGHT(J633,LEN(J633)-FIND("-",J633)))/2)</f>
        <v>30</v>
      </c>
      <c r="N633" s="2">
        <f>ROUND(E633 * 0.7+F633 * 0.2+G633 * 0.1,2)</f>
        <v>61.4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62</v>
      </c>
      <c r="P633" s="2">
        <f>E633 - O633</f>
        <v>5</v>
      </c>
      <c r="Q633" s="2">
        <f>ROUND(
  SIGN(P633)*
  IF(ABS(P633)&lt;=10,ABS(P633)*0.5,
     IF(ABS(P633)&lt;=15,5+(ABS(P633)-10)*(1.67/5),
        6.67+(ABS(P633)-15)*0.333)),
2)</f>
        <v>2.5</v>
      </c>
    </row>
    <row r="634" spans="1:17" ht="34.5" customHeight="1" x14ac:dyDescent="0.3">
      <c r="A634" s="2">
        <v>2026</v>
      </c>
      <c r="B634" s="2">
        <v>633</v>
      </c>
      <c r="C634" s="17">
        <f>ROUND(MAX(MIN(N634 + Q634, 100), 0), 2)</f>
        <v>63.9</v>
      </c>
      <c r="D634" s="2" t="s">
        <v>1820</v>
      </c>
      <c r="E634" s="5">
        <v>76</v>
      </c>
      <c r="F634" s="2">
        <v>42</v>
      </c>
      <c r="G634" s="7">
        <v>68</v>
      </c>
      <c r="H634" s="2" t="s">
        <v>1256</v>
      </c>
      <c r="I634" s="2" t="s">
        <v>625</v>
      </c>
      <c r="J634" s="3" t="s">
        <v>1354</v>
      </c>
      <c r="K634" s="2" t="s">
        <v>1822</v>
      </c>
      <c r="M634" s="2">
        <f>IF(J634="1000+", 1000, (LEFT(J634,FIND("-",J634)-1)+RIGHT(J634,LEN(J634)-FIND("-",J634)))/2)</f>
        <v>225</v>
      </c>
      <c r="N634" s="2">
        <f>ROUND(E634 * 0.7+F634 * 0.2+G634 * 0.1,2)</f>
        <v>68.400000000000006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85</v>
      </c>
      <c r="P634" s="2">
        <f>E634 - O634</f>
        <v>-9</v>
      </c>
      <c r="Q634" s="2">
        <f>ROUND(
  SIGN(P634)*
  IF(ABS(P634)&lt;=10,ABS(P634)*0.5,
     IF(ABS(P634)&lt;=15,5+(ABS(P634)-10)*(1.67/5),
        6.67+(ABS(P634)-15)*0.333)),
2)</f>
        <v>-4.5</v>
      </c>
    </row>
    <row r="635" spans="1:17" ht="34.5" customHeight="1" x14ac:dyDescent="0.3">
      <c r="A635" s="2">
        <v>2026</v>
      </c>
      <c r="B635" s="2">
        <v>634</v>
      </c>
      <c r="C635" s="17">
        <f>ROUND(MAX(MIN(N635 + Q635, 100), 0), 2)</f>
        <v>63.9</v>
      </c>
      <c r="D635" s="2" t="s">
        <v>1784</v>
      </c>
      <c r="E635" s="7">
        <v>65</v>
      </c>
      <c r="F635" s="2">
        <v>54</v>
      </c>
      <c r="G635" s="2">
        <v>51</v>
      </c>
      <c r="H635" s="2" t="s">
        <v>1257</v>
      </c>
      <c r="I635" s="2" t="s">
        <v>1259</v>
      </c>
      <c r="J635" s="3" t="s">
        <v>1261</v>
      </c>
      <c r="M635" s="2">
        <f>IF(J635="1000+", 1000, (LEFT(J635,FIND("-",J635)-1)+RIGHT(J635,LEN(J635)-FIND("-",J635)))/2)</f>
        <v>20</v>
      </c>
      <c r="N635" s="2">
        <f>ROUND(E635 * 0.7+F635 * 0.2+G635 * 0.1,2)</f>
        <v>61.4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60</v>
      </c>
      <c r="P635" s="2">
        <f>E635 - O635</f>
        <v>5</v>
      </c>
      <c r="Q635" s="2">
        <f>ROUND(
  SIGN(P635)*
  IF(ABS(P635)&lt;=10,ABS(P635)*0.5,
     IF(ABS(P635)&lt;=15,5+(ABS(P635)-10)*(1.67/5),
        6.67+(ABS(P635)-15)*0.333)),
2)</f>
        <v>2.5</v>
      </c>
    </row>
    <row r="636" spans="1:17" ht="34.5" customHeight="1" x14ac:dyDescent="0.3">
      <c r="B636" s="2">
        <v>635</v>
      </c>
      <c r="C636" s="17">
        <f>ROUND(MAX(MIN(N636 + Q636, 100), 0), 2)</f>
        <v>63.9</v>
      </c>
      <c r="D636" s="2" t="s">
        <v>629</v>
      </c>
      <c r="E636" s="7">
        <v>66</v>
      </c>
      <c r="F636" s="7">
        <v>60</v>
      </c>
      <c r="G636" s="2">
        <v>52</v>
      </c>
      <c r="H636" s="2" t="s">
        <v>48</v>
      </c>
      <c r="I636" s="2" t="s">
        <v>36</v>
      </c>
      <c r="J636" s="3" t="s">
        <v>32</v>
      </c>
      <c r="M636" s="2">
        <f>IF(J636="1000+", 1000, (LEFT(J636,FIND("-",J636)-1)+RIGHT(J636,LEN(J636)-FIND("-",J636)))/2)</f>
        <v>45</v>
      </c>
      <c r="N636" s="2">
        <f>ROUND(E636 * 0.7+F636 * 0.2+G636 * 0.1,2)</f>
        <v>63.4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65</v>
      </c>
      <c r="P636" s="2">
        <f>E636 - O636</f>
        <v>1</v>
      </c>
      <c r="Q636" s="2">
        <f>ROUND(
  SIGN(P636)*
  IF(ABS(P636)&lt;=10,ABS(P636)*0.5,
     IF(ABS(P636)&lt;=15,5+(ABS(P636)-10)*(1.67/5),
        6.67+(ABS(P636)-15)*0.333)),
2)</f>
        <v>0.5</v>
      </c>
    </row>
    <row r="637" spans="1:17" ht="34.5" customHeight="1" x14ac:dyDescent="0.3">
      <c r="B637" s="2">
        <v>636</v>
      </c>
      <c r="C637" s="17">
        <f>ROUND(MAX(MIN(N637 + Q637, 100), 0), 2)</f>
        <v>63.9</v>
      </c>
      <c r="D637" s="2" t="s">
        <v>575</v>
      </c>
      <c r="E637" s="7">
        <v>68</v>
      </c>
      <c r="F637" s="7">
        <v>66</v>
      </c>
      <c r="G637" s="7">
        <v>66</v>
      </c>
      <c r="H637" s="2" t="s">
        <v>396</v>
      </c>
      <c r="I637" s="2" t="s">
        <v>576</v>
      </c>
      <c r="J637" s="3" t="s">
        <v>140</v>
      </c>
      <c r="M637" s="2">
        <f>IF(J637="1000+", 1000, (LEFT(J637,FIND("-",J637)-1)+RIGHT(J637,LEN(J637)-FIND("-",J637)))/2)</f>
        <v>115</v>
      </c>
      <c r="N637" s="2">
        <f>ROUND(E637 * 0.7+F637 * 0.2+G637 * 0.1,2)</f>
        <v>67.400000000000006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75</v>
      </c>
      <c r="P637" s="2">
        <f>E637 - O637</f>
        <v>-7</v>
      </c>
      <c r="Q637" s="2">
        <f>ROUND(
  SIGN(P637)*
  IF(ABS(P637)&lt;=10,ABS(P637)*0.5,
     IF(ABS(P637)&lt;=15,5+(ABS(P637)-10)*(1.67/5),
        6.67+(ABS(P637)-15)*0.333)),
2)</f>
        <v>-3.5</v>
      </c>
    </row>
    <row r="638" spans="1:17" ht="34.5" customHeight="1" x14ac:dyDescent="0.3">
      <c r="B638" s="2">
        <v>637</v>
      </c>
      <c r="C638" s="17">
        <f>ROUND(MAX(MIN(N638 + Q638, 100), 0), 2)</f>
        <v>63.9</v>
      </c>
      <c r="D638" s="2" t="s">
        <v>532</v>
      </c>
      <c r="E638" s="5">
        <v>71</v>
      </c>
      <c r="F638" s="5">
        <v>76</v>
      </c>
      <c r="G638" s="5">
        <v>70</v>
      </c>
      <c r="H638" s="2" t="s">
        <v>533</v>
      </c>
      <c r="I638" s="2" t="s">
        <v>177</v>
      </c>
      <c r="J638" s="3" t="s">
        <v>42</v>
      </c>
      <c r="M638" s="2">
        <f>IF(J638="1000+", 1000, (LEFT(J638,FIND("-",J638)-1)+RIGHT(J638,LEN(J638)-FIND("-",J638)))/2)</f>
        <v>600</v>
      </c>
      <c r="N638" s="2">
        <f>ROUND(E638 * 0.7+F638 * 0.2+G638 * 0.1,2)</f>
        <v>71.900000000000006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90</v>
      </c>
      <c r="P638" s="2">
        <f>E638 - O638</f>
        <v>-19</v>
      </c>
      <c r="Q638" s="2">
        <f>ROUND(
  SIGN(P638)*
  IF(ABS(P638)&lt;=10,ABS(P638)*0.5,
     IF(ABS(P638)&lt;=15,5+(ABS(P638)-10)*(1.67/5),
        6.67+(ABS(P638)-15)*0.333)),
2)</f>
        <v>-8</v>
      </c>
    </row>
    <row r="639" spans="1:17" ht="34.5" customHeight="1" x14ac:dyDescent="0.3">
      <c r="B639" s="2">
        <v>638</v>
      </c>
      <c r="C639" s="17">
        <f>ROUND(MAX(MIN(N639 + Q639, 100), 0), 2)</f>
        <v>63.9</v>
      </c>
      <c r="D639" s="2" t="s">
        <v>529</v>
      </c>
      <c r="E639" s="7">
        <v>66</v>
      </c>
      <c r="F639" s="5">
        <v>74</v>
      </c>
      <c r="G639" s="5">
        <v>74</v>
      </c>
      <c r="H639" s="2" t="s">
        <v>48</v>
      </c>
      <c r="I639" s="2" t="s">
        <v>106</v>
      </c>
      <c r="J639" s="3" t="s">
        <v>140</v>
      </c>
      <c r="M639" s="2">
        <f>IF(J639="1000+", 1000, (LEFT(J639,FIND("-",J639)-1)+RIGHT(J639,LEN(J639)-FIND("-",J639)))/2)</f>
        <v>115</v>
      </c>
      <c r="N639" s="2">
        <f>ROUND(E639 * 0.7+F639 * 0.2+G639 * 0.1,2)</f>
        <v>68.400000000000006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75</v>
      </c>
      <c r="P639" s="2">
        <f>E639 - O639</f>
        <v>-9</v>
      </c>
      <c r="Q639" s="2">
        <f>ROUND(
  SIGN(P639)*
  IF(ABS(P639)&lt;=10,ABS(P639)*0.5,
     IF(ABS(P639)&lt;=15,5+(ABS(P639)-10)*(1.67/5),
        6.67+(ABS(P639)-15)*0.333)),
2)</f>
        <v>-4.5</v>
      </c>
    </row>
    <row r="640" spans="1:17" ht="34.5" customHeight="1" x14ac:dyDescent="0.3">
      <c r="B640" s="2">
        <v>639</v>
      </c>
      <c r="C640" s="17">
        <f>ROUND(MAX(MIN(N640 + Q640, 100), 0), 2)</f>
        <v>63.8</v>
      </c>
      <c r="D640" s="2" t="s">
        <v>693</v>
      </c>
      <c r="E640" s="5">
        <v>70</v>
      </c>
      <c r="F640" s="2">
        <v>49</v>
      </c>
      <c r="G640" s="2">
        <v>40</v>
      </c>
      <c r="H640" s="2" t="s">
        <v>694</v>
      </c>
      <c r="I640" s="2" t="s">
        <v>72</v>
      </c>
      <c r="J640" s="3" t="s">
        <v>23</v>
      </c>
      <c r="M640" s="2">
        <f>IF(J640="1000+", 1000, (LEFT(J640,FIND("-",J640)-1)+RIGHT(J640,LEN(J640)-FIND("-",J640)))/2)</f>
        <v>60</v>
      </c>
      <c r="N640" s="2">
        <f>ROUND(E640 * 0.7+F640 * 0.2+G640 * 0.1,2)</f>
        <v>62.8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68</v>
      </c>
      <c r="P640" s="2">
        <f>E640 - O640</f>
        <v>2</v>
      </c>
      <c r="Q640" s="2">
        <f>ROUND(
  SIGN(P640)*
  IF(ABS(P640)&lt;=10,ABS(P640)*0.5,
     IF(ABS(P640)&lt;=15,5+(ABS(P640)-10)*(1.67/5),
        6.67+(ABS(P640)-15)*0.333)),
2)</f>
        <v>1</v>
      </c>
    </row>
    <row r="641" spans="1:17" ht="34.5" customHeight="1" x14ac:dyDescent="0.3">
      <c r="A641" s="2">
        <v>2026</v>
      </c>
      <c r="B641" s="2">
        <v>640</v>
      </c>
      <c r="C641" s="17">
        <f>ROUND(MAX(MIN(N641 + Q641, 100), 0), 2)</f>
        <v>63.8</v>
      </c>
      <c r="D641" s="11" t="s">
        <v>1330</v>
      </c>
      <c r="E641" s="7">
        <v>68</v>
      </c>
      <c r="F641" s="2">
        <v>57</v>
      </c>
      <c r="G641" s="2">
        <v>48</v>
      </c>
      <c r="H641" s="11" t="s">
        <v>1257</v>
      </c>
      <c r="I641" s="11" t="s">
        <v>1334</v>
      </c>
      <c r="J641" s="19" t="s">
        <v>1302</v>
      </c>
      <c r="M641" s="2">
        <f>IF(J641="1000+", 1000, (LEFT(J641,FIND("-",J641)-1)+RIGHT(J641,LEN(J641)-FIND("-",J641)))/2)</f>
        <v>60</v>
      </c>
      <c r="N641" s="2">
        <f>ROUND(E641 * 0.7+F641 * 0.2+G641 * 0.1,2)</f>
        <v>63.8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68</v>
      </c>
      <c r="P641" s="2">
        <f>E641 - O641</f>
        <v>0</v>
      </c>
      <c r="Q641" s="2">
        <f>ROUND(
  SIGN(P641)*
  IF(ABS(P641)&lt;=10,ABS(P641)*0.5,
     IF(ABS(P641)&lt;=15,5+(ABS(P641)-10)*(1.67/5),
        6.67+(ABS(P641)-15)*0.333)),
2)</f>
        <v>0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63.8</v>
      </c>
      <c r="D642" s="2" t="s">
        <v>1805</v>
      </c>
      <c r="E642" s="7">
        <v>65</v>
      </c>
      <c r="F642" s="2">
        <v>56</v>
      </c>
      <c r="G642" s="2">
        <v>46</v>
      </c>
      <c r="H642" s="2" t="s">
        <v>1256</v>
      </c>
      <c r="I642" s="2" t="s">
        <v>36</v>
      </c>
      <c r="J642" s="3" t="s">
        <v>1261</v>
      </c>
      <c r="M642" s="2">
        <f>IF(J642="1000+", 1000, (LEFT(J642,FIND("-",J642)-1)+RIGHT(J642,LEN(J642)-FIND("-",J642)))/2)</f>
        <v>20</v>
      </c>
      <c r="N642" s="2">
        <f>ROUND(E642 * 0.7+F642 * 0.2+G642 * 0.1,2)</f>
        <v>61.3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60</v>
      </c>
      <c r="P642" s="2">
        <f>E642 - O642</f>
        <v>5</v>
      </c>
      <c r="Q642" s="2">
        <f>ROUND(
  SIGN(P642)*
  IF(ABS(P642)&lt;=10,ABS(P642)*0.5,
     IF(ABS(P642)&lt;=15,5+(ABS(P642)-10)*(1.67/5),
        6.67+(ABS(P642)-15)*0.333)),
2)</f>
        <v>2.5</v>
      </c>
    </row>
    <row r="643" spans="1:17" ht="34.5" customHeight="1" x14ac:dyDescent="0.3">
      <c r="B643" s="2">
        <v>642</v>
      </c>
      <c r="C643" s="17">
        <f>ROUND(MAX(MIN(N643 + Q643, 100), 0), 2)</f>
        <v>63.8</v>
      </c>
      <c r="D643" s="2" t="s">
        <v>556</v>
      </c>
      <c r="E643" s="7">
        <v>67</v>
      </c>
      <c r="F643" s="7">
        <v>65</v>
      </c>
      <c r="G643" s="2">
        <v>54</v>
      </c>
      <c r="H643" s="2" t="s">
        <v>381</v>
      </c>
      <c r="I643" s="2" t="s">
        <v>382</v>
      </c>
      <c r="J643" s="3" t="s">
        <v>18</v>
      </c>
      <c r="M643" s="2">
        <f>IF(J643="1000+", 1000, (LEFT(J643,FIND("-",J643)-1)+RIGHT(J643,LEN(J643)-FIND("-",J643)))/2)</f>
        <v>75</v>
      </c>
      <c r="N643" s="2">
        <f>ROUND(E643 * 0.7+F643 * 0.2+G643 * 0.1,2)</f>
        <v>65.3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70</v>
      </c>
      <c r="P643" s="2">
        <f>E643 - O643</f>
        <v>-3</v>
      </c>
      <c r="Q643" s="2">
        <f>ROUND(
  SIGN(P643)*
  IF(ABS(P643)&lt;=10,ABS(P643)*0.5,
     IF(ABS(P643)&lt;=15,5+(ABS(P643)-10)*(1.67/5),
        6.67+(ABS(P643)-15)*0.333)),
2)</f>
        <v>-1.5</v>
      </c>
    </row>
    <row r="644" spans="1:17" ht="34.5" customHeight="1" x14ac:dyDescent="0.3">
      <c r="B644" s="2">
        <v>643</v>
      </c>
      <c r="C644" s="17">
        <f>ROUND(MAX(MIN(N644 + Q644, 100), 0), 2)</f>
        <v>63.8</v>
      </c>
      <c r="D644" s="2" t="s">
        <v>584</v>
      </c>
      <c r="E644" s="7">
        <v>67</v>
      </c>
      <c r="F644" s="7">
        <v>66</v>
      </c>
      <c r="G644" s="7">
        <v>62</v>
      </c>
      <c r="H644" s="2" t="s">
        <v>206</v>
      </c>
      <c r="I644" s="2" t="s">
        <v>154</v>
      </c>
      <c r="J644" s="3" t="s">
        <v>122</v>
      </c>
      <c r="M644" s="2">
        <f>IF(J644="1000+", 1000, (LEFT(J644,FIND("-",J644)-1)+RIGHT(J644,LEN(J644)-FIND("-",J644)))/2)</f>
        <v>105</v>
      </c>
      <c r="N644" s="2">
        <f>ROUND(E644 * 0.7+F644 * 0.2+G644 * 0.1,2)</f>
        <v>66.3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72</v>
      </c>
      <c r="P644" s="2">
        <f>E644 - O644</f>
        <v>-5</v>
      </c>
      <c r="Q644" s="2">
        <f>ROUND(
  SIGN(P644)*
  IF(ABS(P644)&lt;=10,ABS(P644)*0.5,
     IF(ABS(P644)&lt;=15,5+(ABS(P644)-10)*(1.67/5),
        6.67+(ABS(P644)-15)*0.333)),
2)</f>
        <v>-2.5</v>
      </c>
    </row>
    <row r="645" spans="1:17" ht="34.5" customHeight="1" x14ac:dyDescent="0.3">
      <c r="A645" s="2">
        <v>2026</v>
      </c>
      <c r="B645" s="2">
        <v>644</v>
      </c>
      <c r="C645" s="17">
        <f>ROUND(MAX(MIN(N645 + Q645, 100), 0), 2)</f>
        <v>63.8</v>
      </c>
      <c r="D645" s="11" t="s">
        <v>1252</v>
      </c>
      <c r="E645" s="7">
        <v>66</v>
      </c>
      <c r="F645" s="7">
        <v>65</v>
      </c>
      <c r="G645" s="7">
        <v>66</v>
      </c>
      <c r="H645" s="11" t="s">
        <v>1256</v>
      </c>
      <c r="I645" s="11" t="s">
        <v>1258</v>
      </c>
      <c r="J645" s="19" t="s">
        <v>1264</v>
      </c>
      <c r="M645" s="2">
        <f>IF(J645="1000+", 1000, (LEFT(J645,FIND("-",J645)-1)+RIGHT(J645,LEN(J645)-FIND("-",J645)))/2)</f>
        <v>75</v>
      </c>
      <c r="N645" s="2">
        <f>ROUND(E645 * 0.7+F645 * 0.2+G645 * 0.1,2)</f>
        <v>65.8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70</v>
      </c>
      <c r="P645" s="2">
        <f>E645 - O645</f>
        <v>-4</v>
      </c>
      <c r="Q645" s="2">
        <f>ROUND(
  SIGN(P645)*
  IF(ABS(P645)&lt;=10,ABS(P645)*0.5,
     IF(ABS(P645)&lt;=15,5+(ABS(P645)-10)*(1.67/5),
        6.67+(ABS(P645)-15)*0.333)),
2)</f>
        <v>-2</v>
      </c>
    </row>
    <row r="646" spans="1:17" ht="34.5" customHeight="1" x14ac:dyDescent="0.3">
      <c r="B646" s="2">
        <v>645</v>
      </c>
      <c r="C646" s="17">
        <f>ROUND(MAX(MIN(N646 + Q646, 100), 0), 2)</f>
        <v>63.7</v>
      </c>
      <c r="D646" s="2" t="s">
        <v>701</v>
      </c>
      <c r="E646" s="7">
        <v>66</v>
      </c>
      <c r="F646" s="2">
        <v>55</v>
      </c>
      <c r="G646" s="2">
        <v>45</v>
      </c>
      <c r="H646" s="2" t="s">
        <v>48</v>
      </c>
      <c r="I646" s="2" t="s">
        <v>72</v>
      </c>
      <c r="J646" s="3" t="s">
        <v>146</v>
      </c>
      <c r="M646" s="2">
        <f>IF(J646="1000+", 1000, (LEFT(J646,FIND("-",J646)-1)+RIGHT(J646,LEN(J646)-FIND("-",J646)))/2)</f>
        <v>30</v>
      </c>
      <c r="N646" s="2">
        <f>ROUND(E646 * 0.7+F646 * 0.2+G646 * 0.1,2)</f>
        <v>61.7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62</v>
      </c>
      <c r="P646" s="2">
        <f>E646 - O646</f>
        <v>4</v>
      </c>
      <c r="Q646" s="2">
        <f>ROUND(
  SIGN(P646)*
  IF(ABS(P646)&lt;=10,ABS(P646)*0.5,
     IF(ABS(P646)&lt;=15,5+(ABS(P646)-10)*(1.67/5),
        6.67+(ABS(P646)-15)*0.333)),
2)</f>
        <v>2</v>
      </c>
    </row>
    <row r="647" spans="1:17" ht="34.5" customHeight="1" x14ac:dyDescent="0.3">
      <c r="A647" s="2">
        <v>2026</v>
      </c>
      <c r="B647" s="2">
        <v>646</v>
      </c>
      <c r="C647" s="17">
        <f>ROUND(MAX(MIN(N647 + Q647, 100), 0), 2)</f>
        <v>63.7</v>
      </c>
      <c r="D647" s="2" t="s">
        <v>1636</v>
      </c>
      <c r="E647" s="7">
        <v>65</v>
      </c>
      <c r="F647" s="2">
        <v>57</v>
      </c>
      <c r="G647" s="2">
        <v>53</v>
      </c>
      <c r="H647" s="2" t="s">
        <v>1646</v>
      </c>
      <c r="I647" s="2" t="s">
        <v>1647</v>
      </c>
      <c r="J647" s="3" t="s">
        <v>1654</v>
      </c>
      <c r="M647" s="2">
        <f>IF(J647="1000+", 1000, (LEFT(J647,FIND("-",J647)-1)+RIGHT(J647,LEN(J647)-FIND("-",J647)))/2)</f>
        <v>30</v>
      </c>
      <c r="N647" s="2">
        <f>ROUND(E647 * 0.7+F647 * 0.2+G647 * 0.1,2)</f>
        <v>62.2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62</v>
      </c>
      <c r="P647" s="2">
        <f>E647 - O647</f>
        <v>3</v>
      </c>
      <c r="Q647" s="2">
        <f>ROUND(
  SIGN(P647)*
  IF(ABS(P647)&lt;=10,ABS(P647)*0.5,
     IF(ABS(P647)&lt;=15,5+(ABS(P647)-10)*(1.67/5),
        6.67+(ABS(P647)-15)*0.333)),
2)</f>
        <v>1.5</v>
      </c>
    </row>
    <row r="648" spans="1:17" ht="34.5" customHeight="1" x14ac:dyDescent="0.3">
      <c r="A648" s="2">
        <v>2026</v>
      </c>
      <c r="B648" s="2">
        <v>647</v>
      </c>
      <c r="C648" s="17">
        <f>ROUND(MAX(MIN(N648 + Q648, 100), 0), 2)</f>
        <v>63.7</v>
      </c>
      <c r="D648" s="2" t="s">
        <v>651</v>
      </c>
      <c r="E648" s="7">
        <v>64</v>
      </c>
      <c r="F648" s="7">
        <v>65</v>
      </c>
      <c r="G648" s="2">
        <v>49</v>
      </c>
      <c r="H648" s="2" t="s">
        <v>31</v>
      </c>
      <c r="I648" s="2" t="s">
        <v>72</v>
      </c>
      <c r="J648" s="3" t="s">
        <v>146</v>
      </c>
      <c r="M648" s="2">
        <f>IF(J648="1000+", 1000, (LEFT(J648,FIND("-",J648)-1)+RIGHT(J648,LEN(J648)-FIND("-",J648)))/2)</f>
        <v>30</v>
      </c>
      <c r="N648" s="2">
        <f>ROUND(E648 * 0.7+F648 * 0.2+G648 * 0.1,2)</f>
        <v>62.7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62</v>
      </c>
      <c r="P648" s="2">
        <f>E648 - O648</f>
        <v>2</v>
      </c>
      <c r="Q648" s="2">
        <f>ROUND(
  SIGN(P648)*
  IF(ABS(P648)&lt;=10,ABS(P648)*0.5,
     IF(ABS(P648)&lt;=15,5+(ABS(P648)-10)*(1.67/5),
        6.67+(ABS(P648)-15)*0.333)),
2)</f>
        <v>1</v>
      </c>
    </row>
    <row r="649" spans="1:17" ht="34.5" customHeight="1" x14ac:dyDescent="0.3">
      <c r="B649" s="2">
        <v>648</v>
      </c>
      <c r="C649" s="17">
        <f>ROUND(MAX(MIN(N649 + Q649, 100), 0), 2)</f>
        <v>63.7</v>
      </c>
      <c r="D649" s="2" t="s">
        <v>544</v>
      </c>
      <c r="E649" s="7">
        <v>65</v>
      </c>
      <c r="F649" s="5">
        <v>70</v>
      </c>
      <c r="G649" s="2">
        <v>57</v>
      </c>
      <c r="H649" s="2" t="s">
        <v>512</v>
      </c>
      <c r="I649" s="2" t="s">
        <v>72</v>
      </c>
      <c r="J649" s="3" t="s">
        <v>23</v>
      </c>
      <c r="M649" s="2">
        <f>IF(J649="1000+", 1000, (LEFT(J649,FIND("-",J649)-1)+RIGHT(J649,LEN(J649)-FIND("-",J649)))/2)</f>
        <v>60</v>
      </c>
      <c r="N649" s="2">
        <f>ROUND(E649 * 0.7+F649 * 0.2+G649 * 0.1,2)</f>
        <v>65.2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68</v>
      </c>
      <c r="P649" s="2">
        <f>E649 - O649</f>
        <v>-3</v>
      </c>
      <c r="Q649" s="2">
        <f>ROUND(
  SIGN(P649)*
  IF(ABS(P649)&lt;=10,ABS(P649)*0.5,
     IF(ABS(P649)&lt;=15,5+(ABS(P649)-10)*(1.67/5),
        6.67+(ABS(P649)-15)*0.333)),
2)</f>
        <v>-1.5</v>
      </c>
    </row>
    <row r="650" spans="1:17" ht="34.5" customHeight="1" x14ac:dyDescent="0.3">
      <c r="A650" s="2">
        <v>2026</v>
      </c>
      <c r="B650" s="2">
        <v>649</v>
      </c>
      <c r="C650" s="17">
        <f>ROUND(MAX(MIN(N650 + Q650, 100), 0), 2)</f>
        <v>63.6</v>
      </c>
      <c r="D650" s="2" t="s">
        <v>1459</v>
      </c>
      <c r="E650" s="7">
        <v>68</v>
      </c>
      <c r="F650" s="2">
        <v>50</v>
      </c>
      <c r="G650" s="2">
        <v>45</v>
      </c>
      <c r="H650" s="2" t="s">
        <v>1472</v>
      </c>
      <c r="I650" s="2" t="s">
        <v>1475</v>
      </c>
      <c r="J650" s="3" t="s">
        <v>1477</v>
      </c>
      <c r="M650" s="2">
        <f>IF(J650="1000+", 1000, (LEFT(J650,FIND("-",J650)-1)+RIGHT(J650,LEN(J650)-FIND("-",J650)))/2)</f>
        <v>45</v>
      </c>
      <c r="N650" s="2">
        <f>ROUND(E650 * 0.7+F650 * 0.2+G650 * 0.1,2)</f>
        <v>62.1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65</v>
      </c>
      <c r="P650" s="2">
        <f>E650 - O650</f>
        <v>3</v>
      </c>
      <c r="Q650" s="2">
        <f>ROUND(
  SIGN(P650)*
  IF(ABS(P650)&lt;=10,ABS(P650)*0.5,
     IF(ABS(P650)&lt;=15,5+(ABS(P650)-10)*(1.67/5),
        6.67+(ABS(P650)-15)*0.333)),
2)</f>
        <v>1.5</v>
      </c>
    </row>
    <row r="651" spans="1:17" ht="34.5" customHeight="1" x14ac:dyDescent="0.3">
      <c r="A651" s="2">
        <v>2026</v>
      </c>
      <c r="B651" s="2">
        <v>650</v>
      </c>
      <c r="C651" s="17">
        <f>ROUND(MAX(MIN(N651 + Q651, 100), 0), 2)</f>
        <v>63.6</v>
      </c>
      <c r="D651" s="2" t="s">
        <v>1603</v>
      </c>
      <c r="E651" s="7">
        <v>68</v>
      </c>
      <c r="F651" s="2">
        <v>55</v>
      </c>
      <c r="G651" s="2">
        <v>50</v>
      </c>
      <c r="H651" s="2" t="s">
        <v>1616</v>
      </c>
      <c r="I651" s="2" t="s">
        <v>1618</v>
      </c>
      <c r="J651" s="3" t="s">
        <v>1624</v>
      </c>
      <c r="M651" s="2">
        <f>IF(J651="1000+", 1000, (LEFT(J651,FIND("-",J651)-1)+RIGHT(J651,LEN(J651)-FIND("-",J651)))/2)</f>
        <v>60</v>
      </c>
      <c r="N651" s="2">
        <f>ROUND(E651 * 0.7+F651 * 0.2+G651 * 0.1,2)</f>
        <v>63.6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68</v>
      </c>
      <c r="P651" s="2">
        <f>E651 - O651</f>
        <v>0</v>
      </c>
      <c r="Q651" s="2">
        <f>ROUND(
  SIGN(P651)*
  IF(ABS(P651)&lt;=10,ABS(P651)*0.5,
     IF(ABS(P651)&lt;=15,5+(ABS(P651)-10)*(1.67/5),
        6.67+(ABS(P651)-15)*0.333)),
2)</f>
        <v>0</v>
      </c>
    </row>
    <row r="652" spans="1:17" ht="34.5" customHeight="1" x14ac:dyDescent="0.3">
      <c r="B652" s="2">
        <v>651</v>
      </c>
      <c r="C652" s="17">
        <f>ROUND(MAX(MIN(N652 + Q652, 100), 0), 2)</f>
        <v>63.6</v>
      </c>
      <c r="D652" s="2" t="s">
        <v>679</v>
      </c>
      <c r="E652" s="7">
        <v>65</v>
      </c>
      <c r="F652" s="2">
        <v>52</v>
      </c>
      <c r="G652" s="2">
        <v>52</v>
      </c>
      <c r="H652" s="2" t="s">
        <v>104</v>
      </c>
      <c r="I652" s="2" t="s">
        <v>36</v>
      </c>
      <c r="J652" s="3" t="s">
        <v>132</v>
      </c>
      <c r="M652" s="2">
        <f>IF(J652="1000+", 1000, (LEFT(J652,FIND("-",J652)-1)+RIGHT(J652,LEN(J652)-FIND("-",J652)))/2)</f>
        <v>20</v>
      </c>
      <c r="N652" s="2">
        <f>ROUND(E652 * 0.7+F652 * 0.2+G652 * 0.1,2)</f>
        <v>61.1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60</v>
      </c>
      <c r="P652" s="2">
        <f>E652 - O652</f>
        <v>5</v>
      </c>
      <c r="Q652" s="2">
        <f>ROUND(
  SIGN(P652)*
  IF(ABS(P652)&lt;=10,ABS(P652)*0.5,
     IF(ABS(P652)&lt;=15,5+(ABS(P652)-10)*(1.67/5),
        6.67+(ABS(P652)-15)*0.333)),
2)</f>
        <v>2.5</v>
      </c>
    </row>
    <row r="653" spans="1:17" ht="34.5" customHeight="1" x14ac:dyDescent="0.3">
      <c r="B653" s="2">
        <v>652</v>
      </c>
      <c r="C653" s="17">
        <f>ROUND(MAX(MIN(N653 + Q653, 100), 0), 2)</f>
        <v>63.6</v>
      </c>
      <c r="D653" s="2" t="s">
        <v>589</v>
      </c>
      <c r="E653" s="7">
        <v>68</v>
      </c>
      <c r="F653" s="7">
        <v>65</v>
      </c>
      <c r="G653" s="7">
        <v>65</v>
      </c>
      <c r="H653" s="2" t="s">
        <v>48</v>
      </c>
      <c r="I653" s="2" t="s">
        <v>41</v>
      </c>
      <c r="J653" s="3" t="s">
        <v>140</v>
      </c>
      <c r="M653" s="2">
        <f>IF(J653="1000+", 1000, (LEFT(J653,FIND("-",J653)-1)+RIGHT(J653,LEN(J653)-FIND("-",J653)))/2)</f>
        <v>115</v>
      </c>
      <c r="N653" s="2">
        <f>ROUND(E653 * 0.7+F653 * 0.2+G653 * 0.1,2)</f>
        <v>67.099999999999994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75</v>
      </c>
      <c r="P653" s="2">
        <f>E653 - O653</f>
        <v>-7</v>
      </c>
      <c r="Q653" s="2">
        <f>ROUND(
  SIGN(P653)*
  IF(ABS(P653)&lt;=10,ABS(P653)*0.5,
     IF(ABS(P653)&lt;=15,5+(ABS(P653)-10)*(1.67/5),
        6.67+(ABS(P653)-15)*0.333)),
2)</f>
        <v>-3.5</v>
      </c>
    </row>
    <row r="654" spans="1:17" ht="34.5" customHeight="1" x14ac:dyDescent="0.3">
      <c r="B654" s="2">
        <v>653</v>
      </c>
      <c r="C654" s="17">
        <f>ROUND(MAX(MIN(N654 + Q654, 100), 0), 2)</f>
        <v>63.6</v>
      </c>
      <c r="D654" s="2" t="s">
        <v>611</v>
      </c>
      <c r="E654" s="7">
        <v>66</v>
      </c>
      <c r="F654" s="7">
        <v>65</v>
      </c>
      <c r="G654" s="7">
        <v>64</v>
      </c>
      <c r="H654" s="2" t="s">
        <v>48</v>
      </c>
      <c r="I654" s="2" t="s">
        <v>41</v>
      </c>
      <c r="J654" s="3" t="s">
        <v>18</v>
      </c>
      <c r="M654" s="2">
        <f>IF(J654="1000+", 1000, (LEFT(J654,FIND("-",J654)-1)+RIGHT(J654,LEN(J654)-FIND("-",J654)))/2)</f>
        <v>75</v>
      </c>
      <c r="N654" s="2">
        <f>ROUND(E654 * 0.7+F654 * 0.2+G654 * 0.1,2)</f>
        <v>65.599999999999994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70</v>
      </c>
      <c r="P654" s="2">
        <f>E654 - O654</f>
        <v>-4</v>
      </c>
      <c r="Q654" s="2">
        <f>ROUND(
  SIGN(P654)*
  IF(ABS(P654)&lt;=10,ABS(P654)*0.5,
     IF(ABS(P654)&lt;=15,5+(ABS(P654)-10)*(1.67/5),
        6.67+(ABS(P654)-15)*0.333)),
2)</f>
        <v>-2</v>
      </c>
    </row>
    <row r="655" spans="1:17" ht="34.5" customHeight="1" x14ac:dyDescent="0.3">
      <c r="B655" s="2">
        <v>654</v>
      </c>
      <c r="C655" s="17">
        <f>ROUND(MAX(MIN(N655 + Q655, 100), 0), 2)</f>
        <v>63.5</v>
      </c>
      <c r="D655" s="2" t="s">
        <v>790</v>
      </c>
      <c r="E655" s="5">
        <v>72</v>
      </c>
      <c r="F655" s="2">
        <v>47</v>
      </c>
      <c r="G655" s="2">
        <v>37</v>
      </c>
      <c r="H655" s="2" t="s">
        <v>171</v>
      </c>
      <c r="I655" s="2" t="s">
        <v>41</v>
      </c>
      <c r="J655" s="3" t="s">
        <v>122</v>
      </c>
      <c r="M655" s="2">
        <f>IF(J655="1000+", 1000, (LEFT(J655,FIND("-",J655)-1)+RIGHT(J655,LEN(J655)-FIND("-",J655)))/2)</f>
        <v>105</v>
      </c>
      <c r="N655" s="2">
        <f>ROUND(E655 * 0.7+F655 * 0.2+G655 * 0.1,2)</f>
        <v>63.5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72</v>
      </c>
      <c r="P655" s="2">
        <f>E655 - O655</f>
        <v>0</v>
      </c>
      <c r="Q655" s="2">
        <f>ROUND(
  SIGN(P655)*
  IF(ABS(P655)&lt;=10,ABS(P655)*0.5,
     IF(ABS(P655)&lt;=15,5+(ABS(P655)-10)*(1.67/5),
        6.67+(ABS(P655)-15)*0.333)),
2)</f>
        <v>0</v>
      </c>
    </row>
    <row r="656" spans="1:17" ht="34.5" customHeight="1" x14ac:dyDescent="0.3">
      <c r="A656" s="2">
        <v>2026</v>
      </c>
      <c r="B656" s="2">
        <v>655</v>
      </c>
      <c r="C656" s="17">
        <f>ROUND(MAX(MIN(N656 + Q656, 100), 0), 2)</f>
        <v>63.5</v>
      </c>
      <c r="D656" s="2" t="s">
        <v>1602</v>
      </c>
      <c r="E656" s="7">
        <v>67</v>
      </c>
      <c r="F656" s="2">
        <v>54</v>
      </c>
      <c r="G656" s="2">
        <v>23</v>
      </c>
      <c r="H656" s="2" t="s">
        <v>1615</v>
      </c>
      <c r="I656" s="2" t="s">
        <v>36</v>
      </c>
      <c r="J656" s="3" t="s">
        <v>1623</v>
      </c>
      <c r="M656" s="2">
        <f>IF(J656="1000+", 1000, (LEFT(J656,FIND("-",J656)-1)+RIGHT(J656,LEN(J656)-FIND("-",J656)))/2)</f>
        <v>20</v>
      </c>
      <c r="N656" s="2">
        <f>ROUND(E656 * 0.7+F656 * 0.2+G656 * 0.1,2)</f>
        <v>60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60</v>
      </c>
      <c r="P656" s="2">
        <f>E656 - O656</f>
        <v>7</v>
      </c>
      <c r="Q656" s="2">
        <f>ROUND(
  SIGN(P656)*
  IF(ABS(P656)&lt;=10,ABS(P656)*0.5,
     IF(ABS(P656)&lt;=15,5+(ABS(P656)-10)*(1.67/5),
        6.67+(ABS(P656)-15)*0.333)),
2)</f>
        <v>3.5</v>
      </c>
    </row>
    <row r="657" spans="1:17" ht="34.5" customHeight="1" x14ac:dyDescent="0.3">
      <c r="B657" s="2">
        <v>656</v>
      </c>
      <c r="C657" s="17">
        <f>ROUND(MAX(MIN(N657 + Q657, 100), 0), 2)</f>
        <v>63.5</v>
      </c>
      <c r="D657" s="2" t="s">
        <v>683</v>
      </c>
      <c r="E657" s="7">
        <v>67</v>
      </c>
      <c r="F657" s="2">
        <v>58</v>
      </c>
      <c r="G657" s="2">
        <v>40</v>
      </c>
      <c r="H657" s="2" t="s">
        <v>48</v>
      </c>
      <c r="I657" s="2" t="s">
        <v>36</v>
      </c>
      <c r="J657" s="3" t="s">
        <v>32</v>
      </c>
      <c r="M657" s="2">
        <f>IF(J657="1000+", 1000, (LEFT(J657,FIND("-",J657)-1)+RIGHT(J657,LEN(J657)-FIND("-",J657)))/2)</f>
        <v>45</v>
      </c>
      <c r="N657" s="2">
        <f>ROUND(E657 * 0.7+F657 * 0.2+G657 * 0.1,2)</f>
        <v>62.5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65</v>
      </c>
      <c r="P657" s="2">
        <f>E657 - O657</f>
        <v>2</v>
      </c>
      <c r="Q657" s="2">
        <f>ROUND(
  SIGN(P657)*
  IF(ABS(P657)&lt;=10,ABS(P657)*0.5,
     IF(ABS(P657)&lt;=15,5+(ABS(P657)-10)*(1.67/5),
        6.67+(ABS(P657)-15)*0.333)),
2)</f>
        <v>1</v>
      </c>
    </row>
    <row r="658" spans="1:17" ht="34.5" customHeight="1" x14ac:dyDescent="0.3">
      <c r="A658" s="2">
        <v>2026</v>
      </c>
      <c r="B658" s="2">
        <v>657</v>
      </c>
      <c r="C658" s="17">
        <f>ROUND(MAX(MIN(N658 + Q658, 100), 0), 2)</f>
        <v>63.5</v>
      </c>
      <c r="D658" s="2" t="s">
        <v>1503</v>
      </c>
      <c r="E658" s="7">
        <v>66</v>
      </c>
      <c r="F658" s="2">
        <v>55</v>
      </c>
      <c r="G658" s="2">
        <v>58</v>
      </c>
      <c r="H658" s="2" t="s">
        <v>1487</v>
      </c>
      <c r="I658" s="2" t="s">
        <v>1523</v>
      </c>
      <c r="J658" s="3" t="s">
        <v>1536</v>
      </c>
      <c r="M658" s="2">
        <f>IF(J658="1000+", 1000, (LEFT(J658,FIND("-",J658)-1)+RIGHT(J658,LEN(J658)-FIND("-",J658)))/2)</f>
        <v>45</v>
      </c>
      <c r="N658" s="2">
        <f>ROUND(E658 * 0.7+F658 * 0.2+G658 * 0.1,2)</f>
        <v>63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65</v>
      </c>
      <c r="P658" s="2">
        <f>E658 - O658</f>
        <v>1</v>
      </c>
      <c r="Q658" s="2">
        <f>ROUND(
  SIGN(P658)*
  IF(ABS(P658)&lt;=10,ABS(P658)*0.5,
     IF(ABS(P658)&lt;=15,5+(ABS(P658)-10)*(1.67/5),
        6.67+(ABS(P658)-15)*0.333)),
2)</f>
        <v>0.5</v>
      </c>
    </row>
    <row r="659" spans="1:17" ht="34.5" customHeight="1" x14ac:dyDescent="0.3">
      <c r="A659" s="2">
        <v>2026</v>
      </c>
      <c r="B659" s="2">
        <v>658</v>
      </c>
      <c r="C659" s="17">
        <f>ROUND(MAX(MIN(N659 + Q659, 100), 0), 2)</f>
        <v>63.5</v>
      </c>
      <c r="D659" s="11" t="s">
        <v>1341</v>
      </c>
      <c r="E659" s="7">
        <v>66</v>
      </c>
      <c r="F659" s="7">
        <v>63</v>
      </c>
      <c r="G659" s="7">
        <v>67</v>
      </c>
      <c r="H659" s="11" t="s">
        <v>1256</v>
      </c>
      <c r="I659" s="11" t="s">
        <v>1258</v>
      </c>
      <c r="J659" s="19" t="s">
        <v>1264</v>
      </c>
      <c r="M659" s="2">
        <f>IF(J659="1000+", 1000, (LEFT(J659,FIND("-",J659)-1)+RIGHT(J659,LEN(J659)-FIND("-",J659)))/2)</f>
        <v>75</v>
      </c>
      <c r="N659" s="2">
        <f>ROUND(E659 * 0.7+F659 * 0.2+G659 * 0.1,2)</f>
        <v>65.5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70</v>
      </c>
      <c r="P659" s="2">
        <f>E659 - O659</f>
        <v>-4</v>
      </c>
      <c r="Q659" s="2">
        <f>ROUND(
  SIGN(P659)*
  IF(ABS(P659)&lt;=10,ABS(P659)*0.5,
     IF(ABS(P659)&lt;=15,5+(ABS(P659)-10)*(1.67/5),
        6.67+(ABS(P659)-15)*0.333)),
2)</f>
        <v>-2</v>
      </c>
    </row>
    <row r="660" spans="1:17" ht="34.5" customHeight="1" x14ac:dyDescent="0.3">
      <c r="B660" s="2">
        <v>659</v>
      </c>
      <c r="C660" s="17">
        <f>ROUND(MAX(MIN(N660 + Q660, 100), 0), 2)</f>
        <v>63.4</v>
      </c>
      <c r="D660" s="2" t="s">
        <v>739</v>
      </c>
      <c r="E660" s="7">
        <v>69</v>
      </c>
      <c r="F660" s="2">
        <v>40</v>
      </c>
      <c r="G660" s="2">
        <v>51</v>
      </c>
      <c r="H660" s="2" t="s">
        <v>416</v>
      </c>
      <c r="I660" s="2" t="s">
        <v>36</v>
      </c>
      <c r="J660" s="3" t="s">
        <v>32</v>
      </c>
      <c r="M660" s="2">
        <f>IF(J660="1000+", 1000, (LEFT(J660,FIND("-",J660)-1)+RIGHT(J660,LEN(J660)-FIND("-",J660)))/2)</f>
        <v>45</v>
      </c>
      <c r="N660" s="2">
        <f>ROUND(E660 * 0.7+F660 * 0.2+G660 * 0.1,2)</f>
        <v>61.4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65</v>
      </c>
      <c r="P660" s="2">
        <f>E660 - O660</f>
        <v>4</v>
      </c>
      <c r="Q660" s="2">
        <f>ROUND(
  SIGN(P660)*
  IF(ABS(P660)&lt;=10,ABS(P660)*0.5,
     IF(ABS(P660)&lt;=15,5+(ABS(P660)-10)*(1.67/5),
        6.67+(ABS(P660)-15)*0.333)),
2)</f>
        <v>2</v>
      </c>
    </row>
    <row r="661" spans="1:17" ht="34.5" customHeight="1" x14ac:dyDescent="0.3">
      <c r="B661" s="2">
        <v>660</v>
      </c>
      <c r="C661" s="17">
        <f>ROUND(MAX(MIN(N661 + Q661, 100), 0), 2)</f>
        <v>63.4</v>
      </c>
      <c r="D661" s="2" t="s">
        <v>628</v>
      </c>
      <c r="E661" s="7">
        <v>65</v>
      </c>
      <c r="F661" s="7">
        <v>63</v>
      </c>
      <c r="G661" s="7">
        <v>53</v>
      </c>
      <c r="H661" s="2" t="s">
        <v>64</v>
      </c>
      <c r="I661" s="2" t="s">
        <v>36</v>
      </c>
      <c r="J661" s="3" t="s">
        <v>32</v>
      </c>
      <c r="M661" s="2">
        <f>IF(J661="1000+", 1000, (LEFT(J661,FIND("-",J661)-1)+RIGHT(J661,LEN(J661)-FIND("-",J661)))/2)</f>
        <v>45</v>
      </c>
      <c r="N661" s="2">
        <f>ROUND(E661 * 0.7+F661 * 0.2+G661 * 0.1,2)</f>
        <v>63.4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65</v>
      </c>
      <c r="P661" s="2">
        <f>E661 - O661</f>
        <v>0</v>
      </c>
      <c r="Q661" s="2">
        <f>ROUND(
  SIGN(P661)*
  IF(ABS(P661)&lt;=10,ABS(P661)*0.5,
     IF(ABS(P661)&lt;=15,5+(ABS(P661)-10)*(1.67/5),
        6.67+(ABS(P661)-15)*0.333)),
2)</f>
        <v>0</v>
      </c>
    </row>
    <row r="662" spans="1:17" ht="34.5" customHeight="1" x14ac:dyDescent="0.3">
      <c r="B662" s="2">
        <v>661</v>
      </c>
      <c r="C662" s="17">
        <f>ROUND(MAX(MIN(N662 + Q662, 100), 0), 2)</f>
        <v>63.4</v>
      </c>
      <c r="D662" s="2" t="s">
        <v>633</v>
      </c>
      <c r="E662" s="7">
        <v>65</v>
      </c>
      <c r="F662" s="7">
        <v>63</v>
      </c>
      <c r="G662" s="2">
        <v>53</v>
      </c>
      <c r="H662" s="2" t="s">
        <v>322</v>
      </c>
      <c r="I662" s="2" t="s">
        <v>201</v>
      </c>
      <c r="J662" s="3" t="s">
        <v>32</v>
      </c>
      <c r="M662" s="2">
        <f>IF(J662="1000+", 1000, (LEFT(J662,FIND("-",J662)-1)+RIGHT(J662,LEN(J662)-FIND("-",J662)))/2)</f>
        <v>45</v>
      </c>
      <c r="N662" s="2">
        <f>ROUND(E662 * 0.7+F662 * 0.2+G662 * 0.1,2)</f>
        <v>63.4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65</v>
      </c>
      <c r="P662" s="2">
        <f>E662 - O662</f>
        <v>0</v>
      </c>
      <c r="Q662" s="2">
        <f>ROUND(
  SIGN(P662)*
  IF(ABS(P662)&lt;=10,ABS(P662)*0.5,
     IF(ABS(P662)&lt;=15,5+(ABS(P662)-10)*(1.67/5),
        6.67+(ABS(P662)-15)*0.333)),
2)</f>
        <v>0</v>
      </c>
    </row>
    <row r="663" spans="1:17" ht="34.5" customHeight="1" x14ac:dyDescent="0.3">
      <c r="A663" s="2">
        <v>2026</v>
      </c>
      <c r="B663" s="2">
        <v>662</v>
      </c>
      <c r="C663" s="17">
        <f>ROUND(MAX(MIN(N663 + Q663, 100), 0), 2)</f>
        <v>63.4</v>
      </c>
      <c r="D663" s="2" t="s">
        <v>1514</v>
      </c>
      <c r="E663" s="7">
        <v>66</v>
      </c>
      <c r="F663" s="7">
        <v>65</v>
      </c>
      <c r="G663" s="5">
        <v>72</v>
      </c>
      <c r="H663" s="2" t="s">
        <v>1483</v>
      </c>
      <c r="I663" s="2" t="s">
        <v>1484</v>
      </c>
      <c r="J663" s="3" t="s">
        <v>1485</v>
      </c>
      <c r="M663" s="2">
        <f>IF(J663="1000+", 1000, (LEFT(J663,FIND("-",J663)-1)+RIGHT(J663,LEN(J663)-FIND("-",J663)))/2)</f>
        <v>105</v>
      </c>
      <c r="N663" s="2">
        <f>ROUND(E663 * 0.7+F663 * 0.2+G663 * 0.1,2)</f>
        <v>66.400000000000006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72</v>
      </c>
      <c r="P663" s="2">
        <f>E663 - O663</f>
        <v>-6</v>
      </c>
      <c r="Q663" s="2">
        <f>ROUND(
  SIGN(P663)*
  IF(ABS(P663)&lt;=10,ABS(P663)*0.5,
     IF(ABS(P663)&lt;=15,5+(ABS(P663)-10)*(1.67/5),
        6.67+(ABS(P663)-15)*0.333)),
2)</f>
        <v>-3</v>
      </c>
    </row>
    <row r="664" spans="1:17" ht="34.5" customHeight="1" x14ac:dyDescent="0.3">
      <c r="A664" s="2">
        <v>2026</v>
      </c>
      <c r="B664" s="2">
        <v>663</v>
      </c>
      <c r="C664" s="17">
        <f>ROUND(MAX(MIN(N664 + Q664, 100), 0), 2)</f>
        <v>63.4</v>
      </c>
      <c r="D664" s="2" t="s">
        <v>1583</v>
      </c>
      <c r="E664" s="7">
        <v>62</v>
      </c>
      <c r="F664" s="5">
        <v>73</v>
      </c>
      <c r="G664" s="2">
        <v>54</v>
      </c>
      <c r="H664" s="2" t="s">
        <v>1587</v>
      </c>
      <c r="I664" s="2" t="s">
        <v>36</v>
      </c>
      <c r="J664" s="3" t="s">
        <v>1593</v>
      </c>
      <c r="M664" s="2">
        <f>IF(J664="1000+", 1000, (LEFT(J664,FIND("-",J664)-1)+RIGHT(J664,LEN(J664)-FIND("-",J664)))/2)</f>
        <v>30</v>
      </c>
      <c r="N664" s="2">
        <f>ROUND(E664 * 0.7+F664 * 0.2+G664 * 0.1,2)</f>
        <v>63.4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62</v>
      </c>
      <c r="P664" s="2">
        <f>E664 - O664</f>
        <v>0</v>
      </c>
      <c r="Q664" s="2">
        <f>ROUND(
  SIGN(P664)*
  IF(ABS(P664)&lt;=10,ABS(P664)*0.5,
     IF(ABS(P664)&lt;=15,5+(ABS(P664)-10)*(1.67/5),
        6.67+(ABS(P664)-15)*0.333)),
2)</f>
        <v>0</v>
      </c>
    </row>
    <row r="665" spans="1:17" ht="34.5" customHeight="1" x14ac:dyDescent="0.3">
      <c r="B665" s="2">
        <v>664</v>
      </c>
      <c r="C665" s="17">
        <f>ROUND(MAX(MIN(N665 + Q665, 100), 0), 2)</f>
        <v>63.37</v>
      </c>
      <c r="D665" s="2" t="s">
        <v>769</v>
      </c>
      <c r="E665" s="7">
        <v>62</v>
      </c>
      <c r="F665" s="2">
        <v>50</v>
      </c>
      <c r="G665" s="2">
        <v>43</v>
      </c>
      <c r="H665" s="2" t="s">
        <v>31</v>
      </c>
      <c r="I665" s="2" t="s">
        <v>447</v>
      </c>
      <c r="J665" s="3" t="s">
        <v>92</v>
      </c>
      <c r="K665" s="2" t="s">
        <v>770</v>
      </c>
      <c r="M665" s="2">
        <f>IF(J665="1000+", 1000, (LEFT(J665,FIND("-",J665)-1)+RIGHT(J665,LEN(J665)-FIND("-",J665)))/2)</f>
        <v>12.5</v>
      </c>
      <c r="N665" s="2">
        <f>ROUND(E665 * 0.7+F665 * 0.2+G665 * 0.1,2)</f>
        <v>57.7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50</v>
      </c>
      <c r="P665" s="2">
        <f>E665 - O665</f>
        <v>12</v>
      </c>
      <c r="Q665" s="2">
        <f>ROUND(
  SIGN(P665)*
  IF(ABS(P665)&lt;=10,ABS(P665)*0.5,
     IF(ABS(P665)&lt;=15,5+(ABS(P665)-10)*(1.67/5),
        6.67+(ABS(P665)-15)*0.333)),
2)</f>
        <v>5.67</v>
      </c>
    </row>
    <row r="666" spans="1:17" ht="34.5" customHeight="1" x14ac:dyDescent="0.3">
      <c r="B666" s="2">
        <v>665</v>
      </c>
      <c r="C666" s="17">
        <f>ROUND(MAX(MIN(N666 + Q666, 100), 0), 2)</f>
        <v>63.33</v>
      </c>
      <c r="D666" s="2" t="s">
        <v>620</v>
      </c>
      <c r="E666" s="7">
        <v>69</v>
      </c>
      <c r="F666" s="6">
        <v>84</v>
      </c>
      <c r="G666" s="7">
        <v>69</v>
      </c>
      <c r="H666" s="2" t="s">
        <v>48</v>
      </c>
      <c r="I666" s="2" t="s">
        <v>49</v>
      </c>
      <c r="J666" s="3" t="s">
        <v>42</v>
      </c>
      <c r="M666" s="2">
        <f>IF(J666="1000+", 1000, (LEFT(J666,FIND("-",J666)-1)+RIGHT(J666,LEN(J666)-FIND("-",J666)))/2)</f>
        <v>600</v>
      </c>
      <c r="N666" s="2">
        <f>ROUND(E666 * 0.7+F666 * 0.2+G666 * 0.1,2)</f>
        <v>72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90</v>
      </c>
      <c r="P666" s="2">
        <f>E666 - O666</f>
        <v>-21</v>
      </c>
      <c r="Q666" s="2">
        <f>ROUND(
  SIGN(P666)*
  IF(ABS(P666)&lt;=10,ABS(P666)*0.5,
     IF(ABS(P666)&lt;=15,5+(ABS(P666)-10)*(1.67/5),
        6.67+(ABS(P666)-15)*0.333)),
2)</f>
        <v>-8.67</v>
      </c>
    </row>
    <row r="667" spans="1:17" ht="34.5" customHeight="1" x14ac:dyDescent="0.3">
      <c r="A667" s="2">
        <v>2026</v>
      </c>
      <c r="B667" s="2">
        <v>666</v>
      </c>
      <c r="C667" s="17">
        <f>ROUND(MAX(MIN(N667 + Q667, 100), 0), 2)</f>
        <v>63.3</v>
      </c>
      <c r="D667" s="11" t="s">
        <v>1297</v>
      </c>
      <c r="E667" s="7">
        <v>68</v>
      </c>
      <c r="F667" s="2">
        <v>52</v>
      </c>
      <c r="G667" s="2">
        <v>53</v>
      </c>
      <c r="H667" s="11" t="s">
        <v>1299</v>
      </c>
      <c r="I667" s="11" t="s">
        <v>1300</v>
      </c>
      <c r="J667" s="19" t="s">
        <v>1302</v>
      </c>
      <c r="M667" s="2">
        <f>IF(J667="1000+", 1000, (LEFT(J667,FIND("-",J667)-1)+RIGHT(J667,LEN(J667)-FIND("-",J667)))/2)</f>
        <v>60</v>
      </c>
      <c r="N667" s="2">
        <f>ROUND(E667 * 0.7+F667 * 0.2+G667 * 0.1,2)</f>
        <v>63.3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68</v>
      </c>
      <c r="P667" s="2">
        <f>E667 - O667</f>
        <v>0</v>
      </c>
      <c r="Q667" s="2">
        <f>ROUND(
  SIGN(P667)*
  IF(ABS(P667)&lt;=10,ABS(P667)*0.5,
     IF(ABS(P667)&lt;=15,5+(ABS(P667)-10)*(1.67/5),
        6.67+(ABS(P667)-15)*0.333)),
2)</f>
        <v>0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63.3</v>
      </c>
      <c r="D668" s="2" t="s">
        <v>644</v>
      </c>
      <c r="E668" s="7">
        <v>69</v>
      </c>
      <c r="F668" s="7">
        <v>62</v>
      </c>
      <c r="G668" s="2">
        <v>56</v>
      </c>
      <c r="H668" s="2" t="s">
        <v>48</v>
      </c>
      <c r="I668" s="2" t="s">
        <v>537</v>
      </c>
      <c r="J668" s="3" t="s">
        <v>140</v>
      </c>
      <c r="M668" s="2">
        <f>IF(J668="1000+", 1000, (LEFT(J668,FIND("-",J668)-1)+RIGHT(J668,LEN(J668)-FIND("-",J668)))/2)</f>
        <v>115</v>
      </c>
      <c r="N668" s="2">
        <f>ROUND(E668 * 0.7+F668 * 0.2+G668 * 0.1,2)</f>
        <v>66.3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75</v>
      </c>
      <c r="P668" s="2">
        <f>E668 - O668</f>
        <v>-6</v>
      </c>
      <c r="Q668" s="2">
        <f>ROUND(
  SIGN(P668)*
  IF(ABS(P668)&lt;=10,ABS(P668)*0.5,
     IF(ABS(P668)&lt;=15,5+(ABS(P668)-10)*(1.67/5),
        6.67+(ABS(P668)-15)*0.333)),
2)</f>
        <v>-3</v>
      </c>
    </row>
    <row r="669" spans="1:17" ht="34.5" customHeight="1" x14ac:dyDescent="0.3">
      <c r="A669" s="2">
        <v>2026</v>
      </c>
      <c r="B669" s="2">
        <v>668</v>
      </c>
      <c r="C669" s="17">
        <f>ROUND(MAX(MIN(N669 + Q669, 100), 0), 2)</f>
        <v>63.3</v>
      </c>
      <c r="D669" s="2" t="s">
        <v>1961</v>
      </c>
      <c r="E669" s="7">
        <v>65</v>
      </c>
      <c r="F669" s="2">
        <v>55</v>
      </c>
      <c r="G669" s="2">
        <v>43</v>
      </c>
      <c r="H669" s="2" t="s">
        <v>1256</v>
      </c>
      <c r="I669" s="2" t="s">
        <v>36</v>
      </c>
      <c r="J669" s="3" t="s">
        <v>1261</v>
      </c>
      <c r="M669" s="2">
        <f>IF(J669="1000+", 1000, (LEFT(J669,FIND("-",J669)-1)+RIGHT(J669,LEN(J669)-FIND("-",J669)))/2)</f>
        <v>20</v>
      </c>
      <c r="N669" s="2">
        <f>ROUND(E669 * 0.7+F669 * 0.2+G669 * 0.1,2)</f>
        <v>60.8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60</v>
      </c>
      <c r="P669" s="2">
        <f>E669 - O669</f>
        <v>5</v>
      </c>
      <c r="Q669" s="2">
        <f>ROUND(
  SIGN(P669)*
  IF(ABS(P669)&lt;=10,ABS(P669)*0.5,
     IF(ABS(P669)&lt;=15,5+(ABS(P669)-10)*(1.67/5),
        6.67+(ABS(P669)-15)*0.333)),
2)</f>
        <v>2.5</v>
      </c>
    </row>
    <row r="670" spans="1:17" ht="34.5" customHeight="1" x14ac:dyDescent="0.3">
      <c r="B670" s="2">
        <v>669</v>
      </c>
      <c r="C670" s="17">
        <f>ROUND(MAX(MIN(N670 + Q670, 100), 0), 2)</f>
        <v>63.27</v>
      </c>
      <c r="D670" s="2" t="s">
        <v>859</v>
      </c>
      <c r="E670" s="5">
        <v>70</v>
      </c>
      <c r="F670" s="2">
        <v>28</v>
      </c>
      <c r="G670" s="2">
        <v>20</v>
      </c>
      <c r="H670" s="2" t="s">
        <v>35</v>
      </c>
      <c r="I670" s="2" t="s">
        <v>36</v>
      </c>
      <c r="J670" s="3" t="s">
        <v>37</v>
      </c>
      <c r="M670" s="2">
        <f>IF(J670="1000+", 1000, (LEFT(J670,FIND("-",J670)-1)+RIGHT(J670,LEN(J670)-FIND("-",J670)))/2)</f>
        <v>15</v>
      </c>
      <c r="N670" s="2">
        <f>ROUND(E670 * 0.7+F670 * 0.2+G670 * 0.1,2)</f>
        <v>56.6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55</v>
      </c>
      <c r="P670" s="2">
        <f>E670 - O670</f>
        <v>15</v>
      </c>
      <c r="Q670" s="2">
        <f>ROUND(
  SIGN(P670)*
  IF(ABS(P670)&lt;=10,ABS(P670)*0.5,
     IF(ABS(P670)&lt;=15,5+(ABS(P670)-10)*(1.67/5),
        6.67+(ABS(P670)-15)*0.333)),
2)</f>
        <v>6.67</v>
      </c>
    </row>
    <row r="671" spans="1:17" ht="34.5" customHeight="1" x14ac:dyDescent="0.3">
      <c r="B671" s="2">
        <v>670</v>
      </c>
      <c r="C671" s="17">
        <f>ROUND(MAX(MIN(N671 + Q671, 100), 0), 2)</f>
        <v>63.27</v>
      </c>
      <c r="D671" s="2" t="s">
        <v>816</v>
      </c>
      <c r="E671" s="7">
        <v>62</v>
      </c>
      <c r="F671" s="2">
        <v>52</v>
      </c>
      <c r="G671" s="2">
        <v>38</v>
      </c>
      <c r="H671" s="2" t="s">
        <v>104</v>
      </c>
      <c r="I671" s="2" t="s">
        <v>447</v>
      </c>
      <c r="J671" s="3" t="s">
        <v>92</v>
      </c>
      <c r="M671" s="2">
        <f>IF(J671="1000+", 1000, (LEFT(J671,FIND("-",J671)-1)+RIGHT(J671,LEN(J671)-FIND("-",J671)))/2)</f>
        <v>12.5</v>
      </c>
      <c r="N671" s="2">
        <f>ROUND(E671 * 0.7+F671 * 0.2+G671 * 0.1,2)</f>
        <v>57.6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50</v>
      </c>
      <c r="P671" s="2">
        <f>E671 - O671</f>
        <v>12</v>
      </c>
      <c r="Q671" s="2">
        <f>ROUND(
  SIGN(P671)*
  IF(ABS(P671)&lt;=10,ABS(P671)*0.5,
     IF(ABS(P671)&lt;=15,5+(ABS(P671)-10)*(1.67/5),
        6.67+(ABS(P671)-15)*0.333)),
2)</f>
        <v>5.67</v>
      </c>
    </row>
    <row r="672" spans="1:17" ht="34.5" customHeight="1" x14ac:dyDescent="0.3">
      <c r="B672" s="2">
        <v>671</v>
      </c>
      <c r="C672" s="17">
        <f>ROUND(MAX(MIN(N672 + Q672, 100), 0), 2)</f>
        <v>63.2</v>
      </c>
      <c r="D672" s="2" t="s">
        <v>751</v>
      </c>
      <c r="E672" s="7">
        <v>69</v>
      </c>
      <c r="F672" s="2">
        <v>52</v>
      </c>
      <c r="G672" s="2">
        <v>25</v>
      </c>
      <c r="H672" s="2" t="s">
        <v>197</v>
      </c>
      <c r="I672" s="2" t="s">
        <v>72</v>
      </c>
      <c r="J672" s="3" t="s">
        <v>32</v>
      </c>
      <c r="M672" s="2">
        <f>IF(J672="1000+", 1000, (LEFT(J672,FIND("-",J672)-1)+RIGHT(J672,LEN(J672)-FIND("-",J672)))/2)</f>
        <v>45</v>
      </c>
      <c r="N672" s="2">
        <f>ROUND(E672 * 0.7+F672 * 0.2+G672 * 0.1,2)</f>
        <v>61.2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65</v>
      </c>
      <c r="P672" s="2">
        <f>E672 - O672</f>
        <v>4</v>
      </c>
      <c r="Q672" s="2">
        <f>ROUND(
  SIGN(P672)*
  IF(ABS(P672)&lt;=10,ABS(P672)*0.5,
     IF(ABS(P672)&lt;=15,5+(ABS(P672)-10)*(1.67/5),
        6.67+(ABS(P672)-15)*0.333)),
2)</f>
        <v>2</v>
      </c>
    </row>
    <row r="673" spans="1:17" ht="34.5" customHeight="1" x14ac:dyDescent="0.3">
      <c r="B673" s="2">
        <v>672</v>
      </c>
      <c r="C673" s="17">
        <f>ROUND(MAX(MIN(N673 + Q673, 100), 0), 2)</f>
        <v>63.2</v>
      </c>
      <c r="D673" s="2" t="s">
        <v>702</v>
      </c>
      <c r="E673" s="7">
        <v>68</v>
      </c>
      <c r="F673" s="7">
        <v>62</v>
      </c>
      <c r="G673" s="2">
        <v>42</v>
      </c>
      <c r="H673" s="2" t="s">
        <v>48</v>
      </c>
      <c r="I673" s="2" t="s">
        <v>27</v>
      </c>
      <c r="J673" s="3" t="s">
        <v>18</v>
      </c>
      <c r="M673" s="2">
        <f>IF(J673="1000+", 1000, (LEFT(J673,FIND("-",J673)-1)+RIGHT(J673,LEN(J673)-FIND("-",J673)))/2)</f>
        <v>75</v>
      </c>
      <c r="N673" s="2">
        <f>ROUND(E673 * 0.7+F673 * 0.2+G673 * 0.1,2)</f>
        <v>64.2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70</v>
      </c>
      <c r="P673" s="2">
        <f>E673 - O673</f>
        <v>-2</v>
      </c>
      <c r="Q673" s="2">
        <f>ROUND(
  SIGN(P673)*
  IF(ABS(P673)&lt;=10,ABS(P673)*0.5,
     IF(ABS(P673)&lt;=15,5+(ABS(P673)-10)*(1.67/5),
        6.67+(ABS(P673)-15)*0.333)),
2)</f>
        <v>-1</v>
      </c>
    </row>
    <row r="674" spans="1:17" ht="34.5" customHeight="1" x14ac:dyDescent="0.3">
      <c r="A674" s="2">
        <v>2026</v>
      </c>
      <c r="B674" s="2">
        <v>673</v>
      </c>
      <c r="C674" s="17">
        <f>ROUND(MAX(MIN(N674 + Q674, 100), 0), 2)</f>
        <v>63.2</v>
      </c>
      <c r="D674" s="2" t="s">
        <v>1247</v>
      </c>
      <c r="E674" s="7">
        <v>64</v>
      </c>
      <c r="F674" s="2">
        <v>58</v>
      </c>
      <c r="G674" s="2">
        <v>58</v>
      </c>
      <c r="H674" s="2" t="s">
        <v>31</v>
      </c>
      <c r="I674" s="2" t="s">
        <v>36</v>
      </c>
      <c r="J674" s="3" t="s">
        <v>146</v>
      </c>
      <c r="M674" s="2">
        <f>IF(J674="1000+", 1000, (LEFT(J674,FIND("-",J674)-1)+RIGHT(J674,LEN(J674)-FIND("-",J674)))/2)</f>
        <v>30</v>
      </c>
      <c r="N674" s="2">
        <f>ROUND(E674 * 0.7+F674 * 0.2+G674 * 0.1,2)</f>
        <v>62.2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62</v>
      </c>
      <c r="P674" s="2">
        <f>E674 - O674</f>
        <v>2</v>
      </c>
      <c r="Q674" s="2">
        <f>ROUND(
  SIGN(P674)*
  IF(ABS(P674)&lt;=10,ABS(P674)*0.5,
     IF(ABS(P674)&lt;=15,5+(ABS(P674)-10)*(1.67/5),
        6.67+(ABS(P674)-15)*0.333)),
2)</f>
        <v>1</v>
      </c>
    </row>
    <row r="675" spans="1:17" ht="34.5" customHeight="1" x14ac:dyDescent="0.3">
      <c r="B675" s="2">
        <v>674</v>
      </c>
      <c r="C675" s="17">
        <f>ROUND(MAX(MIN(N675 + Q675, 100), 0), 2)</f>
        <v>63.2</v>
      </c>
      <c r="D675" s="2" t="s">
        <v>563</v>
      </c>
      <c r="E675" s="7">
        <v>66</v>
      </c>
      <c r="F675" s="5">
        <v>70</v>
      </c>
      <c r="G675" s="5">
        <v>75</v>
      </c>
      <c r="H675" s="2" t="s">
        <v>104</v>
      </c>
      <c r="I675" s="2" t="s">
        <v>157</v>
      </c>
      <c r="J675" s="3" t="s">
        <v>140</v>
      </c>
      <c r="M675" s="2">
        <f>IF(J675="1000+", 1000, (LEFT(J675,FIND("-",J675)-1)+RIGHT(J675,LEN(J675)-FIND("-",J675)))/2)</f>
        <v>115</v>
      </c>
      <c r="N675" s="2">
        <f>ROUND(E675 * 0.7+F675 * 0.2+G675 * 0.1,2)</f>
        <v>67.7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75</v>
      </c>
      <c r="P675" s="2">
        <f>E675 - O675</f>
        <v>-9</v>
      </c>
      <c r="Q675" s="2">
        <f>ROUND(
  SIGN(P675)*
  IF(ABS(P675)&lt;=10,ABS(P675)*0.5,
     IF(ABS(P675)&lt;=15,5+(ABS(P675)-10)*(1.67/5),
        6.67+(ABS(P675)-15)*0.333)),
2)</f>
        <v>-4.5</v>
      </c>
    </row>
    <row r="676" spans="1:17" ht="34.5" customHeight="1" x14ac:dyDescent="0.3">
      <c r="B676" s="2">
        <v>675</v>
      </c>
      <c r="C676" s="17">
        <f>ROUND(MAX(MIN(N676 + Q676, 100), 0), 2)</f>
        <v>63.2</v>
      </c>
      <c r="D676" s="2" t="s">
        <v>776</v>
      </c>
      <c r="E676" s="7">
        <v>67</v>
      </c>
      <c r="F676" s="4">
        <v>92</v>
      </c>
      <c r="G676" s="6">
        <v>89</v>
      </c>
      <c r="H676" s="2" t="s">
        <v>85</v>
      </c>
      <c r="I676" s="2" t="s">
        <v>79</v>
      </c>
      <c r="J676" s="3" t="s">
        <v>50</v>
      </c>
      <c r="M676" s="2">
        <f>IF(J676="1000+", 1000, (LEFT(J676,FIND("-",J676)-1)+RIGHT(J676,LEN(J676)-FIND("-",J676)))/2)</f>
        <v>1000</v>
      </c>
      <c r="N676" s="2">
        <f>ROUND(E676 * 0.7+F676 * 0.2+G676 * 0.1,2)</f>
        <v>74.2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95</v>
      </c>
      <c r="P676" s="2">
        <f>E676 - O676</f>
        <v>-28</v>
      </c>
      <c r="Q676" s="2">
        <f>ROUND(
  SIGN(P676)*
  IF(ABS(P676)&lt;=10,ABS(P676)*0.5,
     IF(ABS(P676)&lt;=15,5+(ABS(P676)-10)*(1.67/5),
        6.67+(ABS(P676)-15)*0.333)),
2)</f>
        <v>-11</v>
      </c>
    </row>
    <row r="677" spans="1:17" ht="34.5" customHeight="1" x14ac:dyDescent="0.3">
      <c r="A677" s="2">
        <v>2026</v>
      </c>
      <c r="B677" s="2">
        <v>676</v>
      </c>
      <c r="C677" s="17">
        <f>ROUND(MAX(MIN(N677 + Q677, 100), 0), 2)</f>
        <v>63.13</v>
      </c>
      <c r="D677" s="11" t="s">
        <v>1253</v>
      </c>
      <c r="E677" s="5">
        <v>70</v>
      </c>
      <c r="F677" s="7">
        <v>68</v>
      </c>
      <c r="G677" s="7">
        <v>62</v>
      </c>
      <c r="H677" s="11" t="s">
        <v>1256</v>
      </c>
      <c r="I677" s="11" t="s">
        <v>1258</v>
      </c>
      <c r="J677" s="19" t="s">
        <v>1265</v>
      </c>
      <c r="M677" s="2">
        <f>IF(J677="1000+", 1000, (LEFT(J677,FIND("-",J677)-1)+RIGHT(J677,LEN(J677)-FIND("-",J677)))/2)</f>
        <v>200</v>
      </c>
      <c r="N677" s="2">
        <f>ROUND(E677 * 0.7+F677 * 0.2+G677 * 0.1,2)</f>
        <v>68.8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82</v>
      </c>
      <c r="P677" s="2">
        <f>E677 - O677</f>
        <v>-12</v>
      </c>
      <c r="Q677" s="2">
        <f>ROUND(
  SIGN(P677)*
  IF(ABS(P677)&lt;=10,ABS(P677)*0.5,
     IF(ABS(P677)&lt;=15,5+(ABS(P677)-10)*(1.67/5),
        6.67+(ABS(P677)-15)*0.333)),
2)</f>
        <v>-5.67</v>
      </c>
    </row>
    <row r="678" spans="1:17" ht="34.5" customHeight="1" x14ac:dyDescent="0.3">
      <c r="A678" s="2">
        <v>2026</v>
      </c>
      <c r="B678" s="2">
        <v>677</v>
      </c>
      <c r="C678" s="17">
        <f>ROUND(MAX(MIN(N678 + Q678, 100), 0), 2)</f>
        <v>63.1</v>
      </c>
      <c r="D678" s="11" t="s">
        <v>1331</v>
      </c>
      <c r="E678" s="7">
        <v>66</v>
      </c>
      <c r="F678" s="2">
        <v>52</v>
      </c>
      <c r="G678" s="2">
        <v>45</v>
      </c>
      <c r="H678" s="11" t="s">
        <v>1256</v>
      </c>
      <c r="I678" s="2" t="s">
        <v>36</v>
      </c>
      <c r="J678" s="19" t="s">
        <v>1263</v>
      </c>
      <c r="M678" s="2">
        <f>IF(J678="1000+", 1000, (LEFT(J678,FIND("-",J678)-1)+RIGHT(J678,LEN(J678)-FIND("-",J678)))/2)</f>
        <v>30</v>
      </c>
      <c r="N678" s="2">
        <f>ROUND(E678 * 0.7+F678 * 0.2+G678 * 0.1,2)</f>
        <v>61.1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62</v>
      </c>
      <c r="P678" s="2">
        <f>E678 - O678</f>
        <v>4</v>
      </c>
      <c r="Q678" s="2">
        <f>ROUND(
  SIGN(P678)*
  IF(ABS(P678)&lt;=10,ABS(P678)*0.5,
     IF(ABS(P678)&lt;=15,5+(ABS(P678)-10)*(1.67/5),
        6.67+(ABS(P678)-15)*0.333)),
2)</f>
        <v>2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63</v>
      </c>
      <c r="D679" s="2" t="s">
        <v>1886</v>
      </c>
      <c r="E679" s="7">
        <v>68</v>
      </c>
      <c r="F679" s="2">
        <v>55</v>
      </c>
      <c r="G679" s="2">
        <v>54</v>
      </c>
      <c r="H679" s="2" t="s">
        <v>1256</v>
      </c>
      <c r="I679" s="2" t="s">
        <v>36</v>
      </c>
      <c r="J679" s="3" t="s">
        <v>1264</v>
      </c>
      <c r="K679" s="2" t="s">
        <v>1887</v>
      </c>
      <c r="M679" s="2">
        <f>IF(J679="1000+", 1000, (LEFT(J679,FIND("-",J679)-1)+RIGHT(J679,LEN(J679)-FIND("-",J679)))/2)</f>
        <v>75</v>
      </c>
      <c r="N679" s="2">
        <f>ROUND(E679 * 0.7+F679 * 0.2+G679 * 0.1,2)</f>
        <v>64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70</v>
      </c>
      <c r="P679" s="2">
        <f>E679 - O679</f>
        <v>-2</v>
      </c>
      <c r="Q679" s="2">
        <f>ROUND(
  SIGN(P679)*
  IF(ABS(P679)&lt;=10,ABS(P679)*0.5,
     IF(ABS(P679)&lt;=15,5+(ABS(P679)-10)*(1.67/5),
        6.67+(ABS(P679)-15)*0.333)),
2)</f>
        <v>-1</v>
      </c>
    </row>
    <row r="680" spans="1:17" ht="34.5" customHeight="1" x14ac:dyDescent="0.3">
      <c r="B680" s="2">
        <v>679</v>
      </c>
      <c r="C680" s="17">
        <f>ROUND(MAX(MIN(N680 + Q680, 100), 0), 2)</f>
        <v>63</v>
      </c>
      <c r="D680" s="2" t="s">
        <v>687</v>
      </c>
      <c r="E680" s="7">
        <v>66</v>
      </c>
      <c r="F680" s="2">
        <v>56</v>
      </c>
      <c r="G680" s="2">
        <v>51</v>
      </c>
      <c r="H680" s="2" t="s">
        <v>31</v>
      </c>
      <c r="I680" s="2" t="s">
        <v>36</v>
      </c>
      <c r="J680" s="3" t="s">
        <v>32</v>
      </c>
      <c r="M680" s="2">
        <f>IF(J680="1000+", 1000, (LEFT(J680,FIND("-",J680)-1)+RIGHT(J680,LEN(J680)-FIND("-",J680)))/2)</f>
        <v>45</v>
      </c>
      <c r="N680" s="2">
        <f>ROUND(E680 * 0.7+F680 * 0.2+G680 * 0.1,2)</f>
        <v>62.5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65</v>
      </c>
      <c r="P680" s="2">
        <f>E680 - O680</f>
        <v>1</v>
      </c>
      <c r="Q680" s="2">
        <f>ROUND(
  SIGN(P680)*
  IF(ABS(P680)&lt;=10,ABS(P680)*0.5,
     IF(ABS(P680)&lt;=15,5+(ABS(P680)-10)*(1.67/5),
        6.67+(ABS(P680)-15)*0.333)),
2)</f>
        <v>0.5</v>
      </c>
    </row>
    <row r="681" spans="1:17" ht="34.5" customHeight="1" x14ac:dyDescent="0.3">
      <c r="B681" s="2">
        <v>680</v>
      </c>
      <c r="C681" s="17">
        <f>ROUND(MAX(MIN(N681 + Q681, 100), 0), 2)</f>
        <v>63</v>
      </c>
      <c r="D681" s="2" t="s">
        <v>621</v>
      </c>
      <c r="E681" s="7">
        <v>68</v>
      </c>
      <c r="F681" s="7">
        <v>62</v>
      </c>
      <c r="G681" s="7">
        <v>65</v>
      </c>
      <c r="H681" s="2" t="s">
        <v>599</v>
      </c>
      <c r="I681" s="2" t="s">
        <v>41</v>
      </c>
      <c r="J681" s="3" t="s">
        <v>140</v>
      </c>
      <c r="M681" s="2">
        <f>IF(J681="1000+", 1000, (LEFT(J681,FIND("-",J681)-1)+RIGHT(J681,LEN(J681)-FIND("-",J681)))/2)</f>
        <v>115</v>
      </c>
      <c r="N681" s="2">
        <f>ROUND(E681 * 0.7+F681 * 0.2+G681 * 0.1,2)</f>
        <v>66.5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75</v>
      </c>
      <c r="P681" s="2">
        <f>E681 - O681</f>
        <v>-7</v>
      </c>
      <c r="Q681" s="2">
        <f>ROUND(
  SIGN(P681)*
  IF(ABS(P681)&lt;=10,ABS(P681)*0.5,
     IF(ABS(P681)&lt;=15,5+(ABS(P681)-10)*(1.67/5),
        6.67+(ABS(P681)-15)*0.333)),
2)</f>
        <v>-3.5</v>
      </c>
    </row>
    <row r="682" spans="1:17" ht="34.5" customHeight="1" x14ac:dyDescent="0.3">
      <c r="A682" s="2">
        <v>2026</v>
      </c>
      <c r="B682" s="2">
        <v>681</v>
      </c>
      <c r="C682" s="17">
        <f>ROUND(MAX(MIN(N682 + Q682, 100), 0), 2)</f>
        <v>63</v>
      </c>
      <c r="D682" s="2" t="s">
        <v>1850</v>
      </c>
      <c r="E682" s="5">
        <v>71</v>
      </c>
      <c r="F682" s="2">
        <v>50</v>
      </c>
      <c r="G682" s="2">
        <v>53</v>
      </c>
      <c r="H682" s="2" t="s">
        <v>1857</v>
      </c>
      <c r="I682" s="2" t="s">
        <v>1258</v>
      </c>
      <c r="J682" s="3" t="s">
        <v>1301</v>
      </c>
      <c r="M682" s="2">
        <f>IF(J682="1000+", 1000, (LEFT(J682,FIND("-",J682)-1)+RIGHT(J682,LEN(J682)-FIND("-",J682)))/2)</f>
        <v>115</v>
      </c>
      <c r="N682" s="2">
        <f>ROUND(E682 * 0.7+F682 * 0.2+G682 * 0.1,2)</f>
        <v>65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75</v>
      </c>
      <c r="P682" s="2">
        <f>E682 - O682</f>
        <v>-4</v>
      </c>
      <c r="Q682" s="2">
        <f>ROUND(
  SIGN(P682)*
  IF(ABS(P682)&lt;=10,ABS(P682)*0.5,
     IF(ABS(P682)&lt;=15,5+(ABS(P682)-10)*(1.67/5),
        6.67+(ABS(P682)-15)*0.333)),
2)</f>
        <v>-2</v>
      </c>
    </row>
    <row r="683" spans="1:17" ht="34.5" customHeight="1" x14ac:dyDescent="0.3">
      <c r="B683" s="2">
        <v>682</v>
      </c>
      <c r="C683" s="17">
        <f>ROUND(MAX(MIN(N683 + Q683, 100), 0), 2)</f>
        <v>62.96</v>
      </c>
      <c r="D683" s="2" t="s">
        <v>560</v>
      </c>
      <c r="E683" s="5">
        <v>71</v>
      </c>
      <c r="F683" s="7">
        <v>65</v>
      </c>
      <c r="G683" s="7">
        <v>66</v>
      </c>
      <c r="H683" s="2" t="s">
        <v>452</v>
      </c>
      <c r="I683" s="2" t="s">
        <v>523</v>
      </c>
      <c r="J683" s="3" t="s">
        <v>14</v>
      </c>
      <c r="K683" s="2" t="s">
        <v>561</v>
      </c>
      <c r="M683" s="2">
        <f>IF(J683="1000+", 1000, (LEFT(J683,FIND("-",J683)-1)+RIGHT(J683,LEN(J683)-FIND("-",J683)))/2)</f>
        <v>225</v>
      </c>
      <c r="N683" s="2">
        <f>ROUND(E683 * 0.7+F683 * 0.2+G683 * 0.1,2)</f>
        <v>69.3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85</v>
      </c>
      <c r="P683" s="2">
        <f>E683 - O683</f>
        <v>-14</v>
      </c>
      <c r="Q683" s="2">
        <f>ROUND(
  SIGN(P683)*
  IF(ABS(P683)&lt;=10,ABS(P683)*0.5,
     IF(ABS(P683)&lt;=15,5+(ABS(P683)-10)*(1.67/5),
        6.67+(ABS(P683)-15)*0.333)),
2)</f>
        <v>-6.34</v>
      </c>
    </row>
    <row r="684" spans="1:17" ht="34.5" customHeight="1" x14ac:dyDescent="0.3">
      <c r="B684" s="2">
        <v>683</v>
      </c>
      <c r="C684" s="17">
        <f>ROUND(MAX(MIN(N684 + Q684, 100), 0), 2)</f>
        <v>62.96</v>
      </c>
      <c r="D684" s="2" t="s">
        <v>536</v>
      </c>
      <c r="E684" s="5">
        <v>70</v>
      </c>
      <c r="F684" s="7">
        <v>68</v>
      </c>
      <c r="G684" s="5">
        <v>77</v>
      </c>
      <c r="H684" s="2" t="s">
        <v>12</v>
      </c>
      <c r="I684" s="2" t="s">
        <v>537</v>
      </c>
      <c r="J684" s="3" t="s">
        <v>65</v>
      </c>
      <c r="K684" s="2" t="s">
        <v>538</v>
      </c>
      <c r="M684" s="2">
        <f>IF(J684="1000+", 1000, (LEFT(J684,FIND("-",J684)-1)+RIGHT(J684,LEN(J684)-FIND("-",J684)))/2)</f>
        <v>250</v>
      </c>
      <c r="N684" s="2">
        <f>ROUND(E684 * 0.7+F684 * 0.2+G684 * 0.1,2)</f>
        <v>70.3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87</v>
      </c>
      <c r="P684" s="2">
        <f>E684 - O684</f>
        <v>-17</v>
      </c>
      <c r="Q684" s="2">
        <f>ROUND(
  SIGN(P684)*
  IF(ABS(P684)&lt;=10,ABS(P684)*0.5,
     IF(ABS(P684)&lt;=15,5+(ABS(P684)-10)*(1.67/5),
        6.67+(ABS(P684)-15)*0.333)),
2)</f>
        <v>-7.34</v>
      </c>
    </row>
    <row r="685" spans="1:17" ht="34.5" customHeight="1" x14ac:dyDescent="0.3">
      <c r="B685" s="2">
        <v>684</v>
      </c>
      <c r="C685" s="17">
        <f>ROUND(MAX(MIN(N685 + Q685, 100), 0), 2)</f>
        <v>62.93</v>
      </c>
      <c r="D685" s="2" t="s">
        <v>656</v>
      </c>
      <c r="E685" s="7">
        <v>69</v>
      </c>
      <c r="F685" s="5">
        <v>75</v>
      </c>
      <c r="G685" s="6">
        <v>83</v>
      </c>
      <c r="H685" s="2" t="s">
        <v>71</v>
      </c>
      <c r="I685" s="2" t="s">
        <v>79</v>
      </c>
      <c r="J685" s="3" t="s">
        <v>42</v>
      </c>
      <c r="M685" s="2">
        <f>IF(J685="1000+", 1000, (LEFT(J685,FIND("-",J685)-1)+RIGHT(J685,LEN(J685)-FIND("-",J685)))/2)</f>
        <v>600</v>
      </c>
      <c r="N685" s="2">
        <f>ROUND(E685 * 0.7+F685 * 0.2+G685 * 0.1,2)</f>
        <v>71.599999999999994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90</v>
      </c>
      <c r="P685" s="2">
        <f>E685 - O685</f>
        <v>-21</v>
      </c>
      <c r="Q685" s="2">
        <f>ROUND(
  SIGN(P685)*
  IF(ABS(P685)&lt;=10,ABS(P685)*0.5,
     IF(ABS(P685)&lt;=15,5+(ABS(P685)-10)*(1.67/5),
        6.67+(ABS(P685)-15)*0.333)),
2)</f>
        <v>-8.67</v>
      </c>
    </row>
    <row r="686" spans="1:17" ht="34.5" customHeight="1" x14ac:dyDescent="0.3">
      <c r="B686" s="2">
        <v>685</v>
      </c>
      <c r="C686" s="17">
        <f>ROUND(MAX(MIN(N686 + Q686, 100), 0), 2)</f>
        <v>62.9</v>
      </c>
      <c r="D686" s="2" t="s">
        <v>630</v>
      </c>
      <c r="E686" s="7">
        <v>66</v>
      </c>
      <c r="F686" s="2">
        <v>55</v>
      </c>
      <c r="G686" s="2">
        <v>52</v>
      </c>
      <c r="H686" s="2" t="s">
        <v>48</v>
      </c>
      <c r="I686" s="2" t="s">
        <v>36</v>
      </c>
      <c r="J686" s="3" t="s">
        <v>32</v>
      </c>
      <c r="K686" s="2" t="s">
        <v>631</v>
      </c>
      <c r="M686" s="2">
        <f>IF(J686="1000+", 1000, (LEFT(J686,FIND("-",J686)-1)+RIGHT(J686,LEN(J686)-FIND("-",J686)))/2)</f>
        <v>45</v>
      </c>
      <c r="N686" s="2">
        <f>ROUND(E686 * 0.7+F686 * 0.2+G686 * 0.1,2)</f>
        <v>62.4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65</v>
      </c>
      <c r="P686" s="2">
        <f>E686 - O686</f>
        <v>1</v>
      </c>
      <c r="Q686" s="2">
        <f>ROUND(
  SIGN(P686)*
  IF(ABS(P686)&lt;=10,ABS(P686)*0.5,
     IF(ABS(P686)&lt;=15,5+(ABS(P686)-10)*(1.67/5),
        6.67+(ABS(P686)-15)*0.333)),
2)</f>
        <v>0.5</v>
      </c>
    </row>
    <row r="687" spans="1:17" ht="34.5" customHeight="1" x14ac:dyDescent="0.3">
      <c r="B687" s="2">
        <v>686</v>
      </c>
      <c r="C687" s="17">
        <f>ROUND(MAX(MIN(N687 + Q687, 100), 0), 2)</f>
        <v>62.9</v>
      </c>
      <c r="D687" s="2" t="s">
        <v>721</v>
      </c>
      <c r="E687" s="7">
        <v>68</v>
      </c>
      <c r="F687" s="7">
        <v>60</v>
      </c>
      <c r="G687" s="2">
        <v>53</v>
      </c>
      <c r="H687" s="2" t="s">
        <v>423</v>
      </c>
      <c r="I687" s="2" t="s">
        <v>17</v>
      </c>
      <c r="J687" s="3" t="s">
        <v>122</v>
      </c>
      <c r="M687" s="2">
        <f>IF(J687="1000+", 1000, (LEFT(J687,FIND("-",J687)-1)+RIGHT(J687,LEN(J687)-FIND("-",J687)))/2)</f>
        <v>105</v>
      </c>
      <c r="N687" s="2">
        <f>ROUND(E687 * 0.7+F687 * 0.2+G687 * 0.1,2)</f>
        <v>64.900000000000006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72</v>
      </c>
      <c r="P687" s="2">
        <f>E687 - O687</f>
        <v>-4</v>
      </c>
      <c r="Q687" s="2">
        <f>ROUND(
  SIGN(P687)*
  IF(ABS(P687)&lt;=10,ABS(P687)*0.5,
     IF(ABS(P687)&lt;=15,5+(ABS(P687)-10)*(1.67/5),
        6.67+(ABS(P687)-15)*0.333)),
2)</f>
        <v>-2</v>
      </c>
    </row>
    <row r="688" spans="1:17" ht="34.5" customHeight="1" x14ac:dyDescent="0.3">
      <c r="B688" s="2">
        <v>687</v>
      </c>
      <c r="C688" s="17">
        <f>ROUND(MAX(MIN(N688 + Q688, 100), 0), 2)</f>
        <v>62.9</v>
      </c>
      <c r="D688" s="2" t="s">
        <v>632</v>
      </c>
      <c r="E688" s="7">
        <v>64</v>
      </c>
      <c r="F688" s="7">
        <v>65</v>
      </c>
      <c r="G688" s="2">
        <v>56</v>
      </c>
      <c r="H688" s="2" t="s">
        <v>48</v>
      </c>
      <c r="I688" s="2" t="s">
        <v>36</v>
      </c>
      <c r="J688" s="3" t="s">
        <v>32</v>
      </c>
      <c r="M688" s="2">
        <f>IF(J688="1000+", 1000, (LEFT(J688,FIND("-",J688)-1)+RIGHT(J688,LEN(J688)-FIND("-",J688)))/2)</f>
        <v>45</v>
      </c>
      <c r="N688" s="2">
        <f>ROUND(E688 * 0.7+F688 * 0.2+G688 * 0.1,2)</f>
        <v>63.4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65</v>
      </c>
      <c r="P688" s="2">
        <f>E688 - O688</f>
        <v>-1</v>
      </c>
      <c r="Q688" s="2">
        <f>ROUND(
  SIGN(P688)*
  IF(ABS(P688)&lt;=10,ABS(P688)*0.5,
     IF(ABS(P688)&lt;=15,5+(ABS(P688)-10)*(1.67/5),
        6.67+(ABS(P688)-15)*0.333)),
2)</f>
        <v>-0.5</v>
      </c>
    </row>
    <row r="689" spans="1:17" ht="34.5" customHeight="1" x14ac:dyDescent="0.3">
      <c r="B689" s="2">
        <v>688</v>
      </c>
      <c r="C689" s="17">
        <f>ROUND(MAX(MIN(N689 + Q689, 100), 0), 2)</f>
        <v>62.83</v>
      </c>
      <c r="D689" s="2" t="s">
        <v>592</v>
      </c>
      <c r="E689" s="5">
        <v>70</v>
      </c>
      <c r="F689" s="7">
        <v>63</v>
      </c>
      <c r="G689" s="7">
        <v>69</v>
      </c>
      <c r="H689" s="2" t="s">
        <v>58</v>
      </c>
      <c r="I689" s="2" t="s">
        <v>49</v>
      </c>
      <c r="J689" s="3" t="s">
        <v>28</v>
      </c>
      <c r="K689" s="2" t="s">
        <v>593</v>
      </c>
      <c r="M689" s="2">
        <f>IF(J689="1000+", 1000, (LEFT(J689,FIND("-",J689)-1)+RIGHT(J689,LEN(J689)-FIND("-",J689)))/2)</f>
        <v>200</v>
      </c>
      <c r="N689" s="2">
        <f>ROUND(E689 * 0.7+F689 * 0.2+G689 * 0.1,2)</f>
        <v>68.5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82</v>
      </c>
      <c r="P689" s="2">
        <f>E689 - O689</f>
        <v>-12</v>
      </c>
      <c r="Q689" s="2">
        <f>ROUND(
  SIGN(P689)*
  IF(ABS(P689)&lt;=10,ABS(P689)*0.5,
     IF(ABS(P689)&lt;=15,5+(ABS(P689)-10)*(1.67/5),
        6.67+(ABS(P689)-15)*0.333)),
2)</f>
        <v>-5.67</v>
      </c>
    </row>
    <row r="690" spans="1:17" ht="34.5" customHeight="1" x14ac:dyDescent="0.3">
      <c r="B690" s="2">
        <v>689</v>
      </c>
      <c r="C690" s="17">
        <f>ROUND(MAX(MIN(N690 + Q690, 100), 0), 2)</f>
        <v>62.8</v>
      </c>
      <c r="D690" s="2" t="s">
        <v>745</v>
      </c>
      <c r="E690" s="7">
        <v>69</v>
      </c>
      <c r="F690" s="2">
        <v>50</v>
      </c>
      <c r="G690" s="2">
        <v>50</v>
      </c>
      <c r="H690" s="2" t="s">
        <v>48</v>
      </c>
      <c r="I690" s="2" t="s">
        <v>72</v>
      </c>
      <c r="J690" s="3" t="s">
        <v>18</v>
      </c>
      <c r="M690" s="2">
        <f>IF(J690="1000+", 1000, (LEFT(J690,FIND("-",J690)-1)+RIGHT(J690,LEN(J690)-FIND("-",J690)))/2)</f>
        <v>75</v>
      </c>
      <c r="N690" s="2">
        <f>ROUND(E690 * 0.7+F690 * 0.2+G690 * 0.1,2)</f>
        <v>63.3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70</v>
      </c>
      <c r="P690" s="2">
        <f>E690 - O690</f>
        <v>-1</v>
      </c>
      <c r="Q690" s="2">
        <f>ROUND(
  SIGN(P690)*
  IF(ABS(P690)&lt;=10,ABS(P690)*0.5,
     IF(ABS(P690)&lt;=15,5+(ABS(P690)-10)*(1.67/5),
        6.67+(ABS(P690)-15)*0.333)),
2)</f>
        <v>-0.5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62.8</v>
      </c>
      <c r="D691" s="2" t="s">
        <v>1399</v>
      </c>
      <c r="E691" s="7">
        <v>66</v>
      </c>
      <c r="F691" s="2">
        <v>52</v>
      </c>
      <c r="G691" s="2">
        <v>42</v>
      </c>
      <c r="H691" s="2" t="s">
        <v>1409</v>
      </c>
      <c r="I691" s="2" t="s">
        <v>36</v>
      </c>
      <c r="J691" s="3" t="s">
        <v>1428</v>
      </c>
      <c r="M691" s="2">
        <f>IF(J691="1000+", 1000, (LEFT(J691,FIND("-",J691)-1)+RIGHT(J691,LEN(J691)-FIND("-",J691)))/2)</f>
        <v>30</v>
      </c>
      <c r="N691" s="2">
        <f>ROUND(E691 * 0.7+F691 * 0.2+G691 * 0.1,2)</f>
        <v>60.8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62</v>
      </c>
      <c r="P691" s="2">
        <f>E691 - O691</f>
        <v>4</v>
      </c>
      <c r="Q691" s="2">
        <f>ROUND(
  SIGN(P691)*
  IF(ABS(P691)&lt;=10,ABS(P691)*0.5,
     IF(ABS(P691)&lt;=15,5+(ABS(P691)-10)*(1.67/5),
        6.67+(ABS(P691)-15)*0.333)),
2)</f>
        <v>2</v>
      </c>
    </row>
    <row r="692" spans="1:17" ht="34.5" customHeight="1" x14ac:dyDescent="0.3">
      <c r="B692" s="2">
        <v>691</v>
      </c>
      <c r="C692" s="17">
        <f>ROUND(MAX(MIN(N692 + Q692, 100), 0), 2)</f>
        <v>62.8</v>
      </c>
      <c r="D692" s="2" t="s">
        <v>746</v>
      </c>
      <c r="E692" s="7">
        <v>66</v>
      </c>
      <c r="F692" s="2">
        <v>51</v>
      </c>
      <c r="G692" s="2">
        <v>44</v>
      </c>
      <c r="H692" s="2" t="s">
        <v>64</v>
      </c>
      <c r="I692" s="2" t="s">
        <v>36</v>
      </c>
      <c r="J692" s="3" t="s">
        <v>146</v>
      </c>
      <c r="M692" s="2">
        <f>IF(J692="1000+", 1000, (LEFT(J692,FIND("-",J692)-1)+RIGHT(J692,LEN(J692)-FIND("-",J692)))/2)</f>
        <v>30</v>
      </c>
      <c r="N692" s="2">
        <f>ROUND(E692 * 0.7+F692 * 0.2+G692 * 0.1,2)</f>
        <v>60.8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62</v>
      </c>
      <c r="P692" s="2">
        <f>E692 - O692</f>
        <v>4</v>
      </c>
      <c r="Q692" s="2">
        <f>ROUND(
  SIGN(P692)*
  IF(ABS(P692)&lt;=10,ABS(P692)*0.5,
     IF(ABS(P692)&lt;=15,5+(ABS(P692)-10)*(1.67/5),
        6.67+(ABS(P692)-15)*0.333)),
2)</f>
        <v>2</v>
      </c>
    </row>
    <row r="693" spans="1:17" ht="34.5" customHeight="1" x14ac:dyDescent="0.3">
      <c r="A693" s="2">
        <v>2026</v>
      </c>
      <c r="B693" s="2">
        <v>692</v>
      </c>
      <c r="C693" s="17">
        <f>ROUND(MAX(MIN(N693 + Q693, 100), 0), 2)</f>
        <v>62.8</v>
      </c>
      <c r="D693" s="2" t="s">
        <v>1691</v>
      </c>
      <c r="E693" s="7">
        <v>65</v>
      </c>
      <c r="F693" s="2">
        <v>55</v>
      </c>
      <c r="G693" s="2">
        <v>48</v>
      </c>
      <c r="H693" s="2" t="s">
        <v>1694</v>
      </c>
      <c r="I693" s="2" t="s">
        <v>1698</v>
      </c>
      <c r="J693" s="3" t="s">
        <v>1700</v>
      </c>
      <c r="M693" s="2">
        <f>IF(J693="1000+", 1000, (LEFT(J693,FIND("-",J693)-1)+RIGHT(J693,LEN(J693)-FIND("-",J693)))/2)</f>
        <v>30</v>
      </c>
      <c r="N693" s="2">
        <f>ROUND(E693 * 0.7+F693 * 0.2+G693 * 0.1,2)</f>
        <v>61.3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62</v>
      </c>
      <c r="P693" s="2">
        <f>E693 - O693</f>
        <v>3</v>
      </c>
      <c r="Q693" s="2">
        <f>ROUND(
  SIGN(P693)*
  IF(ABS(P693)&lt;=10,ABS(P693)*0.5,
     IF(ABS(P693)&lt;=15,5+(ABS(P693)-10)*(1.67/5),
        6.67+(ABS(P693)-15)*0.333)),
2)</f>
        <v>1.5</v>
      </c>
    </row>
    <row r="694" spans="1:17" ht="34.5" customHeight="1" x14ac:dyDescent="0.3">
      <c r="B694" s="2">
        <v>693</v>
      </c>
      <c r="C694" s="17">
        <f>ROUND(MAX(MIN(N694 + Q694, 100), 0), 2)</f>
        <v>62.8</v>
      </c>
      <c r="D694" s="2" t="s">
        <v>602</v>
      </c>
      <c r="E694" s="5">
        <v>70</v>
      </c>
      <c r="F694" s="7">
        <v>63</v>
      </c>
      <c r="G694" s="7">
        <v>62</v>
      </c>
      <c r="H694" s="2" t="s">
        <v>48</v>
      </c>
      <c r="I694" s="2" t="s">
        <v>177</v>
      </c>
      <c r="J694" s="3" t="s">
        <v>88</v>
      </c>
      <c r="M694" s="2">
        <f>IF(J694="1000+", 1000, (LEFT(J694,FIND("-",J694)-1)+RIGHT(J694,LEN(J694)-FIND("-",J694)))/2)</f>
        <v>150</v>
      </c>
      <c r="N694" s="2">
        <f>ROUND(E694 * 0.7+F694 * 0.2+G694 * 0.1,2)</f>
        <v>67.8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80</v>
      </c>
      <c r="P694" s="2">
        <f>E694 - O694</f>
        <v>-10</v>
      </c>
      <c r="Q694" s="2">
        <f>ROUND(
  SIGN(P694)*
  IF(ABS(P694)&lt;=10,ABS(P694)*0.5,
     IF(ABS(P694)&lt;=15,5+(ABS(P694)-10)*(1.67/5),
        6.67+(ABS(P694)-15)*0.333)),
2)</f>
        <v>-5</v>
      </c>
    </row>
    <row r="695" spans="1:17" ht="34.5" customHeight="1" x14ac:dyDescent="0.3">
      <c r="B695" s="2">
        <v>694</v>
      </c>
      <c r="C695" s="17">
        <f>ROUND(MAX(MIN(N695 + Q695, 100), 0), 2)</f>
        <v>62.8</v>
      </c>
      <c r="D695" s="2" t="s">
        <v>747</v>
      </c>
      <c r="E695" s="7">
        <v>61</v>
      </c>
      <c r="F695" s="2">
        <v>58</v>
      </c>
      <c r="G695" s="2">
        <v>55</v>
      </c>
      <c r="H695" s="2" t="s">
        <v>31</v>
      </c>
      <c r="I695" s="2" t="s">
        <v>36</v>
      </c>
      <c r="J695" s="3" t="s">
        <v>37</v>
      </c>
      <c r="M695" s="2">
        <f>IF(J695="1000+", 1000, (LEFT(J695,FIND("-",J695)-1)+RIGHT(J695,LEN(J695)-FIND("-",J695)))/2)</f>
        <v>15</v>
      </c>
      <c r="N695" s="2">
        <f>ROUND(E695 * 0.7+F695 * 0.2+G695 * 0.1,2)</f>
        <v>59.8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55</v>
      </c>
      <c r="P695" s="2">
        <f>E695 - O695</f>
        <v>6</v>
      </c>
      <c r="Q695" s="2">
        <f>ROUND(
  SIGN(P695)*
  IF(ABS(P695)&lt;=10,ABS(P695)*0.5,
     IF(ABS(P695)&lt;=15,5+(ABS(P695)-10)*(1.67/5),
        6.67+(ABS(P695)-15)*0.333)),
2)</f>
        <v>3</v>
      </c>
    </row>
    <row r="696" spans="1:17" ht="34.5" customHeight="1" x14ac:dyDescent="0.3">
      <c r="A696" s="2">
        <v>2026</v>
      </c>
      <c r="B696" s="2">
        <v>695</v>
      </c>
      <c r="C696" s="17">
        <f>ROUND(MAX(MIN(N696 + Q696, 100), 0), 2)</f>
        <v>62.8</v>
      </c>
      <c r="D696" s="2" t="s">
        <v>585</v>
      </c>
      <c r="E696" s="7">
        <v>65</v>
      </c>
      <c r="F696" s="5">
        <v>76</v>
      </c>
      <c r="G696" s="2">
        <v>56</v>
      </c>
      <c r="H696" s="2" t="s">
        <v>31</v>
      </c>
      <c r="I696" s="2" t="s">
        <v>394</v>
      </c>
      <c r="J696" s="3" t="s">
        <v>122</v>
      </c>
      <c r="M696" s="2">
        <f>IF(J696="1000+", 1000, (LEFT(J696,FIND("-",J696)-1)+RIGHT(J696,LEN(J696)-FIND("-",J696)))/2)</f>
        <v>105</v>
      </c>
      <c r="N696" s="2">
        <f>ROUND(E696 * 0.7+F696 * 0.2+G696 * 0.1,2)</f>
        <v>66.3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72</v>
      </c>
      <c r="P696" s="2">
        <f>E696 - O696</f>
        <v>-7</v>
      </c>
      <c r="Q696" s="2">
        <f>ROUND(
  SIGN(P696)*
  IF(ABS(P696)&lt;=10,ABS(P696)*0.5,
     IF(ABS(P696)&lt;=15,5+(ABS(P696)-10)*(1.67/5),
        6.67+(ABS(P696)-15)*0.333)),
2)</f>
        <v>-3.5</v>
      </c>
    </row>
    <row r="697" spans="1:17" ht="34.5" customHeight="1" x14ac:dyDescent="0.3">
      <c r="B697" s="2">
        <v>696</v>
      </c>
      <c r="C697" s="17">
        <f>ROUND(MAX(MIN(N697 + Q697, 100), 0), 2)</f>
        <v>62.7</v>
      </c>
      <c r="D697" s="2" t="s">
        <v>804</v>
      </c>
      <c r="E697" s="7">
        <v>63</v>
      </c>
      <c r="F697" s="2">
        <v>58</v>
      </c>
      <c r="G697" s="2">
        <v>30</v>
      </c>
      <c r="H697" s="2" t="s">
        <v>31</v>
      </c>
      <c r="I697" s="2" t="s">
        <v>36</v>
      </c>
      <c r="J697" s="3" t="s">
        <v>37</v>
      </c>
      <c r="M697" s="2">
        <f>IF(J697="1000+", 1000, (LEFT(J697,FIND("-",J697)-1)+RIGHT(J697,LEN(J697)-FIND("-",J697)))/2)</f>
        <v>15</v>
      </c>
      <c r="N697" s="2">
        <f>ROUND(E697 * 0.7+F697 * 0.2+G697 * 0.1,2)</f>
        <v>58.7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55</v>
      </c>
      <c r="P697" s="2">
        <f>E697 - O697</f>
        <v>8</v>
      </c>
      <c r="Q697" s="2">
        <f>ROUND(
  SIGN(P697)*
  IF(ABS(P697)&lt;=10,ABS(P697)*0.5,
     IF(ABS(P697)&lt;=15,5+(ABS(P697)-10)*(1.67/5),
        6.67+(ABS(P697)-15)*0.333)),
2)</f>
        <v>4</v>
      </c>
    </row>
    <row r="698" spans="1:17" ht="34.5" customHeight="1" x14ac:dyDescent="0.3">
      <c r="B698" s="2">
        <v>697</v>
      </c>
      <c r="C698" s="17">
        <f>ROUND(MAX(MIN(N698 + Q698, 100), 0), 2)</f>
        <v>62.7</v>
      </c>
      <c r="D698" s="2" t="s">
        <v>672</v>
      </c>
      <c r="E698" s="7">
        <v>65</v>
      </c>
      <c r="F698" s="7">
        <v>60</v>
      </c>
      <c r="G698" s="2">
        <v>52</v>
      </c>
      <c r="H698" s="2" t="s">
        <v>673</v>
      </c>
      <c r="I698" s="2" t="s">
        <v>49</v>
      </c>
      <c r="J698" s="3" t="s">
        <v>32</v>
      </c>
      <c r="M698" s="2">
        <f>IF(J698="1000+", 1000, (LEFT(J698,FIND("-",J698)-1)+RIGHT(J698,LEN(J698)-FIND("-",J698)))/2)</f>
        <v>45</v>
      </c>
      <c r="N698" s="2">
        <f>ROUND(E698 * 0.7+F698 * 0.2+G698 * 0.1,2)</f>
        <v>62.7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65</v>
      </c>
      <c r="P698" s="2">
        <f>E698 - O698</f>
        <v>0</v>
      </c>
      <c r="Q698" s="2">
        <f>ROUND(
  SIGN(P698)*
  IF(ABS(P698)&lt;=10,ABS(P698)*0.5,
     IF(ABS(P698)&lt;=15,5+(ABS(P698)-10)*(1.67/5),
        6.67+(ABS(P698)-15)*0.333)),
2)</f>
        <v>0</v>
      </c>
    </row>
    <row r="699" spans="1:17" ht="34.5" customHeight="1" x14ac:dyDescent="0.3">
      <c r="B699" s="2">
        <v>698</v>
      </c>
      <c r="C699" s="17">
        <f>ROUND(MAX(MIN(N699 + Q699, 100), 0), 2)</f>
        <v>62.67</v>
      </c>
      <c r="D699" s="2" t="s">
        <v>685</v>
      </c>
      <c r="E699" s="5">
        <v>71</v>
      </c>
      <c r="F699" s="7">
        <v>62</v>
      </c>
      <c r="G699" s="2">
        <v>59</v>
      </c>
      <c r="H699" s="2" t="s">
        <v>379</v>
      </c>
      <c r="I699" s="2" t="s">
        <v>1743</v>
      </c>
      <c r="J699" s="3" t="s">
        <v>28</v>
      </c>
      <c r="M699" s="2">
        <f>IF(J699="1000+", 1000, (LEFT(J699,FIND("-",J699)-1)+RIGHT(J699,LEN(J699)-FIND("-",J699)))/2)</f>
        <v>200</v>
      </c>
      <c r="N699" s="2">
        <f>ROUND(E699 * 0.7+F699 * 0.2+G699 * 0.1,2)</f>
        <v>68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82</v>
      </c>
      <c r="P699" s="2">
        <f>E699 - O699</f>
        <v>-11</v>
      </c>
      <c r="Q699" s="2">
        <f>ROUND(
  SIGN(P699)*
  IF(ABS(P699)&lt;=10,ABS(P699)*0.5,
     IF(ABS(P699)&lt;=15,5+(ABS(P699)-10)*(1.67/5),
        6.67+(ABS(P699)-15)*0.333)),
2)</f>
        <v>-5.33</v>
      </c>
    </row>
    <row r="700" spans="1:17" ht="34.5" customHeight="1" x14ac:dyDescent="0.3">
      <c r="B700" s="2">
        <v>699</v>
      </c>
      <c r="C700" s="17">
        <f>ROUND(MAX(MIN(N700 + Q700, 100), 0), 2)</f>
        <v>62.63</v>
      </c>
      <c r="D700" s="2" t="s">
        <v>698</v>
      </c>
      <c r="E700" s="5">
        <v>73</v>
      </c>
      <c r="F700" s="7">
        <v>60</v>
      </c>
      <c r="G700" s="2">
        <v>52</v>
      </c>
      <c r="H700" s="2" t="s">
        <v>699</v>
      </c>
      <c r="I700" s="2" t="s">
        <v>576</v>
      </c>
      <c r="J700" s="3" t="s">
        <v>14</v>
      </c>
      <c r="M700" s="2">
        <f>IF(J700="1000+", 1000, (LEFT(J700,FIND("-",J700)-1)+RIGHT(J700,LEN(J700)-FIND("-",J700)))/2)</f>
        <v>225</v>
      </c>
      <c r="N700" s="2">
        <f>ROUND(E700 * 0.7+F700 * 0.2+G700 * 0.1,2)</f>
        <v>68.3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85</v>
      </c>
      <c r="P700" s="2">
        <f>E700 - O700</f>
        <v>-12</v>
      </c>
      <c r="Q700" s="2">
        <f>ROUND(
  SIGN(P700)*
  IF(ABS(P700)&lt;=10,ABS(P700)*0.5,
     IF(ABS(P700)&lt;=15,5+(ABS(P700)-10)*(1.67/5),
        6.67+(ABS(P700)-15)*0.333)),
2)</f>
        <v>-5.67</v>
      </c>
    </row>
    <row r="701" spans="1:17" ht="34.5" customHeight="1" x14ac:dyDescent="0.3">
      <c r="A701" s="2">
        <v>2026</v>
      </c>
      <c r="B701" s="2">
        <v>700</v>
      </c>
      <c r="C701" s="17">
        <f>ROUND(MAX(MIN(N701 + Q701, 100), 0), 2)</f>
        <v>62.6</v>
      </c>
      <c r="D701" s="2" t="s">
        <v>1866</v>
      </c>
      <c r="E701" s="7">
        <v>66</v>
      </c>
      <c r="F701" s="2">
        <v>57</v>
      </c>
      <c r="G701" s="2">
        <v>45</v>
      </c>
      <c r="H701" s="2" t="s">
        <v>1895</v>
      </c>
      <c r="I701" s="2" t="s">
        <v>1259</v>
      </c>
      <c r="J701" s="3" t="s">
        <v>1262</v>
      </c>
      <c r="M701" s="2">
        <f>IF(J701="1000+", 1000, (LEFT(J701,FIND("-",J701)-1)+RIGHT(J701,LEN(J701)-FIND("-",J701)))/2)</f>
        <v>45</v>
      </c>
      <c r="N701" s="2">
        <f>ROUND(E701 * 0.7+F701 * 0.2+G701 * 0.1,2)</f>
        <v>62.1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65</v>
      </c>
      <c r="P701" s="2">
        <f>E701 - O701</f>
        <v>1</v>
      </c>
      <c r="Q701" s="2">
        <f>ROUND(
  SIGN(P701)*
  IF(ABS(P701)&lt;=10,ABS(P701)*0.5,
     IF(ABS(P701)&lt;=15,5+(ABS(P701)-10)*(1.67/5),
        6.67+(ABS(P701)-15)*0.333)),
2)</f>
        <v>0.5</v>
      </c>
    </row>
    <row r="702" spans="1:17" ht="34.5" customHeight="1" x14ac:dyDescent="0.3">
      <c r="B702" s="2">
        <v>701</v>
      </c>
      <c r="C702" s="17">
        <f>ROUND(MAX(MIN(N702 + Q702, 100), 0), 2)</f>
        <v>62.6</v>
      </c>
      <c r="D702" s="2" t="s">
        <v>657</v>
      </c>
      <c r="E702" s="7">
        <v>66</v>
      </c>
      <c r="F702" s="5">
        <v>71</v>
      </c>
      <c r="G702" s="2">
        <v>32</v>
      </c>
      <c r="H702" s="2" t="s">
        <v>171</v>
      </c>
      <c r="I702" s="2" t="s">
        <v>36</v>
      </c>
      <c r="J702" s="3" t="s">
        <v>23</v>
      </c>
      <c r="M702" s="2">
        <f>IF(J702="1000+", 1000, (LEFT(J702,FIND("-",J702)-1)+RIGHT(J702,LEN(J702)-FIND("-",J702)))/2)</f>
        <v>60</v>
      </c>
      <c r="N702" s="2">
        <f>ROUND(E702 * 0.7+F702 * 0.2+G702 * 0.1,2)</f>
        <v>63.6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68</v>
      </c>
      <c r="P702" s="2">
        <f>E702 - O702</f>
        <v>-2</v>
      </c>
      <c r="Q702" s="2">
        <f>ROUND(
  SIGN(P702)*
  IF(ABS(P702)&lt;=10,ABS(P702)*0.5,
     IF(ABS(P702)&lt;=15,5+(ABS(P702)-10)*(1.67/5),
        6.67+(ABS(P702)-15)*0.333)),
2)</f>
        <v>-1</v>
      </c>
    </row>
    <row r="703" spans="1:17" ht="34.5" customHeight="1" x14ac:dyDescent="0.3">
      <c r="A703" s="2">
        <v>2026</v>
      </c>
      <c r="B703" s="2">
        <v>702</v>
      </c>
      <c r="C703" s="17">
        <f>ROUND(MAX(MIN(N703 + Q703, 100), 0), 2)</f>
        <v>62.6</v>
      </c>
      <c r="D703" s="2" t="s">
        <v>1778</v>
      </c>
      <c r="E703" s="7">
        <v>66</v>
      </c>
      <c r="F703" s="7">
        <v>65</v>
      </c>
      <c r="G703" s="2">
        <v>54</v>
      </c>
      <c r="H703" s="2" t="s">
        <v>1256</v>
      </c>
      <c r="I703" s="2" t="s">
        <v>1803</v>
      </c>
      <c r="J703" s="3" t="s">
        <v>1264</v>
      </c>
      <c r="M703" s="2">
        <f>IF(J703="1000+", 1000, (LEFT(J703,FIND("-",J703)-1)+RIGHT(J703,LEN(J703)-FIND("-",J703)))/2)</f>
        <v>75</v>
      </c>
      <c r="N703" s="2">
        <f>ROUND(E703 * 0.7+F703 * 0.2+G703 * 0.1,2)</f>
        <v>64.599999999999994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70</v>
      </c>
      <c r="P703" s="2">
        <f>E703 - O703</f>
        <v>-4</v>
      </c>
      <c r="Q703" s="2">
        <f>ROUND(
  SIGN(P703)*
  IF(ABS(P703)&lt;=10,ABS(P703)*0.5,
     IF(ABS(P703)&lt;=15,5+(ABS(P703)-10)*(1.67/5),
        6.67+(ABS(P703)-15)*0.333)),
2)</f>
        <v>-2</v>
      </c>
    </row>
    <row r="704" spans="1:17" ht="34.5" customHeight="1" x14ac:dyDescent="0.3">
      <c r="B704" s="2">
        <v>703</v>
      </c>
      <c r="C704" s="17">
        <f>ROUND(MAX(MIN(N704 + Q704, 100), 0), 2)</f>
        <v>62.6</v>
      </c>
      <c r="D704" s="2" t="s">
        <v>677</v>
      </c>
      <c r="E704" s="7">
        <v>66</v>
      </c>
      <c r="F704" s="7">
        <v>60</v>
      </c>
      <c r="G704" s="7">
        <v>64</v>
      </c>
      <c r="H704" s="2" t="s">
        <v>48</v>
      </c>
      <c r="I704" s="2" t="s">
        <v>17</v>
      </c>
      <c r="J704" s="3" t="s">
        <v>18</v>
      </c>
      <c r="M704" s="2">
        <f>IF(J704="1000+", 1000, (LEFT(J704,FIND("-",J704)-1)+RIGHT(J704,LEN(J704)-FIND("-",J704)))/2)</f>
        <v>75</v>
      </c>
      <c r="N704" s="2">
        <f>ROUND(E704 * 0.7+F704 * 0.2+G704 * 0.1,2)</f>
        <v>64.599999999999994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70</v>
      </c>
      <c r="P704" s="2">
        <f>E704 - O704</f>
        <v>-4</v>
      </c>
      <c r="Q704" s="2">
        <f>ROUND(
  SIGN(P704)*
  IF(ABS(P704)&lt;=10,ABS(P704)*0.5,
     IF(ABS(P704)&lt;=15,5+(ABS(P704)-10)*(1.67/5),
        6.67+(ABS(P704)-15)*0.333)),
2)</f>
        <v>-2</v>
      </c>
    </row>
    <row r="705" spans="1:17" ht="34.5" customHeight="1" x14ac:dyDescent="0.3">
      <c r="B705" s="2">
        <v>704</v>
      </c>
      <c r="C705" s="17">
        <f>ROUND(MAX(MIN(N705 + Q705, 100), 0), 2)</f>
        <v>62.6</v>
      </c>
      <c r="D705" s="2" t="s">
        <v>617</v>
      </c>
      <c r="E705" s="7">
        <v>65</v>
      </c>
      <c r="F705" s="7">
        <v>66</v>
      </c>
      <c r="G705" s="2">
        <v>54</v>
      </c>
      <c r="H705" s="2" t="s">
        <v>85</v>
      </c>
      <c r="I705" s="2" t="s">
        <v>22</v>
      </c>
      <c r="J705" s="3" t="s">
        <v>23</v>
      </c>
      <c r="M705" s="2">
        <f>IF(J705="1000+", 1000, (LEFT(J705,FIND("-",J705)-1)+RIGHT(J705,LEN(J705)-FIND("-",J705)))/2)</f>
        <v>60</v>
      </c>
      <c r="N705" s="2">
        <f>ROUND(E705 * 0.7+F705 * 0.2+G705 * 0.1,2)</f>
        <v>64.099999999999994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68</v>
      </c>
      <c r="P705" s="2">
        <f>E705 - O705</f>
        <v>-3</v>
      </c>
      <c r="Q705" s="2">
        <f>ROUND(
  SIGN(P705)*
  IF(ABS(P705)&lt;=10,ABS(P705)*0.5,
     IF(ABS(P705)&lt;=15,5+(ABS(P705)-10)*(1.67/5),
        6.67+(ABS(P705)-15)*0.333)),
2)</f>
        <v>-1.5</v>
      </c>
    </row>
    <row r="706" spans="1:17" ht="34.5" customHeight="1" x14ac:dyDescent="0.3">
      <c r="B706" s="2">
        <v>705</v>
      </c>
      <c r="C706" s="17">
        <f>ROUND(MAX(MIN(N706 + Q706, 100), 0), 2)</f>
        <v>62.6</v>
      </c>
      <c r="D706" s="2" t="s">
        <v>570</v>
      </c>
      <c r="E706" s="7">
        <v>65</v>
      </c>
      <c r="F706" s="7">
        <v>65</v>
      </c>
      <c r="G706" s="7">
        <v>66</v>
      </c>
      <c r="H706" s="2" t="s">
        <v>571</v>
      </c>
      <c r="I706" s="2" t="s">
        <v>72</v>
      </c>
      <c r="J706" s="3" t="s">
        <v>18</v>
      </c>
      <c r="M706" s="2">
        <f>IF(J706="1000+", 1000, (LEFT(J706,FIND("-",J706)-1)+RIGHT(J706,LEN(J706)-FIND("-",J706)))/2)</f>
        <v>75</v>
      </c>
      <c r="N706" s="2">
        <f>ROUND(E706 * 0.7+F706 * 0.2+G706 * 0.1,2)</f>
        <v>65.099999999999994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70</v>
      </c>
      <c r="P706" s="2">
        <f>E706 - O706</f>
        <v>-5</v>
      </c>
      <c r="Q706" s="2">
        <f>ROUND(
  SIGN(P706)*
  IF(ABS(P706)&lt;=10,ABS(P706)*0.5,
     IF(ABS(P706)&lt;=15,5+(ABS(P706)-10)*(1.67/5),
        6.67+(ABS(P706)-15)*0.333)),
2)</f>
        <v>-2.5</v>
      </c>
    </row>
    <row r="707" spans="1:17" ht="34.5" customHeight="1" x14ac:dyDescent="0.3">
      <c r="B707" s="2">
        <v>706</v>
      </c>
      <c r="C707" s="17">
        <f>ROUND(MAX(MIN(N707 + Q707, 100), 0), 2)</f>
        <v>62.6</v>
      </c>
      <c r="D707" s="2" t="s">
        <v>612</v>
      </c>
      <c r="E707" s="7">
        <v>63</v>
      </c>
      <c r="F707" s="7">
        <v>65</v>
      </c>
      <c r="G707" s="7">
        <v>65</v>
      </c>
      <c r="H707" s="2" t="s">
        <v>31</v>
      </c>
      <c r="I707" s="2" t="s">
        <v>228</v>
      </c>
      <c r="J707" s="3" t="s">
        <v>32</v>
      </c>
      <c r="M707" s="2">
        <f>IF(J707="1000+", 1000, (LEFT(J707,FIND("-",J707)-1)+RIGHT(J707,LEN(J707)-FIND("-",J707)))/2)</f>
        <v>45</v>
      </c>
      <c r="N707" s="2">
        <f>ROUND(E707 * 0.7+F707 * 0.2+G707 * 0.1,2)</f>
        <v>63.6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-2</v>
      </c>
      <c r="Q707" s="2">
        <f>ROUND(
  SIGN(P707)*
  IF(ABS(P707)&lt;=10,ABS(P707)*0.5,
     IF(ABS(P707)&lt;=15,5+(ABS(P707)-10)*(1.67/5),
        6.67+(ABS(P707)-15)*0.333)),
2)</f>
        <v>-1</v>
      </c>
    </row>
    <row r="708" spans="1:17" ht="34.5" customHeight="1" x14ac:dyDescent="0.3">
      <c r="A708" s="2">
        <v>2026</v>
      </c>
      <c r="B708" s="2">
        <v>707</v>
      </c>
      <c r="C708" s="17">
        <f>ROUND(MAX(MIN(N708 + Q708, 100), 0), 2)</f>
        <v>62.6</v>
      </c>
      <c r="D708" s="2" t="s">
        <v>2008</v>
      </c>
      <c r="E708" s="7">
        <v>65</v>
      </c>
      <c r="F708" s="7">
        <v>69</v>
      </c>
      <c r="G708" s="2">
        <v>58</v>
      </c>
      <c r="H708" s="2" t="s">
        <v>1257</v>
      </c>
      <c r="I708" s="2" t="s">
        <v>1620</v>
      </c>
      <c r="J708" s="3" t="s">
        <v>1264</v>
      </c>
      <c r="M708" s="2">
        <f>IF(J708="1000+", 1000, (LEFT(J708,FIND("-",J708)-1)+RIGHT(J708,LEN(J708)-FIND("-",J708)))/2)</f>
        <v>75</v>
      </c>
      <c r="N708" s="2">
        <f>ROUND(E708 * 0.7+F708 * 0.2+G708 * 0.1,2)</f>
        <v>65.099999999999994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70</v>
      </c>
      <c r="P708" s="2">
        <f>E708 - O708</f>
        <v>-5</v>
      </c>
      <c r="Q708" s="2">
        <f>ROUND(
  SIGN(P708)*
  IF(ABS(P708)&lt;=10,ABS(P708)*0.5,
     IF(ABS(P708)&lt;=15,5+(ABS(P708)-10)*(1.67/5),
        6.67+(ABS(P708)-15)*0.333)),
2)</f>
        <v>-2.5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62.5</v>
      </c>
      <c r="D709" s="2" t="s">
        <v>1721</v>
      </c>
      <c r="E709" s="7">
        <v>65</v>
      </c>
      <c r="F709" s="7">
        <v>60</v>
      </c>
      <c r="G709" s="2">
        <v>25</v>
      </c>
      <c r="H709" s="2" t="s">
        <v>1723</v>
      </c>
      <c r="I709" s="2" t="s">
        <v>36</v>
      </c>
      <c r="J709" s="3" t="s">
        <v>1708</v>
      </c>
      <c r="M709" s="2">
        <f>IF(J709="1000+", 1000, (LEFT(J709,FIND("-",J709)-1)+RIGHT(J709,LEN(J709)-FIND("-",J709)))/2)</f>
        <v>20</v>
      </c>
      <c r="N709" s="2">
        <f>ROUND(E709 * 0.7+F709 * 0.2+G709 * 0.1,2)</f>
        <v>60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60</v>
      </c>
      <c r="P709" s="2">
        <f>E709 - O709</f>
        <v>5</v>
      </c>
      <c r="Q709" s="2">
        <f>ROUND(
  SIGN(P709)*
  IF(ABS(P709)&lt;=10,ABS(P709)*0.5,
     IF(ABS(P709)&lt;=15,5+(ABS(P709)-10)*(1.67/5),
        6.67+(ABS(P709)-15)*0.333)),
2)</f>
        <v>2.5</v>
      </c>
    </row>
    <row r="710" spans="1:17" ht="34.5" customHeight="1" x14ac:dyDescent="0.3">
      <c r="B710" s="2">
        <v>709</v>
      </c>
      <c r="C710" s="17">
        <f>ROUND(MAX(MIN(N710 + Q710, 100), 0), 2)</f>
        <v>62.5</v>
      </c>
      <c r="D710" s="2" t="s">
        <v>573</v>
      </c>
      <c r="E710" s="7">
        <v>65</v>
      </c>
      <c r="F710" s="7">
        <v>65</v>
      </c>
      <c r="G710" s="7">
        <v>65</v>
      </c>
      <c r="H710" s="2" t="s">
        <v>217</v>
      </c>
      <c r="I710" s="2" t="s">
        <v>22</v>
      </c>
      <c r="J710" s="3" t="s">
        <v>18</v>
      </c>
      <c r="M710" s="2">
        <f>IF(J710="1000+", 1000, (LEFT(J710,FIND("-",J710)-1)+RIGHT(J710,LEN(J710)-FIND("-",J710)))/2)</f>
        <v>75</v>
      </c>
      <c r="N710" s="2">
        <f>ROUND(E710 * 0.7+F710 * 0.2+G710 * 0.1,2)</f>
        <v>65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70</v>
      </c>
      <c r="P710" s="2">
        <f>E710 - O710</f>
        <v>-5</v>
      </c>
      <c r="Q710" s="2">
        <f>ROUND(
  SIGN(P710)*
  IF(ABS(P710)&lt;=10,ABS(P710)*0.5,
     IF(ABS(P710)&lt;=15,5+(ABS(P710)-10)*(1.67/5),
        6.67+(ABS(P710)-15)*0.333)),
2)</f>
        <v>-2.5</v>
      </c>
    </row>
    <row r="711" spans="1:17" ht="34.5" customHeight="1" x14ac:dyDescent="0.3">
      <c r="A711" s="2">
        <v>2026</v>
      </c>
      <c r="B711" s="2">
        <v>710</v>
      </c>
      <c r="C711" s="17">
        <f>ROUND(MAX(MIN(N711 + Q711, 100), 0), 2)</f>
        <v>62.43</v>
      </c>
      <c r="D711" s="2" t="s">
        <v>1688</v>
      </c>
      <c r="E711" s="7">
        <v>61</v>
      </c>
      <c r="F711" s="2">
        <v>53</v>
      </c>
      <c r="G711" s="2">
        <v>38</v>
      </c>
      <c r="H711" s="2" t="s">
        <v>1693</v>
      </c>
      <c r="I711" s="2" t="s">
        <v>1697</v>
      </c>
      <c r="J711" s="3" t="s">
        <v>1702</v>
      </c>
      <c r="M711" s="2">
        <f>IF(J711="1000+", 1000, (LEFT(J711,FIND("-",J711)-1)+RIGHT(J711,LEN(J711)-FIND("-",J711)))/2)</f>
        <v>12.5</v>
      </c>
      <c r="N711" s="2">
        <f>ROUND(E711 * 0.7+F711 * 0.2+G711 * 0.1,2)</f>
        <v>57.1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50</v>
      </c>
      <c r="P711" s="2">
        <f>E711 - O711</f>
        <v>11</v>
      </c>
      <c r="Q711" s="2">
        <f>ROUND(
  SIGN(P711)*
  IF(ABS(P711)&lt;=10,ABS(P711)*0.5,
     IF(ABS(P711)&lt;=15,5+(ABS(P711)-10)*(1.67/5),
        6.67+(ABS(P711)-15)*0.333)),
2)</f>
        <v>5.33</v>
      </c>
    </row>
    <row r="712" spans="1:17" ht="34.5" customHeight="1" x14ac:dyDescent="0.3">
      <c r="B712" s="2">
        <v>711</v>
      </c>
      <c r="C712" s="17">
        <f>ROUND(MAX(MIN(N712 + Q712, 100), 0), 2)</f>
        <v>62.4</v>
      </c>
      <c r="D712" s="2" t="s">
        <v>760</v>
      </c>
      <c r="E712" s="7">
        <v>69</v>
      </c>
      <c r="F712" s="2">
        <v>56</v>
      </c>
      <c r="G712" s="2">
        <v>34</v>
      </c>
      <c r="H712" s="2" t="s">
        <v>185</v>
      </c>
      <c r="I712" s="2" t="s">
        <v>22</v>
      </c>
      <c r="J712" s="3" t="s">
        <v>18</v>
      </c>
      <c r="M712" s="2">
        <f>IF(J712="1000+", 1000, (LEFT(J712,FIND("-",J712)-1)+RIGHT(J712,LEN(J712)-FIND("-",J712)))/2)</f>
        <v>75</v>
      </c>
      <c r="N712" s="2">
        <f>ROUND(E712 * 0.7+F712 * 0.2+G712 * 0.1,2)</f>
        <v>62.9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70</v>
      </c>
      <c r="P712" s="2">
        <f>E712 - O712</f>
        <v>-1</v>
      </c>
      <c r="Q712" s="2">
        <f>ROUND(
  SIGN(P712)*
  IF(ABS(P712)&lt;=10,ABS(P712)*0.5,
     IF(ABS(P712)&lt;=15,5+(ABS(P712)-10)*(1.67/5),
        6.67+(ABS(P712)-15)*0.333)),
2)</f>
        <v>-0.5</v>
      </c>
    </row>
    <row r="713" spans="1:17" ht="34.5" customHeight="1" x14ac:dyDescent="0.3">
      <c r="B713" s="2">
        <v>712</v>
      </c>
      <c r="C713" s="17">
        <f>ROUND(MAX(MIN(N713 + Q713, 100), 0), 2)</f>
        <v>62.4</v>
      </c>
      <c r="D713" s="2" t="s">
        <v>548</v>
      </c>
      <c r="E713" s="7">
        <v>63</v>
      </c>
      <c r="F713" s="7">
        <v>53</v>
      </c>
      <c r="G713" s="2">
        <v>37</v>
      </c>
      <c r="H713" s="2" t="s">
        <v>48</v>
      </c>
      <c r="I713" s="2" t="s">
        <v>36</v>
      </c>
      <c r="J713" s="3" t="s">
        <v>37</v>
      </c>
      <c r="K713" s="2" t="s">
        <v>549</v>
      </c>
      <c r="M713" s="2">
        <f>IF(J713="1000+", 1000, (LEFT(J713,FIND("-",J713)-1)+RIGHT(J713,LEN(J713)-FIND("-",J713)))/2)</f>
        <v>15</v>
      </c>
      <c r="N713" s="2">
        <f>ROUND(E713 * 0.7+F713 * 0.2+G713 * 0.1,2)</f>
        <v>58.4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55</v>
      </c>
      <c r="P713" s="2">
        <f>E713 - O713</f>
        <v>8</v>
      </c>
      <c r="Q713" s="2">
        <f>ROUND(
  SIGN(P713)*
  IF(ABS(P713)&lt;=10,ABS(P713)*0.5,
     IF(ABS(P713)&lt;=15,5+(ABS(P713)-10)*(1.67/5),
        6.67+(ABS(P713)-15)*0.333)),
2)</f>
        <v>4</v>
      </c>
    </row>
    <row r="714" spans="1:17" ht="34.5" customHeight="1" x14ac:dyDescent="0.3">
      <c r="B714" s="2">
        <v>713</v>
      </c>
      <c r="C714" s="17">
        <f>ROUND(MAX(MIN(N714 + Q714, 100), 0), 2)</f>
        <v>62.4</v>
      </c>
      <c r="D714" s="2" t="s">
        <v>636</v>
      </c>
      <c r="E714" s="7">
        <v>67</v>
      </c>
      <c r="F714" s="7">
        <v>65</v>
      </c>
      <c r="G714" s="7">
        <v>65</v>
      </c>
      <c r="H714" s="2" t="s">
        <v>391</v>
      </c>
      <c r="I714" s="2" t="s">
        <v>637</v>
      </c>
      <c r="J714" s="3" t="s">
        <v>140</v>
      </c>
      <c r="M714" s="2">
        <f>IF(J714="1000+", 1000, (LEFT(J714,FIND("-",J714)-1)+RIGHT(J714,LEN(J714)-FIND("-",J714)))/2)</f>
        <v>115</v>
      </c>
      <c r="N714" s="2">
        <f>ROUND(E714 * 0.7+F714 * 0.2+G714 * 0.1,2)</f>
        <v>66.400000000000006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75</v>
      </c>
      <c r="P714" s="2">
        <f>E714 - O714</f>
        <v>-8</v>
      </c>
      <c r="Q714" s="2">
        <f>ROUND(
  SIGN(P714)*
  IF(ABS(P714)&lt;=10,ABS(P714)*0.5,
     IF(ABS(P714)&lt;=15,5+(ABS(P714)-10)*(1.67/5),
        6.67+(ABS(P714)-15)*0.333)),
2)</f>
        <v>-4</v>
      </c>
    </row>
    <row r="715" spans="1:17" ht="34.5" customHeight="1" x14ac:dyDescent="0.3">
      <c r="A715" s="2">
        <v>2026</v>
      </c>
      <c r="B715" s="2">
        <v>714</v>
      </c>
      <c r="C715" s="17">
        <f>ROUND(MAX(MIN(N715 + Q715, 100), 0), 2)</f>
        <v>62.4</v>
      </c>
      <c r="D715" s="2" t="s">
        <v>1937</v>
      </c>
      <c r="E715" s="7">
        <v>65</v>
      </c>
      <c r="F715" s="5">
        <v>72</v>
      </c>
      <c r="G715" s="2">
        <v>40</v>
      </c>
      <c r="H715" s="2" t="s">
        <v>1944</v>
      </c>
      <c r="I715" s="2" t="s">
        <v>1259</v>
      </c>
      <c r="J715" s="3" t="s">
        <v>1302</v>
      </c>
      <c r="M715" s="2">
        <f>IF(J715="1000+", 1000, (LEFT(J715,FIND("-",J715)-1)+RIGHT(J715,LEN(J715)-FIND("-",J715)))/2)</f>
        <v>60</v>
      </c>
      <c r="N715" s="2">
        <f>ROUND(E715 * 0.7+F715 * 0.2+G715 * 0.1,2)</f>
        <v>63.9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68</v>
      </c>
      <c r="P715" s="2">
        <f>E715 - O715</f>
        <v>-3</v>
      </c>
      <c r="Q715" s="2">
        <f>ROUND(
  SIGN(P715)*
  IF(ABS(P715)&lt;=10,ABS(P715)*0.5,
     IF(ABS(P715)&lt;=15,5+(ABS(P715)-10)*(1.67/5),
        6.67+(ABS(P715)-15)*0.333)),
2)</f>
        <v>-1.5</v>
      </c>
    </row>
    <row r="716" spans="1:17" ht="34.5" customHeight="1" x14ac:dyDescent="0.3">
      <c r="A716" s="2">
        <v>2026</v>
      </c>
      <c r="B716" s="2">
        <v>715</v>
      </c>
      <c r="C716" s="17">
        <f>ROUND(MAX(MIN(N716 + Q716, 100), 0), 2)</f>
        <v>62.4</v>
      </c>
      <c r="D716" s="2" t="s">
        <v>1958</v>
      </c>
      <c r="E716" s="7">
        <v>66</v>
      </c>
      <c r="F716" s="7">
        <v>63</v>
      </c>
      <c r="G716" s="7">
        <v>66</v>
      </c>
      <c r="H716" s="2" t="s">
        <v>31</v>
      </c>
      <c r="I716" s="2" t="s">
        <v>1727</v>
      </c>
      <c r="J716" s="3" t="s">
        <v>1279</v>
      </c>
      <c r="M716" s="2">
        <f>IF(J716="1000+", 1000, (LEFT(J716,FIND("-",J716)-1)+RIGHT(J716,LEN(J716)-FIND("-",J716)))/2)</f>
        <v>105</v>
      </c>
      <c r="N716" s="2">
        <f>ROUND(E716 * 0.7+F716 * 0.2+G716 * 0.1,2)</f>
        <v>65.400000000000006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72</v>
      </c>
      <c r="P716" s="2">
        <f>E716 - O716</f>
        <v>-6</v>
      </c>
      <c r="Q716" s="2">
        <f>ROUND(
  SIGN(P716)*
  IF(ABS(P716)&lt;=10,ABS(P716)*0.5,
     IF(ABS(P716)&lt;=15,5+(ABS(P716)-10)*(1.67/5),
        6.67+(ABS(P716)-15)*0.333)),
2)</f>
        <v>-3</v>
      </c>
    </row>
    <row r="717" spans="1:17" ht="34.5" customHeight="1" x14ac:dyDescent="0.3">
      <c r="B717" s="2">
        <v>716</v>
      </c>
      <c r="C717" s="17">
        <f>ROUND(MAX(MIN(N717 + Q717, 100), 0), 2)</f>
        <v>62.3</v>
      </c>
      <c r="D717" s="2" t="s">
        <v>638</v>
      </c>
      <c r="E717" s="5">
        <v>72</v>
      </c>
      <c r="F717" s="7">
        <v>63</v>
      </c>
      <c r="G717" s="2">
        <v>33</v>
      </c>
      <c r="H717" s="2" t="s">
        <v>75</v>
      </c>
      <c r="I717" s="2" t="s">
        <v>241</v>
      </c>
      <c r="J717" s="3" t="s">
        <v>88</v>
      </c>
      <c r="K717" s="2" t="s">
        <v>639</v>
      </c>
      <c r="M717" s="2">
        <f>IF(J717="1000+", 1000, (LEFT(J717,FIND("-",J717)-1)+RIGHT(J717,LEN(J717)-FIND("-",J717)))/2)</f>
        <v>150</v>
      </c>
      <c r="N717" s="2">
        <f>ROUND(E717 * 0.7+F717 * 0.2+G717 * 0.1,2)</f>
        <v>66.3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80</v>
      </c>
      <c r="P717" s="2">
        <f>E717 - O717</f>
        <v>-8</v>
      </c>
      <c r="Q717" s="2">
        <f>ROUND(
  SIGN(P717)*
  IF(ABS(P717)&lt;=10,ABS(P717)*0.5,
     IF(ABS(P717)&lt;=15,5+(ABS(P717)-10)*(1.67/5),
        6.67+(ABS(P717)-15)*0.333)),
2)</f>
        <v>-4</v>
      </c>
    </row>
    <row r="718" spans="1:17" ht="34.5" customHeight="1" x14ac:dyDescent="0.3">
      <c r="B718" s="2">
        <v>717</v>
      </c>
      <c r="C718" s="17">
        <f>ROUND(MAX(MIN(N718 + Q718, 100), 0), 2)</f>
        <v>62.3</v>
      </c>
      <c r="D718" s="2" t="s">
        <v>750</v>
      </c>
      <c r="E718" s="7">
        <v>65</v>
      </c>
      <c r="F718" s="2">
        <v>54</v>
      </c>
      <c r="G718" s="2">
        <v>45</v>
      </c>
      <c r="H718" s="2" t="s">
        <v>48</v>
      </c>
      <c r="I718" s="2" t="s">
        <v>72</v>
      </c>
      <c r="J718" s="3" t="s">
        <v>146</v>
      </c>
      <c r="M718" s="2">
        <f>IF(J718="1000+", 1000, (LEFT(J718,FIND("-",J718)-1)+RIGHT(J718,LEN(J718)-FIND("-",J718)))/2)</f>
        <v>30</v>
      </c>
      <c r="N718" s="2">
        <f>ROUND(E718 * 0.7+F718 * 0.2+G718 * 0.1,2)</f>
        <v>60.8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62</v>
      </c>
      <c r="P718" s="2">
        <f>E718 - O718</f>
        <v>3</v>
      </c>
      <c r="Q718" s="2">
        <f>ROUND(
  SIGN(P718)*
  IF(ABS(P718)&lt;=10,ABS(P718)*0.5,
     IF(ABS(P718)&lt;=15,5+(ABS(P718)-10)*(1.67/5),
        6.67+(ABS(P718)-15)*0.333)),
2)</f>
        <v>1.5</v>
      </c>
    </row>
    <row r="719" spans="1:17" ht="34.5" customHeight="1" x14ac:dyDescent="0.3">
      <c r="A719" s="2">
        <v>2026</v>
      </c>
      <c r="B719" s="2">
        <v>718</v>
      </c>
      <c r="C719" s="17">
        <f>ROUND(MAX(MIN(N719 + Q719, 100), 0), 2)</f>
        <v>62.3</v>
      </c>
      <c r="D719" s="2" t="s">
        <v>1861</v>
      </c>
      <c r="E719" s="7">
        <v>65</v>
      </c>
      <c r="F719" s="2">
        <v>56</v>
      </c>
      <c r="G719" s="2">
        <v>56</v>
      </c>
      <c r="H719" s="2" t="s">
        <v>1257</v>
      </c>
      <c r="I719" s="2" t="s">
        <v>36</v>
      </c>
      <c r="J719" s="3" t="s">
        <v>1262</v>
      </c>
      <c r="M719" s="2">
        <f>IF(J719="1000+", 1000, (LEFT(J719,FIND("-",J719)-1)+RIGHT(J719,LEN(J719)-FIND("-",J719)))/2)</f>
        <v>45</v>
      </c>
      <c r="N719" s="2">
        <f>ROUND(E719 * 0.7+F719 * 0.2+G719 * 0.1,2)</f>
        <v>62.3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65</v>
      </c>
      <c r="P719" s="2">
        <f>E719 - O719</f>
        <v>0</v>
      </c>
      <c r="Q719" s="2">
        <f>ROUND(
  SIGN(P719)*
  IF(ABS(P719)&lt;=10,ABS(P719)*0.5,
     IF(ABS(P719)&lt;=15,5+(ABS(P719)-10)*(1.67/5),
        6.67+(ABS(P719)-15)*0.333)),
2)</f>
        <v>0</v>
      </c>
    </row>
    <row r="720" spans="1:17" ht="34.5" customHeight="1" x14ac:dyDescent="0.3">
      <c r="A720" s="2">
        <v>2026</v>
      </c>
      <c r="B720" s="2">
        <v>719</v>
      </c>
      <c r="C720" s="17">
        <f>ROUND(MAX(MIN(N720 + Q720, 100), 0), 2)</f>
        <v>62.3</v>
      </c>
      <c r="D720" s="2" t="s">
        <v>1718</v>
      </c>
      <c r="E720" s="7">
        <v>67</v>
      </c>
      <c r="F720" s="7">
        <v>64</v>
      </c>
      <c r="G720" s="2">
        <v>51</v>
      </c>
      <c r="H720" s="2" t="s">
        <v>1726</v>
      </c>
      <c r="I720" s="2" t="s">
        <v>1732</v>
      </c>
      <c r="J720" s="3" t="s">
        <v>1733</v>
      </c>
      <c r="M720" s="2">
        <f>IF(J720="1000+", 1000, (LEFT(J720,FIND("-",J720)-1)+RIGHT(J720,LEN(J720)-FIND("-",J720)))/2)</f>
        <v>105</v>
      </c>
      <c r="N720" s="2">
        <f>ROUND(E720 * 0.7+F720 * 0.2+G720 * 0.1,2)</f>
        <v>64.8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72</v>
      </c>
      <c r="P720" s="2">
        <f>E720 - O720</f>
        <v>-5</v>
      </c>
      <c r="Q720" s="2">
        <f>ROUND(
  SIGN(P720)*
  IF(ABS(P720)&lt;=10,ABS(P720)*0.5,
     IF(ABS(P720)&lt;=15,5+(ABS(P720)-10)*(1.67/5),
        6.67+(ABS(P720)-15)*0.333)),
2)</f>
        <v>-2.5</v>
      </c>
    </row>
    <row r="721" spans="1:17" ht="34.5" customHeight="1" x14ac:dyDescent="0.3">
      <c r="B721" s="2">
        <v>720</v>
      </c>
      <c r="C721" s="17">
        <f>ROUND(MAX(MIN(N721 + Q721, 100), 0), 2)</f>
        <v>62.3</v>
      </c>
      <c r="D721" s="2" t="s">
        <v>664</v>
      </c>
      <c r="E721" s="7">
        <v>68</v>
      </c>
      <c r="F721" s="7">
        <v>60</v>
      </c>
      <c r="G721" s="7">
        <v>62</v>
      </c>
      <c r="H721" s="2" t="s">
        <v>31</v>
      </c>
      <c r="I721" s="2" t="s">
        <v>165</v>
      </c>
      <c r="J721" s="3" t="s">
        <v>140</v>
      </c>
      <c r="M721" s="2">
        <f>IF(J721="1000+", 1000, (LEFT(J721,FIND("-",J721)-1)+RIGHT(J721,LEN(J721)-FIND("-",J721)))/2)</f>
        <v>115</v>
      </c>
      <c r="N721" s="2">
        <f>ROUND(E721 * 0.7+F721 * 0.2+G721 * 0.1,2)</f>
        <v>65.8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75</v>
      </c>
      <c r="P721" s="2">
        <f>E721 - O721</f>
        <v>-7</v>
      </c>
      <c r="Q721" s="2">
        <f>ROUND(
  SIGN(P721)*
  IF(ABS(P721)&lt;=10,ABS(P721)*0.5,
     IF(ABS(P721)&lt;=15,5+(ABS(P721)-10)*(1.67/5),
        6.67+(ABS(P721)-15)*0.333)),
2)</f>
        <v>-3.5</v>
      </c>
    </row>
    <row r="722" spans="1:17" ht="34.5" customHeight="1" x14ac:dyDescent="0.3">
      <c r="B722" s="2">
        <v>721</v>
      </c>
      <c r="C722" s="17">
        <f>ROUND(MAX(MIN(N722 + Q722, 100), 0), 2)</f>
        <v>62.3</v>
      </c>
      <c r="D722" s="2" t="s">
        <v>763</v>
      </c>
      <c r="E722" s="5">
        <v>71</v>
      </c>
      <c r="F722" s="5">
        <v>71</v>
      </c>
      <c r="G722" s="7">
        <v>64</v>
      </c>
      <c r="H722" s="2" t="s">
        <v>434</v>
      </c>
      <c r="I722" s="2" t="s">
        <v>637</v>
      </c>
      <c r="J722" s="3" t="s">
        <v>42</v>
      </c>
      <c r="M722" s="2">
        <f>IF(J722="1000+", 1000, (LEFT(J722,FIND("-",J722)-1)+RIGHT(J722,LEN(J722)-FIND("-",J722)))/2)</f>
        <v>600</v>
      </c>
      <c r="N722" s="2">
        <f>ROUND(E722 * 0.7+F722 * 0.2+G722 * 0.1,2)</f>
        <v>70.3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90</v>
      </c>
      <c r="P722" s="2">
        <f>E722 - O722</f>
        <v>-19</v>
      </c>
      <c r="Q722" s="2">
        <f>ROUND(
  SIGN(P722)*
  IF(ABS(P722)&lt;=10,ABS(P722)*0.5,
     IF(ABS(P722)&lt;=15,5+(ABS(P722)-10)*(1.67/5),
        6.67+(ABS(P722)-15)*0.333)),
2)</f>
        <v>-8</v>
      </c>
    </row>
    <row r="723" spans="1:17" ht="34.5" customHeight="1" x14ac:dyDescent="0.3">
      <c r="A723" s="2">
        <v>2026</v>
      </c>
      <c r="B723" s="2">
        <v>722</v>
      </c>
      <c r="C723" s="17">
        <f>ROUND(MAX(MIN(N723 + Q723, 100), 0), 2)</f>
        <v>62.3</v>
      </c>
      <c r="D723" s="2" t="s">
        <v>1949</v>
      </c>
      <c r="E723" s="2">
        <v>68</v>
      </c>
      <c r="F723" s="2">
        <v>60</v>
      </c>
      <c r="G723" s="2">
        <v>62</v>
      </c>
      <c r="H723" s="2" t="s">
        <v>1483</v>
      </c>
      <c r="I723" s="2" t="s">
        <v>1484</v>
      </c>
      <c r="J723" s="3" t="s">
        <v>1301</v>
      </c>
      <c r="M723" s="2">
        <f>IF(J723="1000+", 1000, (LEFT(J723,FIND("-",J723)-1)+RIGHT(J723,LEN(J723)-FIND("-",J723)))/2)</f>
        <v>115</v>
      </c>
      <c r="N723" s="2">
        <f>ROUND(E723 * 0.7+F723 * 0.2+G723 * 0.1,2)</f>
        <v>65.8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75</v>
      </c>
      <c r="P723" s="2">
        <f>E723 - O723</f>
        <v>-7</v>
      </c>
      <c r="Q723" s="2">
        <f>ROUND(
  SIGN(P723)*
  IF(ABS(P723)&lt;=10,ABS(P723)*0.5,
     IF(ABS(P723)&lt;=15,5+(ABS(P723)-10)*(1.67/5),
        6.67+(ABS(P723)-15)*0.333)),
2)</f>
        <v>-3.5</v>
      </c>
    </row>
    <row r="724" spans="1:17" ht="34.5" customHeight="1" x14ac:dyDescent="0.3">
      <c r="B724" s="2">
        <v>723</v>
      </c>
      <c r="C724" s="17">
        <f>ROUND(MAX(MIN(N724 + Q724, 100), 0), 2)</f>
        <v>62.23</v>
      </c>
      <c r="D724" s="2" t="s">
        <v>598</v>
      </c>
      <c r="E724" s="7">
        <v>68</v>
      </c>
      <c r="F724" s="7">
        <v>68</v>
      </c>
      <c r="G724" s="7">
        <v>67</v>
      </c>
      <c r="H724" s="2" t="s">
        <v>599</v>
      </c>
      <c r="I724" s="2" t="s">
        <v>41</v>
      </c>
      <c r="J724" s="3" t="s">
        <v>88</v>
      </c>
      <c r="M724" s="2">
        <f>IF(J724="1000+", 1000, (LEFT(J724,FIND("-",J724)-1)+RIGHT(J724,LEN(J724)-FIND("-",J724)))/2)</f>
        <v>150</v>
      </c>
      <c r="N724" s="2">
        <f>ROUND(E724 * 0.7+F724 * 0.2+G724 * 0.1,2)</f>
        <v>67.900000000000006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80</v>
      </c>
      <c r="P724" s="2">
        <f>E724 - O724</f>
        <v>-12</v>
      </c>
      <c r="Q724" s="2">
        <f>ROUND(
  SIGN(P724)*
  IF(ABS(P724)&lt;=10,ABS(P724)*0.5,
     IF(ABS(P724)&lt;=15,5+(ABS(P724)-10)*(1.67/5),
        6.67+(ABS(P724)-15)*0.333)),
2)</f>
        <v>-5.67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62.2</v>
      </c>
      <c r="D725" s="11" t="s">
        <v>1321</v>
      </c>
      <c r="E725" s="7">
        <v>65</v>
      </c>
      <c r="F725" s="2">
        <v>57</v>
      </c>
      <c r="G725" s="2">
        <v>38</v>
      </c>
      <c r="H725" s="11" t="s">
        <v>1256</v>
      </c>
      <c r="I725" s="11" t="s">
        <v>1258</v>
      </c>
      <c r="J725" s="19" t="s">
        <v>1263</v>
      </c>
      <c r="M725" s="2">
        <f>IF(J725="1000+", 1000, (LEFT(J725,FIND("-",J725)-1)+RIGHT(J725,LEN(J725)-FIND("-",J725)))/2)</f>
        <v>30</v>
      </c>
      <c r="N725" s="2">
        <f>ROUND(E725 * 0.7+F725 * 0.2+G725 * 0.1,2)</f>
        <v>60.7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62</v>
      </c>
      <c r="P725" s="2">
        <f>E725 - O725</f>
        <v>3</v>
      </c>
      <c r="Q725" s="2">
        <f>ROUND(
  SIGN(P725)*
  IF(ABS(P725)&lt;=10,ABS(P725)*0.5,
     IF(ABS(P725)&lt;=15,5+(ABS(P725)-10)*(1.67/5),
        6.67+(ABS(P725)-15)*0.333)),
2)</f>
        <v>1.5</v>
      </c>
    </row>
    <row r="726" spans="1:17" ht="34.5" customHeight="1" x14ac:dyDescent="0.3">
      <c r="B726" s="2">
        <v>725</v>
      </c>
      <c r="C726" s="17">
        <f>ROUND(MAX(MIN(N726 + Q726, 100), 0), 2)</f>
        <v>62.2</v>
      </c>
      <c r="D726" s="2" t="s">
        <v>726</v>
      </c>
      <c r="E726" s="7">
        <v>66</v>
      </c>
      <c r="F726" s="2">
        <v>55</v>
      </c>
      <c r="G726" s="2">
        <v>45</v>
      </c>
      <c r="H726" s="2" t="s">
        <v>48</v>
      </c>
      <c r="I726" s="2" t="s">
        <v>72</v>
      </c>
      <c r="J726" s="3" t="s">
        <v>32</v>
      </c>
      <c r="M726" s="2">
        <f>IF(J726="1000+", 1000, (LEFT(J726,FIND("-",J726)-1)+RIGHT(J726,LEN(J726)-FIND("-",J726)))/2)</f>
        <v>45</v>
      </c>
      <c r="N726" s="2">
        <f>ROUND(E726 * 0.7+F726 * 0.2+G726 * 0.1,2)</f>
        <v>61.7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65</v>
      </c>
      <c r="P726" s="2">
        <f>E726 - O726</f>
        <v>1</v>
      </c>
      <c r="Q726" s="2">
        <f>ROUND(
  SIGN(P726)*
  IF(ABS(P726)&lt;=10,ABS(P726)*0.5,
     IF(ABS(P726)&lt;=15,5+(ABS(P726)-10)*(1.67/5),
        6.67+(ABS(P726)-15)*0.333)),
2)</f>
        <v>0.5</v>
      </c>
    </row>
    <row r="727" spans="1:17" ht="34.5" customHeight="1" x14ac:dyDescent="0.3">
      <c r="B727" s="2">
        <v>726</v>
      </c>
      <c r="C727" s="17">
        <f>ROUND(MAX(MIN(N727 + Q727, 100), 0), 2)</f>
        <v>62.2</v>
      </c>
      <c r="D727" s="2" t="s">
        <v>650</v>
      </c>
      <c r="E727" s="7">
        <v>67</v>
      </c>
      <c r="F727" s="7">
        <v>66</v>
      </c>
      <c r="G727" s="7">
        <v>61</v>
      </c>
      <c r="H727" s="2" t="s">
        <v>71</v>
      </c>
      <c r="I727" s="2" t="s">
        <v>637</v>
      </c>
      <c r="J727" s="3" t="s">
        <v>140</v>
      </c>
      <c r="M727" s="2">
        <f>IF(J727="1000+", 1000, (LEFT(J727,FIND("-",J727)-1)+RIGHT(J727,LEN(J727)-FIND("-",J727)))/2)</f>
        <v>115</v>
      </c>
      <c r="N727" s="2">
        <f>ROUND(E727 * 0.7+F727 * 0.2+G727 * 0.1,2)</f>
        <v>66.2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75</v>
      </c>
      <c r="P727" s="2">
        <f>E727 - O727</f>
        <v>-8</v>
      </c>
      <c r="Q727" s="2">
        <f>ROUND(
  SIGN(P727)*
  IF(ABS(P727)&lt;=10,ABS(P727)*0.5,
     IF(ABS(P727)&lt;=15,5+(ABS(P727)-10)*(1.67/5),
        6.67+(ABS(P727)-15)*0.333)),
2)</f>
        <v>-4</v>
      </c>
    </row>
    <row r="728" spans="1:17" ht="34.5" customHeight="1" x14ac:dyDescent="0.3">
      <c r="B728" s="2">
        <v>727</v>
      </c>
      <c r="C728" s="17">
        <f>ROUND(MAX(MIN(N728 + Q728, 100), 0), 2)</f>
        <v>62.1</v>
      </c>
      <c r="D728" s="2" t="s">
        <v>781</v>
      </c>
      <c r="E728" s="7">
        <v>69</v>
      </c>
      <c r="F728" s="2">
        <v>49</v>
      </c>
      <c r="G728" s="2">
        <v>45</v>
      </c>
      <c r="H728" s="2" t="s">
        <v>48</v>
      </c>
      <c r="I728" s="2" t="s">
        <v>218</v>
      </c>
      <c r="J728" s="3" t="s">
        <v>18</v>
      </c>
      <c r="M728" s="2">
        <f>IF(J728="1000+", 1000, (LEFT(J728,FIND("-",J728)-1)+RIGHT(J728,LEN(J728)-FIND("-",J728)))/2)</f>
        <v>75</v>
      </c>
      <c r="N728" s="2">
        <f>ROUND(E728 * 0.7+F728 * 0.2+G728 * 0.1,2)</f>
        <v>62.6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70</v>
      </c>
      <c r="P728" s="2">
        <f>E728 - O728</f>
        <v>-1</v>
      </c>
      <c r="Q728" s="2">
        <f>ROUND(
  SIGN(P728)*
  IF(ABS(P728)&lt;=10,ABS(P728)*0.5,
     IF(ABS(P728)&lt;=15,5+(ABS(P728)-10)*(1.67/5),
        6.67+(ABS(P728)-15)*0.333)),
2)</f>
        <v>-0.5</v>
      </c>
    </row>
    <row r="729" spans="1:17" ht="34.5" customHeight="1" x14ac:dyDescent="0.3">
      <c r="B729" s="2">
        <v>728</v>
      </c>
      <c r="C729" s="17">
        <f>ROUND(MAX(MIN(N729 + Q729, 100), 0), 2)</f>
        <v>62.1</v>
      </c>
      <c r="D729" s="2" t="s">
        <v>784</v>
      </c>
      <c r="E729" s="7">
        <v>69</v>
      </c>
      <c r="F729" s="2">
        <v>49</v>
      </c>
      <c r="G729" s="2">
        <v>45</v>
      </c>
      <c r="H729" s="2" t="s">
        <v>61</v>
      </c>
      <c r="I729" s="2" t="s">
        <v>22</v>
      </c>
      <c r="J729" s="3" t="s">
        <v>18</v>
      </c>
      <c r="M729" s="2">
        <f>IF(J729="1000+", 1000, (LEFT(J729,FIND("-",J729)-1)+RIGHT(J729,LEN(J729)-FIND("-",J729)))/2)</f>
        <v>75</v>
      </c>
      <c r="N729" s="2">
        <f>ROUND(E729 * 0.7+F729 * 0.2+G729 * 0.1,2)</f>
        <v>62.6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70</v>
      </c>
      <c r="P729" s="2">
        <f>E729 - O729</f>
        <v>-1</v>
      </c>
      <c r="Q729" s="2">
        <f>ROUND(
  SIGN(P729)*
  IF(ABS(P729)&lt;=10,ABS(P729)*0.5,
     IF(ABS(P729)&lt;=15,5+(ABS(P729)-10)*(1.67/5),
        6.67+(ABS(P729)-15)*0.333)),
2)</f>
        <v>-0.5</v>
      </c>
    </row>
    <row r="730" spans="1:17" ht="34.5" customHeight="1" x14ac:dyDescent="0.3">
      <c r="A730" s="2">
        <v>2026</v>
      </c>
      <c r="B730" s="2">
        <v>729</v>
      </c>
      <c r="C730" s="17">
        <f>ROUND(MAX(MIN(N730 + Q730, 100), 0), 2)</f>
        <v>62.1</v>
      </c>
      <c r="D730" s="11" t="s">
        <v>1293</v>
      </c>
      <c r="E730" s="7">
        <v>65</v>
      </c>
      <c r="F730" s="2">
        <v>53</v>
      </c>
      <c r="G730" s="2">
        <v>35</v>
      </c>
      <c r="H730" s="11" t="s">
        <v>1256</v>
      </c>
      <c r="I730" s="11" t="s">
        <v>1288</v>
      </c>
      <c r="J730" s="19" t="s">
        <v>1261</v>
      </c>
      <c r="M730" s="2">
        <f>IF(J730="1000+", 1000, (LEFT(J730,FIND("-",J730)-1)+RIGHT(J730,LEN(J730)-FIND("-",J730)))/2)</f>
        <v>20</v>
      </c>
      <c r="N730" s="2">
        <f>ROUND(E730 * 0.7+F730 * 0.2+G730 * 0.1,2)</f>
        <v>59.6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60</v>
      </c>
      <c r="P730" s="2">
        <f>E730 - O730</f>
        <v>5</v>
      </c>
      <c r="Q730" s="2">
        <f>ROUND(
  SIGN(P730)*
  IF(ABS(P730)&lt;=10,ABS(P730)*0.5,
     IF(ABS(P730)&lt;=15,5+(ABS(P730)-10)*(1.67/5),
        6.67+(ABS(P730)-15)*0.333)),
2)</f>
        <v>2.5</v>
      </c>
    </row>
    <row r="731" spans="1:17" ht="34.5" customHeight="1" x14ac:dyDescent="0.3">
      <c r="B731" s="2">
        <v>730</v>
      </c>
      <c r="C731" s="17">
        <f>ROUND(MAX(MIN(N731 + Q731, 100), 0), 2)</f>
        <v>62.1</v>
      </c>
      <c r="D731" s="2" t="s">
        <v>729</v>
      </c>
      <c r="E731" s="7">
        <v>64</v>
      </c>
      <c r="F731" s="2">
        <v>50</v>
      </c>
      <c r="G731" s="7">
        <v>63</v>
      </c>
      <c r="H731" s="2" t="s">
        <v>53</v>
      </c>
      <c r="I731" s="2" t="s">
        <v>447</v>
      </c>
      <c r="J731" s="3" t="s">
        <v>146</v>
      </c>
      <c r="M731" s="2">
        <f>IF(J731="1000+", 1000, (LEFT(J731,FIND("-",J731)-1)+RIGHT(J731,LEN(J731)-FIND("-",J731)))/2)</f>
        <v>30</v>
      </c>
      <c r="N731" s="2">
        <f>ROUND(E731 * 0.7+F731 * 0.2+G731 * 0.1,2)</f>
        <v>61.1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62</v>
      </c>
      <c r="P731" s="2">
        <f>E731 - O731</f>
        <v>2</v>
      </c>
      <c r="Q731" s="2">
        <f>ROUND(
  SIGN(P731)*
  IF(ABS(P731)&lt;=10,ABS(P731)*0.5,
     IF(ABS(P731)&lt;=15,5+(ABS(P731)-10)*(1.67/5),
        6.67+(ABS(P731)-15)*0.333)),
2)</f>
        <v>1</v>
      </c>
    </row>
    <row r="732" spans="1:17" ht="34.5" customHeight="1" x14ac:dyDescent="0.3">
      <c r="B732" s="2">
        <v>731</v>
      </c>
      <c r="C732" s="17">
        <f>ROUND(MAX(MIN(N732 + Q732, 100), 0), 2)</f>
        <v>62.1</v>
      </c>
      <c r="D732" s="2" t="s">
        <v>681</v>
      </c>
      <c r="E732" s="7">
        <v>68</v>
      </c>
      <c r="F732" s="7">
        <v>64</v>
      </c>
      <c r="G732" s="2">
        <v>52</v>
      </c>
      <c r="H732" s="2" t="s">
        <v>31</v>
      </c>
      <c r="I732" s="2" t="s">
        <v>165</v>
      </c>
      <c r="J732" s="3" t="s">
        <v>140</v>
      </c>
      <c r="M732" s="2">
        <f>IF(J732="1000+", 1000, (LEFT(J732,FIND("-",J732)-1)+RIGHT(J732,LEN(J732)-FIND("-",J732)))/2)</f>
        <v>115</v>
      </c>
      <c r="N732" s="2">
        <f>ROUND(E732 * 0.7+F732 * 0.2+G732 * 0.1,2)</f>
        <v>65.599999999999994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75</v>
      </c>
      <c r="P732" s="2">
        <f>E732 - O732</f>
        <v>-7</v>
      </c>
      <c r="Q732" s="2">
        <f>ROUND(
  SIGN(P732)*
  IF(ABS(P732)&lt;=10,ABS(P732)*0.5,
     IF(ABS(P732)&lt;=15,5+(ABS(P732)-10)*(1.67/5),
        6.67+(ABS(P732)-15)*0.333)),
2)</f>
        <v>-3.5</v>
      </c>
    </row>
    <row r="733" spans="1:17" ht="34.5" customHeight="1" x14ac:dyDescent="0.3">
      <c r="B733" s="2">
        <v>732</v>
      </c>
      <c r="C733" s="17">
        <f>ROUND(MAX(MIN(N733 + Q733, 100), 0), 2)</f>
        <v>62</v>
      </c>
      <c r="D733" s="2" t="s">
        <v>808</v>
      </c>
      <c r="E733" s="5">
        <v>70</v>
      </c>
      <c r="F733" s="2">
        <v>50</v>
      </c>
      <c r="G733" s="2">
        <v>40</v>
      </c>
      <c r="H733" s="2" t="s">
        <v>401</v>
      </c>
      <c r="I733" s="2" t="s">
        <v>218</v>
      </c>
      <c r="J733" s="3" t="s">
        <v>122</v>
      </c>
      <c r="M733" s="2">
        <f>IF(J733="1000+", 1000, (LEFT(J733,FIND("-",J733)-1)+RIGHT(J733,LEN(J733)-FIND("-",J733)))/2)</f>
        <v>105</v>
      </c>
      <c r="N733" s="2">
        <f>ROUND(E733 * 0.7+F733 * 0.2+G733 * 0.1,2)</f>
        <v>63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72</v>
      </c>
      <c r="P733" s="2">
        <f>E733 - O733</f>
        <v>-2</v>
      </c>
      <c r="Q733" s="2">
        <f>ROUND(
  SIGN(P733)*
  IF(ABS(P733)&lt;=10,ABS(P733)*0.5,
     IF(ABS(P733)&lt;=15,5+(ABS(P733)-10)*(1.67/5),
        6.67+(ABS(P733)-15)*0.333)),
2)</f>
        <v>-1</v>
      </c>
    </row>
    <row r="734" spans="1:17" ht="34.5" customHeight="1" x14ac:dyDescent="0.3">
      <c r="A734" s="2">
        <v>2026</v>
      </c>
      <c r="B734" s="2">
        <v>733</v>
      </c>
      <c r="C734" s="17">
        <f>ROUND(MAX(MIN(N734 + Q734, 100), 0), 2)</f>
        <v>62</v>
      </c>
      <c r="D734" s="2" t="s">
        <v>1829</v>
      </c>
      <c r="E734" s="7">
        <v>64</v>
      </c>
      <c r="F734" s="2">
        <v>52</v>
      </c>
      <c r="G734" s="2">
        <v>48</v>
      </c>
      <c r="H734" s="2" t="s">
        <v>1256</v>
      </c>
      <c r="I734" s="2" t="s">
        <v>36</v>
      </c>
      <c r="J734" s="3" t="s">
        <v>1261</v>
      </c>
      <c r="M734" s="2">
        <f>IF(J734="1000+", 1000, (LEFT(J734,FIND("-",J734)-1)+RIGHT(J734,LEN(J734)-FIND("-",J734)))/2)</f>
        <v>20</v>
      </c>
      <c r="N734" s="2">
        <f>ROUND(E734 * 0.7+F734 * 0.2+G734 * 0.1,2)</f>
        <v>60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60</v>
      </c>
      <c r="P734" s="2">
        <f>E734 - O734</f>
        <v>4</v>
      </c>
      <c r="Q734" s="2">
        <f>ROUND(
  SIGN(P734)*
  IF(ABS(P734)&lt;=10,ABS(P734)*0.5,
     IF(ABS(P734)&lt;=15,5+(ABS(P734)-10)*(1.67/5),
        6.67+(ABS(P734)-15)*0.333)),
2)</f>
        <v>2</v>
      </c>
    </row>
    <row r="735" spans="1:17" ht="34.5" customHeight="1" x14ac:dyDescent="0.3">
      <c r="A735" s="2">
        <v>2026</v>
      </c>
      <c r="B735" s="2">
        <v>734</v>
      </c>
      <c r="C735" s="17">
        <f>ROUND(MAX(MIN(N735 + Q735, 100), 0), 2)</f>
        <v>62</v>
      </c>
      <c r="D735" s="2" t="s">
        <v>1362</v>
      </c>
      <c r="E735" s="7">
        <v>64</v>
      </c>
      <c r="F735" s="2">
        <v>58</v>
      </c>
      <c r="G735" s="2">
        <v>46</v>
      </c>
      <c r="H735" s="2" t="s">
        <v>1256</v>
      </c>
      <c r="I735" s="2" t="s">
        <v>36</v>
      </c>
      <c r="J735" s="3" t="s">
        <v>1263</v>
      </c>
      <c r="M735" s="2">
        <f>IF(J735="1000+", 1000, (LEFT(J735,FIND("-",J735)-1)+RIGHT(J735,LEN(J735)-FIND("-",J735)))/2)</f>
        <v>30</v>
      </c>
      <c r="N735" s="2">
        <f>ROUND(E735 * 0.7+F735 * 0.2+G735 * 0.1,2)</f>
        <v>61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62</v>
      </c>
      <c r="P735" s="2">
        <f>E735 - O735</f>
        <v>2</v>
      </c>
      <c r="Q735" s="2">
        <f>ROUND(
  SIGN(P735)*
  IF(ABS(P735)&lt;=10,ABS(P735)*0.5,
     IF(ABS(P735)&lt;=15,5+(ABS(P735)-10)*(1.67/5),
        6.67+(ABS(P735)-15)*0.333)),
2)</f>
        <v>1</v>
      </c>
    </row>
    <row r="736" spans="1:17" ht="34.5" customHeight="1" x14ac:dyDescent="0.3">
      <c r="B736" s="2">
        <v>735</v>
      </c>
      <c r="C736" s="17">
        <f>ROUND(MAX(MIN(N736 + Q736, 100), 0), 2)</f>
        <v>62</v>
      </c>
      <c r="D736" s="2" t="s">
        <v>716</v>
      </c>
      <c r="E736" s="7">
        <v>65</v>
      </c>
      <c r="F736" s="2">
        <v>55</v>
      </c>
      <c r="G736" s="2">
        <v>55</v>
      </c>
      <c r="H736" s="2" t="s">
        <v>48</v>
      </c>
      <c r="I736" s="2" t="s">
        <v>218</v>
      </c>
      <c r="J736" s="3" t="s">
        <v>32</v>
      </c>
      <c r="M736" s="2">
        <f>IF(J736="1000+", 1000, (LEFT(J736,FIND("-",J736)-1)+RIGHT(J736,LEN(J736)-FIND("-",J736)))/2)</f>
        <v>45</v>
      </c>
      <c r="N736" s="2">
        <f>ROUND(E736 * 0.7+F736 * 0.2+G736 * 0.1,2)</f>
        <v>62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65</v>
      </c>
      <c r="P736" s="2">
        <f>E736 - O736</f>
        <v>0</v>
      </c>
      <c r="Q736" s="2">
        <f>ROUND(
  SIGN(P736)*
  IF(ABS(P736)&lt;=10,ABS(P736)*0.5,
     IF(ABS(P736)&lt;=15,5+(ABS(P736)-10)*(1.67/5),
        6.67+(ABS(P736)-15)*0.333)),
2)</f>
        <v>0</v>
      </c>
    </row>
    <row r="737" spans="1:17" ht="34.5" customHeight="1" x14ac:dyDescent="0.3">
      <c r="B737" s="2">
        <v>736</v>
      </c>
      <c r="C737" s="17">
        <f>ROUND(MAX(MIN(N737 + Q737, 100), 0), 2)</f>
        <v>62</v>
      </c>
      <c r="D737" s="2" t="s">
        <v>553</v>
      </c>
      <c r="E737" s="7">
        <v>65</v>
      </c>
      <c r="F737" s="6">
        <v>80</v>
      </c>
      <c r="G737" s="4">
        <v>95</v>
      </c>
      <c r="H737" s="2" t="s">
        <v>171</v>
      </c>
      <c r="I737" s="2" t="s">
        <v>298</v>
      </c>
      <c r="J737" s="3" t="s">
        <v>65</v>
      </c>
      <c r="M737" s="2">
        <f>IF(J737="1000+", 1000, (LEFT(J737,FIND("-",J737)-1)+RIGHT(J737,LEN(J737)-FIND("-",J737)))/2)</f>
        <v>250</v>
      </c>
      <c r="N737" s="2">
        <f>ROUND(E737 * 0.7+F737 * 0.2+G737 * 0.1,2)</f>
        <v>71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87</v>
      </c>
      <c r="P737" s="2">
        <f>E737 - O737</f>
        <v>-22</v>
      </c>
      <c r="Q737" s="2">
        <f>ROUND(
  SIGN(P737)*
  IF(ABS(P737)&lt;=10,ABS(P737)*0.5,
     IF(ABS(P737)&lt;=15,5+(ABS(P737)-10)*(1.67/5),
        6.67+(ABS(P737)-15)*0.333)),
2)</f>
        <v>-9</v>
      </c>
    </row>
    <row r="738" spans="1:17" ht="34.5" customHeight="1" x14ac:dyDescent="0.3">
      <c r="B738" s="2">
        <v>737</v>
      </c>
      <c r="C738" s="17">
        <f>ROUND(MAX(MIN(N738 + Q738, 100), 0), 2)</f>
        <v>61.93</v>
      </c>
      <c r="D738" s="2" t="s">
        <v>613</v>
      </c>
      <c r="E738" s="7">
        <v>68</v>
      </c>
      <c r="F738" s="5">
        <v>72</v>
      </c>
      <c r="G738" s="2">
        <v>56</v>
      </c>
      <c r="H738" s="2" t="s">
        <v>614</v>
      </c>
      <c r="I738" s="2" t="s">
        <v>218</v>
      </c>
      <c r="J738" s="3" t="s">
        <v>88</v>
      </c>
      <c r="M738" s="2">
        <f>IF(J738="1000+", 1000, (LEFT(J738,FIND("-",J738)-1)+RIGHT(J738,LEN(J738)-FIND("-",J738)))/2)</f>
        <v>150</v>
      </c>
      <c r="N738" s="2">
        <f>ROUND(E738 * 0.7+F738 * 0.2+G738 * 0.1,2)</f>
        <v>67.599999999999994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80</v>
      </c>
      <c r="P738" s="2">
        <f>E738 - O738</f>
        <v>-12</v>
      </c>
      <c r="Q738" s="2">
        <f>ROUND(
  SIGN(P738)*
  IF(ABS(P738)&lt;=10,ABS(P738)*0.5,
     IF(ABS(P738)&lt;=15,5+(ABS(P738)-10)*(1.67/5),
        6.67+(ABS(P738)-15)*0.333)),
2)</f>
        <v>-5.67</v>
      </c>
    </row>
    <row r="739" spans="1:17" ht="34.5" customHeight="1" x14ac:dyDescent="0.3">
      <c r="A739" s="2">
        <v>2026</v>
      </c>
      <c r="B739" s="2">
        <v>738</v>
      </c>
      <c r="C739" s="17">
        <f>ROUND(MAX(MIN(N739 + Q739, 100), 0), 2)</f>
        <v>61.9</v>
      </c>
      <c r="D739" s="2" t="s">
        <v>1874</v>
      </c>
      <c r="E739" s="7">
        <v>67</v>
      </c>
      <c r="F739" s="2">
        <v>58</v>
      </c>
      <c r="G739" s="2">
        <v>49</v>
      </c>
      <c r="H739" s="2" t="s">
        <v>1895</v>
      </c>
      <c r="I739" s="2" t="s">
        <v>1352</v>
      </c>
      <c r="J739" s="3" t="s">
        <v>1264</v>
      </c>
      <c r="M739" s="2">
        <f>IF(J739="1000+", 1000, (LEFT(J739,FIND("-",J739)-1)+RIGHT(J739,LEN(J739)-FIND("-",J739)))/2)</f>
        <v>75</v>
      </c>
      <c r="N739" s="2">
        <f>ROUND(E739 * 0.7+F739 * 0.2+G739 * 0.1,2)</f>
        <v>63.4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70</v>
      </c>
      <c r="P739" s="2">
        <f>E739 - O739</f>
        <v>-3</v>
      </c>
      <c r="Q739" s="2">
        <f>ROUND(
  SIGN(P739)*
  IF(ABS(P739)&lt;=10,ABS(P739)*0.5,
     IF(ABS(P739)&lt;=15,5+(ABS(P739)-10)*(1.67/5),
        6.67+(ABS(P739)-15)*0.333)),
2)</f>
        <v>-1.5</v>
      </c>
    </row>
    <row r="740" spans="1:17" ht="34.5" customHeight="1" x14ac:dyDescent="0.3">
      <c r="B740" s="2">
        <v>739</v>
      </c>
      <c r="C740" s="17">
        <f>ROUND(MAX(MIN(N740 + Q740, 100), 0), 2)</f>
        <v>61.9</v>
      </c>
      <c r="D740" s="2" t="s">
        <v>720</v>
      </c>
      <c r="E740" s="7">
        <v>65</v>
      </c>
      <c r="F740" s="2">
        <v>48</v>
      </c>
      <c r="G740" s="7">
        <v>68</v>
      </c>
      <c r="H740" s="2" t="s">
        <v>48</v>
      </c>
      <c r="I740" s="2" t="s">
        <v>17</v>
      </c>
      <c r="J740" s="3" t="s">
        <v>32</v>
      </c>
      <c r="M740" s="2">
        <f>IF(J740="1000+", 1000, (LEFT(J740,FIND("-",J740)-1)+RIGHT(J740,LEN(J740)-FIND("-",J740)))/2)</f>
        <v>45</v>
      </c>
      <c r="N740" s="2">
        <f>ROUND(E740 * 0.7+F740 * 0.2+G740 * 0.1,2)</f>
        <v>61.9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65</v>
      </c>
      <c r="P740" s="2">
        <f>E740 - O740</f>
        <v>0</v>
      </c>
      <c r="Q740" s="2">
        <f>ROUND(
  SIGN(P740)*
  IF(ABS(P740)&lt;=10,ABS(P740)*0.5,
     IF(ABS(P740)&lt;=15,5+(ABS(P740)-10)*(1.67/5),
        6.67+(ABS(P740)-15)*0.333)),
2)</f>
        <v>0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61.9</v>
      </c>
      <c r="D741" s="2" t="s">
        <v>1776</v>
      </c>
      <c r="E741" s="7">
        <v>63</v>
      </c>
      <c r="F741" s="7">
        <v>63</v>
      </c>
      <c r="G741" s="2">
        <v>37</v>
      </c>
      <c r="H741" s="2" t="s">
        <v>1256</v>
      </c>
      <c r="I741" s="2" t="s">
        <v>36</v>
      </c>
      <c r="J741" s="3" t="s">
        <v>1261</v>
      </c>
      <c r="M741" s="2">
        <f>IF(J741="1000+", 1000, (LEFT(J741,FIND("-",J741)-1)+RIGHT(J741,LEN(J741)-FIND("-",J741)))/2)</f>
        <v>20</v>
      </c>
      <c r="N741" s="2">
        <f>ROUND(E741 * 0.7+F741 * 0.2+G741 * 0.1,2)</f>
        <v>60.4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60</v>
      </c>
      <c r="P741" s="2">
        <f>E741 - O741</f>
        <v>3</v>
      </c>
      <c r="Q741" s="2">
        <f>ROUND(
  SIGN(P741)*
  IF(ABS(P741)&lt;=10,ABS(P741)*0.5,
     IF(ABS(P741)&lt;=15,5+(ABS(P741)-10)*(1.67/5),
        6.67+(ABS(P741)-15)*0.333)),
2)</f>
        <v>1.5</v>
      </c>
    </row>
    <row r="742" spans="1:17" ht="34.5" customHeight="1" x14ac:dyDescent="0.3">
      <c r="B742" s="2">
        <v>741</v>
      </c>
      <c r="C742" s="17">
        <f>ROUND(MAX(MIN(N742 + Q742, 100), 0), 2)</f>
        <v>61.9</v>
      </c>
      <c r="D742" s="2" t="s">
        <v>663</v>
      </c>
      <c r="E742" s="7">
        <v>65</v>
      </c>
      <c r="F742" s="7">
        <v>60</v>
      </c>
      <c r="G742" s="2">
        <v>59</v>
      </c>
      <c r="H742" s="2" t="s">
        <v>171</v>
      </c>
      <c r="I742" s="2" t="s">
        <v>36</v>
      </c>
      <c r="J742" s="3" t="s">
        <v>23</v>
      </c>
      <c r="M742" s="2">
        <f>IF(J742="1000+", 1000, (LEFT(J742,FIND("-",J742)-1)+RIGHT(J742,LEN(J742)-FIND("-",J742)))/2)</f>
        <v>60</v>
      </c>
      <c r="N742" s="2">
        <f>ROUND(E742 * 0.7+F742 * 0.2+G742 * 0.1,2)</f>
        <v>63.4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68</v>
      </c>
      <c r="P742" s="2">
        <f>E742 - O742</f>
        <v>-3</v>
      </c>
      <c r="Q742" s="2">
        <f>ROUND(
  SIGN(P742)*
  IF(ABS(P742)&lt;=10,ABS(P742)*0.5,
     IF(ABS(P742)&lt;=15,5+(ABS(P742)-10)*(1.67/5),
        6.67+(ABS(P742)-15)*0.333)),
2)</f>
        <v>-1.5</v>
      </c>
    </row>
    <row r="743" spans="1:17" ht="34.5" customHeight="1" x14ac:dyDescent="0.3">
      <c r="B743" s="2">
        <v>742</v>
      </c>
      <c r="C743" s="17">
        <f>ROUND(MAX(MIN(N743 + Q743, 100), 0), 2)</f>
        <v>61.9</v>
      </c>
      <c r="D743" s="2" t="s">
        <v>634</v>
      </c>
      <c r="E743" s="7">
        <v>65</v>
      </c>
      <c r="F743" s="7">
        <v>65</v>
      </c>
      <c r="G743" s="7">
        <v>69</v>
      </c>
      <c r="H743" s="2" t="s">
        <v>31</v>
      </c>
      <c r="I743" s="2" t="s">
        <v>165</v>
      </c>
      <c r="J743" s="3" t="s">
        <v>122</v>
      </c>
      <c r="M743" s="2">
        <f>IF(J743="1000+", 1000, (LEFT(J743,FIND("-",J743)-1)+RIGHT(J743,LEN(J743)-FIND("-",J743)))/2)</f>
        <v>105</v>
      </c>
      <c r="N743" s="2">
        <f>ROUND(E743 * 0.7+F743 * 0.2+G743 * 0.1,2)</f>
        <v>65.400000000000006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72</v>
      </c>
      <c r="P743" s="2">
        <f>E743 - O743</f>
        <v>-7</v>
      </c>
      <c r="Q743" s="2">
        <f>ROUND(
  SIGN(P743)*
  IF(ABS(P743)&lt;=10,ABS(P743)*0.5,
     IF(ABS(P743)&lt;=15,5+(ABS(P743)-10)*(1.67/5),
        6.67+(ABS(P743)-15)*0.333)),
2)</f>
        <v>-3.5</v>
      </c>
    </row>
    <row r="744" spans="1:17" ht="34.5" customHeight="1" x14ac:dyDescent="0.3">
      <c r="B744" s="2">
        <v>743</v>
      </c>
      <c r="C744" s="17">
        <f>ROUND(MAX(MIN(N744 + Q744, 100), 0), 2)</f>
        <v>61.9</v>
      </c>
      <c r="D744" s="2" t="s">
        <v>626</v>
      </c>
      <c r="E744" s="7">
        <v>66</v>
      </c>
      <c r="F744" s="7">
        <v>65</v>
      </c>
      <c r="G744" s="5">
        <v>72</v>
      </c>
      <c r="H744" s="2" t="s">
        <v>627</v>
      </c>
      <c r="I744" s="2" t="s">
        <v>273</v>
      </c>
      <c r="J744" s="3" t="s">
        <v>140</v>
      </c>
      <c r="M744" s="2">
        <f>IF(J744="1000+", 1000, (LEFT(J744,FIND("-",J744)-1)+RIGHT(J744,LEN(J744)-FIND("-",J744)))/2)</f>
        <v>115</v>
      </c>
      <c r="N744" s="2">
        <f>ROUND(E744 * 0.7+F744 * 0.2+G744 * 0.1,2)</f>
        <v>66.400000000000006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75</v>
      </c>
      <c r="P744" s="2">
        <f>E744 - O744</f>
        <v>-9</v>
      </c>
      <c r="Q744" s="2">
        <f>ROUND(
  SIGN(P744)*
  IF(ABS(P744)&lt;=10,ABS(P744)*0.5,
     IF(ABS(P744)&lt;=15,5+(ABS(P744)-10)*(1.67/5),
        6.67+(ABS(P744)-15)*0.333)),
2)</f>
        <v>-4.5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61.8</v>
      </c>
      <c r="D745" s="11" t="s">
        <v>1340</v>
      </c>
      <c r="E745" s="7">
        <v>64</v>
      </c>
      <c r="F745" s="2">
        <v>58</v>
      </c>
      <c r="G745" s="2">
        <v>44</v>
      </c>
      <c r="H745" s="11" t="s">
        <v>1256</v>
      </c>
      <c r="I745" s="2" t="s">
        <v>36</v>
      </c>
      <c r="J745" s="19" t="s">
        <v>1263</v>
      </c>
      <c r="M745" s="2">
        <f>IF(J745="1000+", 1000, (LEFT(J745,FIND("-",J745)-1)+RIGHT(J745,LEN(J745)-FIND("-",J745)))/2)</f>
        <v>30</v>
      </c>
      <c r="N745" s="2">
        <f>ROUND(E745 * 0.7+F745 * 0.2+G745 * 0.1,2)</f>
        <v>60.8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62</v>
      </c>
      <c r="P745" s="2">
        <f>E745 - O745</f>
        <v>2</v>
      </c>
      <c r="Q745" s="2">
        <f>ROUND(
  SIGN(P745)*
  IF(ABS(P745)&lt;=10,ABS(P745)*0.5,
     IF(ABS(P745)&lt;=15,5+(ABS(P745)-10)*(1.67/5),
        6.67+(ABS(P745)-15)*0.333)),
2)</f>
        <v>1</v>
      </c>
    </row>
    <row r="746" spans="1:17" ht="34.5" customHeight="1" x14ac:dyDescent="0.3">
      <c r="B746" s="2">
        <v>745</v>
      </c>
      <c r="C746" s="17">
        <f>ROUND(MAX(MIN(N746 + Q746, 100), 0), 2)</f>
        <v>61.8</v>
      </c>
      <c r="D746" s="2" t="s">
        <v>668</v>
      </c>
      <c r="E746" s="7">
        <v>67</v>
      </c>
      <c r="F746" s="7">
        <v>64</v>
      </c>
      <c r="G746" s="7">
        <v>61</v>
      </c>
      <c r="H746" s="2" t="s">
        <v>71</v>
      </c>
      <c r="I746" s="2" t="s">
        <v>559</v>
      </c>
      <c r="J746" s="3" t="s">
        <v>140</v>
      </c>
      <c r="M746" s="2">
        <f>IF(J746="1000+", 1000, (LEFT(J746,FIND("-",J746)-1)+RIGHT(J746,LEN(J746)-FIND("-",J746)))/2)</f>
        <v>115</v>
      </c>
      <c r="N746" s="2">
        <f>ROUND(E746 * 0.7+F746 * 0.2+G746 * 0.1,2)</f>
        <v>65.8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75</v>
      </c>
      <c r="P746" s="2">
        <f>E746 - O746</f>
        <v>-8</v>
      </c>
      <c r="Q746" s="2">
        <f>ROUND(
  SIGN(P746)*
  IF(ABS(P746)&lt;=10,ABS(P746)*0.5,
     IF(ABS(P746)&lt;=15,5+(ABS(P746)-10)*(1.67/5),
        6.67+(ABS(P746)-15)*0.333)),
2)</f>
        <v>-4</v>
      </c>
    </row>
    <row r="747" spans="1:17" ht="34.5" customHeight="1" x14ac:dyDescent="0.3">
      <c r="B747" s="2">
        <v>746</v>
      </c>
      <c r="C747" s="17">
        <f>ROUND(MAX(MIN(N747 + Q747, 100), 0), 2)</f>
        <v>61.8</v>
      </c>
      <c r="D747" s="2" t="s">
        <v>603</v>
      </c>
      <c r="E747" s="7">
        <v>67</v>
      </c>
      <c r="F747" s="5">
        <v>77</v>
      </c>
      <c r="G747" s="2">
        <v>55</v>
      </c>
      <c r="H747" s="2" t="s">
        <v>12</v>
      </c>
      <c r="I747" s="2" t="s">
        <v>41</v>
      </c>
      <c r="J747" s="3" t="s">
        <v>88</v>
      </c>
      <c r="M747" s="2">
        <f>IF(J747="1000+", 1000, (LEFT(J747,FIND("-",J747)-1)+RIGHT(J747,LEN(J747)-FIND("-",J747)))/2)</f>
        <v>150</v>
      </c>
      <c r="N747" s="2">
        <f>ROUND(E747 * 0.7+F747 * 0.2+G747 * 0.1,2)</f>
        <v>67.8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80</v>
      </c>
      <c r="P747" s="2">
        <f>E747 - O747</f>
        <v>-13</v>
      </c>
      <c r="Q747" s="2">
        <f>ROUND(
  SIGN(P747)*
  IF(ABS(P747)&lt;=10,ABS(P747)*0.5,
     IF(ABS(P747)&lt;=15,5+(ABS(P747)-10)*(1.67/5),
        6.67+(ABS(P747)-15)*0.333)),
2)</f>
        <v>-6</v>
      </c>
    </row>
    <row r="748" spans="1:17" ht="34.5" customHeight="1" x14ac:dyDescent="0.3">
      <c r="A748" s="2">
        <v>2026</v>
      </c>
      <c r="B748" s="2">
        <v>747</v>
      </c>
      <c r="C748" s="17">
        <f>ROUND(MAX(MIN(N748 + Q748, 100), 0), 2)</f>
        <v>61.8</v>
      </c>
      <c r="D748" s="2" t="s">
        <v>1943</v>
      </c>
      <c r="E748" s="7">
        <v>62</v>
      </c>
      <c r="F748" s="7">
        <v>61</v>
      </c>
      <c r="G748" s="2">
        <v>52</v>
      </c>
      <c r="H748" s="2" t="s">
        <v>1483</v>
      </c>
      <c r="I748" s="2" t="s">
        <v>36</v>
      </c>
      <c r="J748" s="3" t="s">
        <v>1261</v>
      </c>
      <c r="M748" s="2">
        <f>IF(J748="1000+", 1000, (LEFT(J748,FIND("-",J748)-1)+RIGHT(J748,LEN(J748)-FIND("-",J748)))/2)</f>
        <v>20</v>
      </c>
      <c r="N748" s="2">
        <f>ROUND(E748 * 0.7+F748 * 0.2+G748 * 0.1,2)</f>
        <v>60.8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60</v>
      </c>
      <c r="P748" s="2">
        <f>E748 - O748</f>
        <v>2</v>
      </c>
      <c r="Q748" s="2">
        <f>ROUND(
  SIGN(P748)*
  IF(ABS(P748)&lt;=10,ABS(P748)*0.5,
     IF(ABS(P748)&lt;=15,5+(ABS(P748)-10)*(1.67/5),
        6.67+(ABS(P748)-15)*0.333)),
2)</f>
        <v>1</v>
      </c>
    </row>
    <row r="749" spans="1:17" ht="34.5" customHeight="1" x14ac:dyDescent="0.3">
      <c r="B749" s="2">
        <v>748</v>
      </c>
      <c r="C749" s="17">
        <f>ROUND(MAX(MIN(N749 + Q749, 100), 0), 2)</f>
        <v>61.7</v>
      </c>
      <c r="D749" s="2" t="s">
        <v>771</v>
      </c>
      <c r="E749" s="7">
        <v>69</v>
      </c>
      <c r="F749" s="2">
        <v>56</v>
      </c>
      <c r="G749" s="2">
        <v>52</v>
      </c>
      <c r="H749" s="2" t="s">
        <v>434</v>
      </c>
      <c r="I749" s="2" t="s">
        <v>298</v>
      </c>
      <c r="J749" s="3" t="s">
        <v>140</v>
      </c>
      <c r="M749" s="2">
        <f>IF(J749="1000+", 1000, (LEFT(J749,FIND("-",J749)-1)+RIGHT(J749,LEN(J749)-FIND("-",J749)))/2)</f>
        <v>115</v>
      </c>
      <c r="N749" s="2">
        <f>ROUND(E749 * 0.7+F749 * 0.2+G749 * 0.1,2)</f>
        <v>64.7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75</v>
      </c>
      <c r="P749" s="2">
        <f>E749 - O749</f>
        <v>-6</v>
      </c>
      <c r="Q749" s="2">
        <f>ROUND(
  SIGN(P749)*
  IF(ABS(P749)&lt;=10,ABS(P749)*0.5,
     IF(ABS(P749)&lt;=15,5+(ABS(P749)-10)*(1.67/5),
        6.67+(ABS(P749)-15)*0.333)),
2)</f>
        <v>-3</v>
      </c>
    </row>
    <row r="750" spans="1:17" ht="34.5" customHeight="1" x14ac:dyDescent="0.3">
      <c r="B750" s="2">
        <v>749</v>
      </c>
      <c r="C750" s="17">
        <f>ROUND(MAX(MIN(N750 + Q750, 100), 0), 2)</f>
        <v>61.7</v>
      </c>
      <c r="D750" s="2" t="s">
        <v>813</v>
      </c>
      <c r="E750" s="7">
        <v>65</v>
      </c>
      <c r="F750" s="2">
        <v>56</v>
      </c>
      <c r="G750" s="2">
        <v>50</v>
      </c>
      <c r="H750" s="2" t="s">
        <v>217</v>
      </c>
      <c r="I750" s="2" t="s">
        <v>22</v>
      </c>
      <c r="J750" s="3" t="s">
        <v>32</v>
      </c>
      <c r="M750" s="2">
        <f>IF(J750="1000+", 1000, (LEFT(J750,FIND("-",J750)-1)+RIGHT(J750,LEN(J750)-FIND("-",J750)))/2)</f>
        <v>45</v>
      </c>
      <c r="N750" s="2">
        <f>ROUND(E750 * 0.7+F750 * 0.2+G750 * 0.1,2)</f>
        <v>61.7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65</v>
      </c>
      <c r="P750" s="2">
        <f>E750 - O750</f>
        <v>0</v>
      </c>
      <c r="Q750" s="2">
        <f>ROUND(
  SIGN(P750)*
  IF(ABS(P750)&lt;=10,ABS(P750)*0.5,
     IF(ABS(P750)&lt;=15,5+(ABS(P750)-10)*(1.67/5),
        6.67+(ABS(P750)-15)*0.333)),
2)</f>
        <v>0</v>
      </c>
    </row>
    <row r="751" spans="1:17" ht="34.5" customHeight="1" x14ac:dyDescent="0.3">
      <c r="B751" s="2">
        <v>750</v>
      </c>
      <c r="C751" s="17">
        <f>ROUND(MAX(MIN(N751 + Q751, 100), 0), 2)</f>
        <v>61.7</v>
      </c>
      <c r="D751" s="2" t="s">
        <v>707</v>
      </c>
      <c r="E751" s="7">
        <v>66</v>
      </c>
      <c r="F751" s="7">
        <v>60</v>
      </c>
      <c r="G751" s="2">
        <v>45</v>
      </c>
      <c r="H751" s="2" t="s">
        <v>53</v>
      </c>
      <c r="I751" s="2" t="s">
        <v>22</v>
      </c>
      <c r="J751" s="3" t="s">
        <v>23</v>
      </c>
      <c r="M751" s="2">
        <f>IF(J751="1000+", 1000, (LEFT(J751,FIND("-",J751)-1)+RIGHT(J751,LEN(J751)-FIND("-",J751)))/2)</f>
        <v>60</v>
      </c>
      <c r="N751" s="2">
        <f>ROUND(E751 * 0.7+F751 * 0.2+G751 * 0.1,2)</f>
        <v>62.7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68</v>
      </c>
      <c r="P751" s="2">
        <f>E751 - O751</f>
        <v>-2</v>
      </c>
      <c r="Q751" s="2">
        <f>ROUND(
  SIGN(P751)*
  IF(ABS(P751)&lt;=10,ABS(P751)*0.5,
     IF(ABS(P751)&lt;=15,5+(ABS(P751)-10)*(1.67/5),
        6.67+(ABS(P751)-15)*0.333)),
2)</f>
        <v>-1</v>
      </c>
    </row>
    <row r="752" spans="1:17" ht="34.5" customHeight="1" x14ac:dyDescent="0.3">
      <c r="A752" s="2">
        <v>2026</v>
      </c>
      <c r="B752" s="2">
        <v>751</v>
      </c>
      <c r="C752" s="17">
        <f>ROUND(MAX(MIN(N752 + Q752, 100), 0), 2)</f>
        <v>61.7</v>
      </c>
      <c r="D752" s="2" t="s">
        <v>1667</v>
      </c>
      <c r="E752" s="7">
        <v>66</v>
      </c>
      <c r="F752" s="7">
        <v>61</v>
      </c>
      <c r="G752" s="2">
        <v>53</v>
      </c>
      <c r="H752" s="2" t="s">
        <v>1676</v>
      </c>
      <c r="I752" s="2" t="s">
        <v>1678</v>
      </c>
      <c r="J752" s="3" t="s">
        <v>18</v>
      </c>
      <c r="M752" s="2">
        <f>IF(J752="1000+", 1000, (LEFT(J752,FIND("-",J752)-1)+RIGHT(J752,LEN(J752)-FIND("-",J752)))/2)</f>
        <v>75</v>
      </c>
      <c r="N752" s="2">
        <f>ROUND(E752 * 0.7+F752 * 0.2+G752 * 0.1,2)</f>
        <v>63.7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70</v>
      </c>
      <c r="P752" s="2">
        <f>E752 - O752</f>
        <v>-4</v>
      </c>
      <c r="Q752" s="2">
        <f>ROUND(
  SIGN(P752)*
  IF(ABS(P752)&lt;=10,ABS(P752)*0.5,
     IF(ABS(P752)&lt;=15,5+(ABS(P752)-10)*(1.67/5),
        6.67+(ABS(P752)-15)*0.333)),
2)</f>
        <v>-2</v>
      </c>
    </row>
    <row r="753" spans="1:17" ht="34.5" customHeight="1" x14ac:dyDescent="0.3">
      <c r="B753" s="2">
        <v>752</v>
      </c>
      <c r="C753" s="17">
        <f>ROUND(MAX(MIN(N753 + Q753, 100), 0), 2)</f>
        <v>61.7</v>
      </c>
      <c r="D753" s="2" t="s">
        <v>711</v>
      </c>
      <c r="E753" s="7">
        <v>64</v>
      </c>
      <c r="F753" s="7">
        <v>60</v>
      </c>
      <c r="G753" s="2">
        <v>54</v>
      </c>
      <c r="H753" s="2" t="s">
        <v>31</v>
      </c>
      <c r="I753" s="2" t="s">
        <v>712</v>
      </c>
      <c r="J753" s="3" t="s">
        <v>32</v>
      </c>
      <c r="M753" s="2">
        <f>IF(J753="1000+", 1000, (LEFT(J753,FIND("-",J753)-1)+RIGHT(J753,LEN(J753)-FIND("-",J753)))/2)</f>
        <v>45</v>
      </c>
      <c r="N753" s="2">
        <f>ROUND(E753 * 0.7+F753 * 0.2+G753 * 0.1,2)</f>
        <v>62.2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65</v>
      </c>
      <c r="P753" s="2">
        <f>E753 - O753</f>
        <v>-1</v>
      </c>
      <c r="Q753" s="2">
        <f>ROUND(
  SIGN(P753)*
  IF(ABS(P753)&lt;=10,ABS(P753)*0.5,
     IF(ABS(P753)&lt;=15,5+(ABS(P753)-10)*(1.67/5),
        6.67+(ABS(P753)-15)*0.333)),
2)</f>
        <v>-0.5</v>
      </c>
    </row>
    <row r="754" spans="1:17" ht="34.5" customHeight="1" x14ac:dyDescent="0.3">
      <c r="B754" s="2">
        <v>753</v>
      </c>
      <c r="C754" s="17">
        <f>ROUND(MAX(MIN(N754 + Q754, 100), 0), 2)</f>
        <v>61.7</v>
      </c>
      <c r="D754" s="2" t="s">
        <v>674</v>
      </c>
      <c r="E754" s="7">
        <v>69</v>
      </c>
      <c r="F754" s="7">
        <v>68</v>
      </c>
      <c r="G754" s="7">
        <v>68</v>
      </c>
      <c r="H754" s="2" t="s">
        <v>675</v>
      </c>
      <c r="I754" s="2" t="s">
        <v>523</v>
      </c>
      <c r="J754" s="3" t="s">
        <v>14</v>
      </c>
      <c r="M754" s="2">
        <f>IF(J754="1000+", 1000, (LEFT(J754,FIND("-",J754)-1)+RIGHT(J754,LEN(J754)-FIND("-",J754)))/2)</f>
        <v>225</v>
      </c>
      <c r="N754" s="2">
        <f>ROUND(E754 * 0.7+F754 * 0.2+G754 * 0.1,2)</f>
        <v>68.7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85</v>
      </c>
      <c r="P754" s="2">
        <f>E754 - O754</f>
        <v>-16</v>
      </c>
      <c r="Q754" s="2">
        <f>ROUND(
  SIGN(P754)*
  IF(ABS(P754)&lt;=10,ABS(P754)*0.5,
     IF(ABS(P754)&lt;=15,5+(ABS(P754)-10)*(1.67/5),
        6.67+(ABS(P754)-15)*0.333)),
2)</f>
        <v>-7</v>
      </c>
    </row>
    <row r="755" spans="1:17" ht="34.5" customHeight="1" x14ac:dyDescent="0.3">
      <c r="B755" s="2">
        <v>754</v>
      </c>
      <c r="C755" s="17">
        <f>ROUND(MAX(MIN(N755 + Q755, 100), 0), 2)</f>
        <v>61.7</v>
      </c>
      <c r="D755" s="2" t="s">
        <v>645</v>
      </c>
      <c r="E755" s="7">
        <v>65</v>
      </c>
      <c r="F755" s="5">
        <v>72</v>
      </c>
      <c r="G755" s="2">
        <v>53</v>
      </c>
      <c r="H755" s="2" t="s">
        <v>16</v>
      </c>
      <c r="I755" s="2" t="s">
        <v>177</v>
      </c>
      <c r="J755" s="3" t="s">
        <v>122</v>
      </c>
      <c r="M755" s="2">
        <f>IF(J755="1000+", 1000, (LEFT(J755,FIND("-",J755)-1)+RIGHT(J755,LEN(J755)-FIND("-",J755)))/2)</f>
        <v>105</v>
      </c>
      <c r="N755" s="2">
        <f>ROUND(E755 * 0.7+F755 * 0.2+G755 * 0.1,2)</f>
        <v>65.2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72</v>
      </c>
      <c r="P755" s="2">
        <f>E755 - O755</f>
        <v>-7</v>
      </c>
      <c r="Q755" s="2">
        <f>ROUND(
  SIGN(P755)*
  IF(ABS(P755)&lt;=10,ABS(P755)*0.5,
     IF(ABS(P755)&lt;=15,5+(ABS(P755)-10)*(1.67/5),
        6.67+(ABS(P755)-15)*0.333)),
2)</f>
        <v>-3.5</v>
      </c>
    </row>
    <row r="756" spans="1:17" ht="34.5" customHeight="1" x14ac:dyDescent="0.3">
      <c r="A756" s="2">
        <v>2026</v>
      </c>
      <c r="B756" s="2">
        <v>755</v>
      </c>
      <c r="C756" s="17">
        <f>ROUND(MAX(MIN(N756 + Q756, 100), 0), 2)</f>
        <v>61.7</v>
      </c>
      <c r="D756" s="2" t="s">
        <v>2018</v>
      </c>
      <c r="E756" s="7">
        <v>68</v>
      </c>
      <c r="F756" s="2">
        <v>55</v>
      </c>
      <c r="G756" s="2">
        <v>51</v>
      </c>
      <c r="H756" s="2" t="s">
        <v>61</v>
      </c>
      <c r="I756" s="2" t="s">
        <v>22</v>
      </c>
      <c r="J756" s="3" t="s">
        <v>1279</v>
      </c>
      <c r="M756" s="2">
        <f>IF(J756="1000+", 1000, (LEFT(J756,FIND("-",J756)-1)+RIGHT(J756,LEN(J756)-FIND("-",J756)))/2)</f>
        <v>105</v>
      </c>
      <c r="N756" s="2">
        <f>ROUND(E756 * 0.7+F756 * 0.2+G756 * 0.1,2)</f>
        <v>63.7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72</v>
      </c>
      <c r="P756" s="2">
        <f>E756 - O756</f>
        <v>-4</v>
      </c>
      <c r="Q756" s="2">
        <f>ROUND(
  SIGN(P756)*
  IF(ABS(P756)&lt;=10,ABS(P756)*0.5,
     IF(ABS(P756)&lt;=15,5+(ABS(P756)-10)*(1.67/5),
        6.67+(ABS(P756)-15)*0.333)),
2)</f>
        <v>-2</v>
      </c>
    </row>
    <row r="757" spans="1:17" ht="34.5" customHeight="1" x14ac:dyDescent="0.3">
      <c r="A757" s="2">
        <v>2026</v>
      </c>
      <c r="B757" s="2">
        <v>756</v>
      </c>
      <c r="C757" s="17">
        <f>ROUND(MAX(MIN(N757 + Q757, 100), 0), 2)</f>
        <v>61.6</v>
      </c>
      <c r="D757" s="11" t="s">
        <v>1268</v>
      </c>
      <c r="E757" s="7">
        <v>63</v>
      </c>
      <c r="F757" s="2">
        <v>54</v>
      </c>
      <c r="G757" s="2">
        <v>27</v>
      </c>
      <c r="H757" s="11" t="s">
        <v>1256</v>
      </c>
      <c r="I757" s="2" t="s">
        <v>36</v>
      </c>
      <c r="J757" s="19" t="s">
        <v>1266</v>
      </c>
      <c r="M757" s="2">
        <f>IF(J757="1000+", 1000, (LEFT(J757,FIND("-",J757)-1)+RIGHT(J757,LEN(J757)-FIND("-",J757)))/2)</f>
        <v>15</v>
      </c>
      <c r="N757" s="2">
        <f>ROUND(E757 * 0.7+F757 * 0.2+G757 * 0.1,2)</f>
        <v>57.6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55</v>
      </c>
      <c r="P757" s="2">
        <f>E757 - O757</f>
        <v>8</v>
      </c>
      <c r="Q757" s="2">
        <f>ROUND(
  SIGN(P757)*
  IF(ABS(P757)&lt;=10,ABS(P757)*0.5,
     IF(ABS(P757)&lt;=15,5+(ABS(P757)-10)*(1.67/5),
        6.67+(ABS(P757)-15)*0.333)),
2)</f>
        <v>4</v>
      </c>
    </row>
    <row r="758" spans="1:17" ht="34.5" customHeight="1" x14ac:dyDescent="0.3">
      <c r="B758" s="2">
        <v>757</v>
      </c>
      <c r="C758" s="17">
        <f>ROUND(MAX(MIN(N758 + Q758, 100), 0), 2)</f>
        <v>61.6</v>
      </c>
      <c r="D758" s="2" t="s">
        <v>787</v>
      </c>
      <c r="E758" s="7">
        <v>68</v>
      </c>
      <c r="F758" s="7">
        <v>60</v>
      </c>
      <c r="G758" s="2">
        <v>40</v>
      </c>
      <c r="H758" s="2" t="s">
        <v>71</v>
      </c>
      <c r="I758" s="2" t="s">
        <v>559</v>
      </c>
      <c r="J758" s="3" t="s">
        <v>122</v>
      </c>
      <c r="M758" s="2">
        <f>IF(J758="1000+", 1000, (LEFT(J758,FIND("-",J758)-1)+RIGHT(J758,LEN(J758)-FIND("-",J758)))/2)</f>
        <v>105</v>
      </c>
      <c r="N758" s="2">
        <f>ROUND(E758 * 0.7+F758 * 0.2+G758 * 0.1,2)</f>
        <v>63.6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72</v>
      </c>
      <c r="P758" s="2">
        <f>E758 - O758</f>
        <v>-4</v>
      </c>
      <c r="Q758" s="2">
        <f>ROUND(
  SIGN(P758)*
  IF(ABS(P758)&lt;=10,ABS(P758)*0.5,
     IF(ABS(P758)&lt;=15,5+(ABS(P758)-10)*(1.67/5),
        6.67+(ABS(P758)-15)*0.333)),
2)</f>
        <v>-2</v>
      </c>
    </row>
    <row r="759" spans="1:17" ht="34.5" customHeight="1" x14ac:dyDescent="0.3">
      <c r="B759" s="2">
        <v>758</v>
      </c>
      <c r="C759" s="17">
        <f>ROUND(MAX(MIN(N759 + Q759, 100), 0), 2)</f>
        <v>61.6</v>
      </c>
      <c r="D759" s="2" t="s">
        <v>727</v>
      </c>
      <c r="E759" s="7">
        <v>65</v>
      </c>
      <c r="F759" s="2">
        <v>58</v>
      </c>
      <c r="G759" s="2">
        <v>45</v>
      </c>
      <c r="H759" s="2" t="s">
        <v>48</v>
      </c>
      <c r="I759" s="2" t="s">
        <v>218</v>
      </c>
      <c r="J759" s="3" t="s">
        <v>32</v>
      </c>
      <c r="M759" s="2">
        <f>IF(J759="1000+", 1000, (LEFT(J759,FIND("-",J759)-1)+RIGHT(J759,LEN(J759)-FIND("-",J759)))/2)</f>
        <v>45</v>
      </c>
      <c r="N759" s="2">
        <f>ROUND(E759 * 0.7+F759 * 0.2+G759 * 0.1,2)</f>
        <v>61.6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65</v>
      </c>
      <c r="P759" s="2">
        <f>E759 - O759</f>
        <v>0</v>
      </c>
      <c r="Q759" s="2">
        <f>ROUND(
  SIGN(P759)*
  IF(ABS(P759)&lt;=10,ABS(P759)*0.5,
     IF(ABS(P759)&lt;=15,5+(ABS(P759)-10)*(1.67/5),
        6.67+(ABS(P759)-15)*0.333)),
2)</f>
        <v>0</v>
      </c>
    </row>
    <row r="760" spans="1:17" ht="34.5" customHeight="1" x14ac:dyDescent="0.3">
      <c r="B760" s="2">
        <v>759</v>
      </c>
      <c r="C760" s="17">
        <f>ROUND(MAX(MIN(N760 + Q760, 100), 0), 2)</f>
        <v>61.6</v>
      </c>
      <c r="D760" s="2" t="s">
        <v>652</v>
      </c>
      <c r="E760" s="7">
        <v>68</v>
      </c>
      <c r="F760" s="7">
        <v>65</v>
      </c>
      <c r="G760" s="2">
        <v>45</v>
      </c>
      <c r="H760" s="2" t="s">
        <v>104</v>
      </c>
      <c r="I760" s="2" t="s">
        <v>325</v>
      </c>
      <c r="J760" s="3" t="s">
        <v>140</v>
      </c>
      <c r="K760" s="2" t="s">
        <v>653</v>
      </c>
      <c r="M760" s="2">
        <f>IF(J760="1000+", 1000, (LEFT(J760,FIND("-",J760)-1)+RIGHT(J760,LEN(J760)-FIND("-",J760)))/2)</f>
        <v>115</v>
      </c>
      <c r="N760" s="2">
        <f>ROUND(E760 * 0.7+F760 * 0.2+G760 * 0.1,2)</f>
        <v>65.099999999999994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75</v>
      </c>
      <c r="P760" s="2">
        <f>E760 - O760</f>
        <v>-7</v>
      </c>
      <c r="Q760" s="2">
        <f>ROUND(
  SIGN(P760)*
  IF(ABS(P760)&lt;=10,ABS(P760)*0.5,
     IF(ABS(P760)&lt;=15,5+(ABS(P760)-10)*(1.67/5),
        6.67+(ABS(P760)-15)*0.333)),
2)</f>
        <v>-3.5</v>
      </c>
    </row>
    <row r="761" spans="1:17" ht="34.5" customHeight="1" x14ac:dyDescent="0.3">
      <c r="B761" s="2">
        <v>760</v>
      </c>
      <c r="C761" s="17">
        <f>ROUND(MAX(MIN(N761 + Q761, 100), 0), 2)</f>
        <v>61.6</v>
      </c>
      <c r="D761" s="2" t="s">
        <v>713</v>
      </c>
      <c r="E761" s="7">
        <v>65</v>
      </c>
      <c r="F761" s="7">
        <v>60</v>
      </c>
      <c r="G761" s="7">
        <v>66</v>
      </c>
      <c r="H761" s="2" t="s">
        <v>31</v>
      </c>
      <c r="I761" s="2" t="s">
        <v>537</v>
      </c>
      <c r="J761" s="3" t="s">
        <v>18</v>
      </c>
      <c r="M761" s="2">
        <f>IF(J761="1000+", 1000, (LEFT(J761,FIND("-",J761)-1)+RIGHT(J761,LEN(J761)-FIND("-",J761)))/2)</f>
        <v>75</v>
      </c>
      <c r="N761" s="2">
        <f>ROUND(E761 * 0.7+F761 * 0.2+G761 * 0.1,2)</f>
        <v>64.099999999999994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70</v>
      </c>
      <c r="P761" s="2">
        <f>E761 - O761</f>
        <v>-5</v>
      </c>
      <c r="Q761" s="2">
        <f>ROUND(
  SIGN(P761)*
  IF(ABS(P761)&lt;=10,ABS(P761)*0.5,
     IF(ABS(P761)&lt;=15,5+(ABS(P761)-10)*(1.67/5),
        6.67+(ABS(P761)-15)*0.333)),
2)</f>
        <v>-2.5</v>
      </c>
    </row>
    <row r="762" spans="1:17" ht="34.5" customHeight="1" x14ac:dyDescent="0.3">
      <c r="A762" s="2">
        <v>2026</v>
      </c>
      <c r="B762" s="2">
        <v>761</v>
      </c>
      <c r="C762" s="17">
        <f>ROUND(MAX(MIN(N762 + Q762, 100), 0), 2)</f>
        <v>61.6</v>
      </c>
      <c r="D762" s="11" t="s">
        <v>1273</v>
      </c>
      <c r="E762" s="7">
        <v>63</v>
      </c>
      <c r="F762" s="7">
        <v>66</v>
      </c>
      <c r="G762" s="2">
        <v>53</v>
      </c>
      <c r="H762" s="11" t="s">
        <v>1256</v>
      </c>
      <c r="I762" s="11" t="s">
        <v>1259</v>
      </c>
      <c r="J762" s="19" t="s">
        <v>1262</v>
      </c>
      <c r="M762" s="2">
        <f>IF(J762="1000+", 1000, (LEFT(J762,FIND("-",J762)-1)+RIGHT(J762,LEN(J762)-FIND("-",J762)))/2)</f>
        <v>45</v>
      </c>
      <c r="N762" s="2">
        <f>ROUND(E762 * 0.7+F762 * 0.2+G762 * 0.1,2)</f>
        <v>62.6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65</v>
      </c>
      <c r="P762" s="2">
        <f>E762 - O762</f>
        <v>-2</v>
      </c>
      <c r="Q762" s="2">
        <f>ROUND(
  SIGN(P762)*
  IF(ABS(P762)&lt;=10,ABS(P762)*0.5,
     IF(ABS(P762)&lt;=15,5+(ABS(P762)-10)*(1.67/5),
        6.67+(ABS(P762)-15)*0.333)),
2)</f>
        <v>-1</v>
      </c>
    </row>
    <row r="763" spans="1:17" ht="34.5" customHeight="1" x14ac:dyDescent="0.3">
      <c r="B763" s="2">
        <v>762</v>
      </c>
      <c r="C763" s="17">
        <f>ROUND(MAX(MIN(N763 + Q763, 100), 0), 2)</f>
        <v>61.57</v>
      </c>
      <c r="D763" s="2" t="s">
        <v>601</v>
      </c>
      <c r="E763" s="7">
        <v>64</v>
      </c>
      <c r="F763" s="5">
        <v>72</v>
      </c>
      <c r="G763" s="5">
        <v>77</v>
      </c>
      <c r="H763" s="2" t="s">
        <v>31</v>
      </c>
      <c r="I763" s="2" t="s">
        <v>165</v>
      </c>
      <c r="J763" s="3" t="s">
        <v>140</v>
      </c>
      <c r="M763" s="2">
        <f>IF(J763="1000+", 1000, (LEFT(J763,FIND("-",J763)-1)+RIGHT(J763,LEN(J763)-FIND("-",J763)))/2)</f>
        <v>115</v>
      </c>
      <c r="N763" s="2">
        <f>ROUND(E763 * 0.7+F763 * 0.2+G763 * 0.1,2)</f>
        <v>66.900000000000006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75</v>
      </c>
      <c r="P763" s="2">
        <f>E763 - O763</f>
        <v>-11</v>
      </c>
      <c r="Q763" s="2">
        <f>ROUND(
  SIGN(P763)*
  IF(ABS(P763)&lt;=10,ABS(P763)*0.5,
     IF(ABS(P763)&lt;=15,5+(ABS(P763)-10)*(1.67/5),
        6.67+(ABS(P763)-15)*0.333)),
2)</f>
        <v>-5.33</v>
      </c>
    </row>
    <row r="764" spans="1:17" ht="34.5" customHeight="1" x14ac:dyDescent="0.3">
      <c r="B764" s="2">
        <v>763</v>
      </c>
      <c r="C764" s="17">
        <f>ROUND(MAX(MIN(N764 + Q764, 100), 0), 2)</f>
        <v>61.5</v>
      </c>
      <c r="D764" s="2" t="s">
        <v>736</v>
      </c>
      <c r="E764" s="7">
        <v>65</v>
      </c>
      <c r="F764" s="2">
        <v>55</v>
      </c>
      <c r="G764" s="2">
        <v>50</v>
      </c>
      <c r="H764" s="2" t="s">
        <v>48</v>
      </c>
      <c r="I764" s="2" t="s">
        <v>72</v>
      </c>
      <c r="J764" s="3" t="s">
        <v>32</v>
      </c>
      <c r="M764" s="2">
        <f>IF(J764="1000+", 1000, (LEFT(J764,FIND("-",J764)-1)+RIGHT(J764,LEN(J764)-FIND("-",J764)))/2)</f>
        <v>45</v>
      </c>
      <c r="N764" s="2">
        <f>ROUND(E764 * 0.7+F764 * 0.2+G764 * 0.1,2)</f>
        <v>61.5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65</v>
      </c>
      <c r="P764" s="2">
        <f>E764 - O764</f>
        <v>0</v>
      </c>
      <c r="Q764" s="2">
        <f>ROUND(
  SIGN(P764)*
  IF(ABS(P764)&lt;=10,ABS(P764)*0.5,
     IF(ABS(P764)&lt;=15,5+(ABS(P764)-10)*(1.67/5),
        6.67+(ABS(P764)-15)*0.333)),
2)</f>
        <v>0</v>
      </c>
    </row>
    <row r="765" spans="1:17" ht="34.5" customHeight="1" x14ac:dyDescent="0.3">
      <c r="A765" s="2">
        <v>2026</v>
      </c>
      <c r="B765" s="2">
        <v>764</v>
      </c>
      <c r="C765" s="17">
        <f>ROUND(MAX(MIN(N765 + Q765, 100), 0), 2)</f>
        <v>61.5</v>
      </c>
      <c r="D765" s="2" t="s">
        <v>1793</v>
      </c>
      <c r="E765" s="7">
        <v>66</v>
      </c>
      <c r="F765" s="2">
        <v>55</v>
      </c>
      <c r="G765" s="2">
        <v>53</v>
      </c>
      <c r="H765" s="2" t="s">
        <v>1257</v>
      </c>
      <c r="I765" s="2" t="s">
        <v>1259</v>
      </c>
      <c r="J765" s="3" t="s">
        <v>1302</v>
      </c>
      <c r="M765" s="2">
        <f>IF(J765="1000+", 1000, (LEFT(J765,FIND("-",J765)-1)+RIGHT(J765,LEN(J765)-FIND("-",J765)))/2)</f>
        <v>60</v>
      </c>
      <c r="N765" s="2">
        <f>ROUND(E765 * 0.7+F765 * 0.2+G765 * 0.1,2)</f>
        <v>62.5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68</v>
      </c>
      <c r="P765" s="2">
        <f>E765 - O765</f>
        <v>-2</v>
      </c>
      <c r="Q765" s="2">
        <f>ROUND(
  SIGN(P765)*
  IF(ABS(P765)&lt;=10,ABS(P765)*0.5,
     IF(ABS(P765)&lt;=15,5+(ABS(P765)-10)*(1.67/5),
        6.67+(ABS(P765)-15)*0.333)),
2)</f>
        <v>-1</v>
      </c>
    </row>
    <row r="766" spans="1:17" ht="34.5" customHeight="1" x14ac:dyDescent="0.3">
      <c r="B766" s="2">
        <v>765</v>
      </c>
      <c r="C766" s="17">
        <f>ROUND(MAX(MIN(N766 + Q766, 100), 0), 2)</f>
        <v>61.5</v>
      </c>
      <c r="D766" s="2" t="s">
        <v>735</v>
      </c>
      <c r="E766" s="7">
        <v>66</v>
      </c>
      <c r="F766" s="7">
        <v>60</v>
      </c>
      <c r="G766" s="2">
        <v>53</v>
      </c>
      <c r="H766" s="2" t="s">
        <v>610</v>
      </c>
      <c r="I766" s="2" t="s">
        <v>22</v>
      </c>
      <c r="J766" s="3" t="s">
        <v>18</v>
      </c>
      <c r="M766" s="2">
        <f>IF(J766="1000+", 1000, (LEFT(J766,FIND("-",J766)-1)+RIGHT(J766,LEN(J766)-FIND("-",J766)))/2)</f>
        <v>75</v>
      </c>
      <c r="N766" s="2">
        <f>ROUND(E766 * 0.7+F766 * 0.2+G766 * 0.1,2)</f>
        <v>63.5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70</v>
      </c>
      <c r="P766" s="2">
        <f>E766 - O766</f>
        <v>-4</v>
      </c>
      <c r="Q766" s="2">
        <f>ROUND(
  SIGN(P766)*
  IF(ABS(P766)&lt;=10,ABS(P766)*0.5,
     IF(ABS(P766)&lt;=15,5+(ABS(P766)-10)*(1.67/5),
        6.67+(ABS(P766)-15)*0.333)),
2)</f>
        <v>-2</v>
      </c>
    </row>
    <row r="767" spans="1:17" ht="34.5" customHeight="1" x14ac:dyDescent="0.3">
      <c r="B767" s="2">
        <v>766</v>
      </c>
      <c r="C767" s="17">
        <f>ROUND(MAX(MIN(N767 + Q767, 100), 0), 2)</f>
        <v>61.5</v>
      </c>
      <c r="D767" s="2" t="s">
        <v>717</v>
      </c>
      <c r="E767" s="7">
        <v>65</v>
      </c>
      <c r="F767" s="7">
        <v>60</v>
      </c>
      <c r="G767" s="7">
        <v>65</v>
      </c>
      <c r="H767" s="2" t="s">
        <v>61</v>
      </c>
      <c r="I767" s="2" t="s">
        <v>72</v>
      </c>
      <c r="J767" s="3" t="s">
        <v>18</v>
      </c>
      <c r="M767" s="2">
        <f>IF(J767="1000+", 1000, (LEFT(J767,FIND("-",J767)-1)+RIGHT(J767,LEN(J767)-FIND("-",J767)))/2)</f>
        <v>75</v>
      </c>
      <c r="N767" s="2">
        <f>ROUND(E767 * 0.7+F767 * 0.2+G767 * 0.1,2)</f>
        <v>64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70</v>
      </c>
      <c r="P767" s="2">
        <f>E767 - O767</f>
        <v>-5</v>
      </c>
      <c r="Q767" s="2">
        <f>ROUND(
  SIGN(P767)*
  IF(ABS(P767)&lt;=10,ABS(P767)*0.5,
     IF(ABS(P767)&lt;=15,5+(ABS(P767)-10)*(1.67/5),
        6.67+(ABS(P767)-15)*0.333)),
2)</f>
        <v>-2.5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61.5</v>
      </c>
      <c r="D768" s="2" t="s">
        <v>1755</v>
      </c>
      <c r="E768" s="7">
        <v>65</v>
      </c>
      <c r="F768" s="7">
        <v>65</v>
      </c>
      <c r="G768" s="7">
        <v>65</v>
      </c>
      <c r="H768" s="2" t="s">
        <v>1762</v>
      </c>
      <c r="I768" s="2" t="s">
        <v>22</v>
      </c>
      <c r="J768" s="3" t="s">
        <v>1775</v>
      </c>
      <c r="M768" s="2">
        <f>IF(J768="1000+", 1000, (LEFT(J768,FIND("-",J768)-1)+RIGHT(J768,LEN(J768)-FIND("-",J768)))/2)</f>
        <v>105</v>
      </c>
      <c r="N768" s="2">
        <f>ROUND(E768 * 0.7+F768 * 0.2+G768 * 0.1,2)</f>
        <v>65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72</v>
      </c>
      <c r="P768" s="2">
        <f>E768 - O768</f>
        <v>-7</v>
      </c>
      <c r="Q768" s="2">
        <f>ROUND(
  SIGN(P768)*
  IF(ABS(P768)&lt;=10,ABS(P768)*0.5,
     IF(ABS(P768)&lt;=15,5+(ABS(P768)-10)*(1.67/5),
        6.67+(ABS(P768)-15)*0.333)),
2)</f>
        <v>-3.5</v>
      </c>
    </row>
    <row r="769" spans="1:17" ht="34.5" customHeight="1" x14ac:dyDescent="0.3">
      <c r="A769" s="2">
        <v>2026</v>
      </c>
      <c r="B769" s="2">
        <v>768</v>
      </c>
      <c r="C769" s="17">
        <f>ROUND(MAX(MIN(N769 + Q769, 100), 0), 2)</f>
        <v>61.5</v>
      </c>
      <c r="D769" s="2" t="s">
        <v>1950</v>
      </c>
      <c r="E769" s="2">
        <v>63</v>
      </c>
      <c r="F769" s="2">
        <v>53</v>
      </c>
      <c r="G769" s="2">
        <v>53</v>
      </c>
      <c r="H769" s="2" t="s">
        <v>1483</v>
      </c>
      <c r="I769" s="2" t="s">
        <v>36</v>
      </c>
      <c r="J769" s="3" t="s">
        <v>1261</v>
      </c>
      <c r="M769" s="2">
        <f>IF(J769="1000+", 1000, (LEFT(J769,FIND("-",J769)-1)+RIGHT(J769,LEN(J769)-FIND("-",J769)))/2)</f>
        <v>20</v>
      </c>
      <c r="N769" s="2">
        <f>ROUND(E769 * 0.7+F769 * 0.2+G769 * 0.1,2)</f>
        <v>60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60</v>
      </c>
      <c r="P769" s="2">
        <f>E769 - O769</f>
        <v>3</v>
      </c>
      <c r="Q769" s="2">
        <f>ROUND(
  SIGN(P769)*
  IF(ABS(P769)&lt;=10,ABS(P769)*0.5,
     IF(ABS(P769)&lt;=15,5+(ABS(P769)-10)*(1.67/5),
        6.67+(ABS(P769)-15)*0.333)),
2)</f>
        <v>1.5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61.5</v>
      </c>
      <c r="D770" s="2" t="s">
        <v>2024</v>
      </c>
      <c r="E770" s="7">
        <v>66</v>
      </c>
      <c r="F770" s="7">
        <v>60</v>
      </c>
      <c r="G770" s="2">
        <v>53</v>
      </c>
      <c r="H770" s="2" t="s">
        <v>1256</v>
      </c>
      <c r="I770" s="2" t="s">
        <v>1258</v>
      </c>
      <c r="J770" s="3" t="s">
        <v>1264</v>
      </c>
      <c r="M770" s="2">
        <f>IF(J770="1000+", 1000, (LEFT(J770,FIND("-",J770)-1)+RIGHT(J770,LEN(J770)-FIND("-",J770)))/2)</f>
        <v>75</v>
      </c>
      <c r="N770" s="2">
        <f>ROUND(E770 * 0.7+F770 * 0.2+G770 * 0.1,2)</f>
        <v>63.5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70</v>
      </c>
      <c r="P770" s="2">
        <f>E770 - O770</f>
        <v>-4</v>
      </c>
      <c r="Q770" s="2">
        <f>ROUND(
  SIGN(P770)*
  IF(ABS(P770)&lt;=10,ABS(P770)*0.5,
     IF(ABS(P770)&lt;=15,5+(ABS(P770)-10)*(1.67/5),
        6.67+(ABS(P770)-15)*0.333)),
2)</f>
        <v>-2</v>
      </c>
    </row>
    <row r="771" spans="1:17" ht="34.5" customHeight="1" x14ac:dyDescent="0.3">
      <c r="B771" s="2">
        <v>770</v>
      </c>
      <c r="C771" s="17">
        <f>ROUND(MAX(MIN(N771 + Q771, 100), 0), 2)</f>
        <v>61.47</v>
      </c>
      <c r="D771" s="2" t="s">
        <v>669</v>
      </c>
      <c r="E771" s="7">
        <v>69</v>
      </c>
      <c r="F771" s="7">
        <v>60</v>
      </c>
      <c r="G771" s="7">
        <v>65</v>
      </c>
      <c r="H771" s="2" t="s">
        <v>197</v>
      </c>
      <c r="I771" s="2" t="s">
        <v>17</v>
      </c>
      <c r="J771" s="3" t="s">
        <v>88</v>
      </c>
      <c r="M771" s="2">
        <f>IF(J771="1000+", 1000, (LEFT(J771,FIND("-",J771)-1)+RIGHT(J771,LEN(J771)-FIND("-",J771)))/2)</f>
        <v>150</v>
      </c>
      <c r="N771" s="2">
        <f>ROUND(E771 * 0.7+F771 * 0.2+G771 * 0.1,2)</f>
        <v>66.8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80</v>
      </c>
      <c r="P771" s="2">
        <f>E771 - O771</f>
        <v>-11</v>
      </c>
      <c r="Q771" s="2">
        <f>ROUND(
  SIGN(P771)*
  IF(ABS(P771)&lt;=10,ABS(P771)*0.5,
     IF(ABS(P771)&lt;=15,5+(ABS(P771)-10)*(1.67/5),
        6.67+(ABS(P771)-15)*0.333)),
2)</f>
        <v>-5.33</v>
      </c>
    </row>
    <row r="772" spans="1:17" ht="34.5" customHeight="1" x14ac:dyDescent="0.3">
      <c r="B772" s="2">
        <v>771</v>
      </c>
      <c r="C772" s="17">
        <f>ROUND(MAX(MIN(N772 + Q772, 100), 0), 2)</f>
        <v>61.43</v>
      </c>
      <c r="D772" s="2" t="s">
        <v>779</v>
      </c>
      <c r="E772" s="7">
        <v>69</v>
      </c>
      <c r="F772" s="5">
        <v>70</v>
      </c>
      <c r="G772" s="5">
        <v>78</v>
      </c>
      <c r="H772" s="2" t="s">
        <v>324</v>
      </c>
      <c r="I772" s="2" t="s">
        <v>298</v>
      </c>
      <c r="J772" s="3" t="s">
        <v>42</v>
      </c>
      <c r="M772" s="2">
        <f>IF(J772="1000+", 1000, (LEFT(J772,FIND("-",J772)-1)+RIGHT(J772,LEN(J772)-FIND("-",J772)))/2)</f>
        <v>600</v>
      </c>
      <c r="N772" s="2">
        <f>ROUND(E772 * 0.7+F772 * 0.2+G772 * 0.1,2)</f>
        <v>70.099999999999994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90</v>
      </c>
      <c r="P772" s="2">
        <f>E772 - O772</f>
        <v>-21</v>
      </c>
      <c r="Q772" s="2">
        <f>ROUND(
  SIGN(P772)*
  IF(ABS(P772)&lt;=10,ABS(P772)*0.5,
     IF(ABS(P772)&lt;=15,5+(ABS(P772)-10)*(1.67/5),
        6.67+(ABS(P772)-15)*0.333)),
2)</f>
        <v>-8.67</v>
      </c>
    </row>
    <row r="773" spans="1:17" ht="34.5" customHeight="1" x14ac:dyDescent="0.3">
      <c r="B773" s="2">
        <v>772</v>
      </c>
      <c r="C773" s="17">
        <f>ROUND(MAX(MIN(N773 + Q773, 100), 0), 2)</f>
        <v>61.4</v>
      </c>
      <c r="D773" s="2" t="s">
        <v>761</v>
      </c>
      <c r="E773" s="7">
        <v>67</v>
      </c>
      <c r="F773" s="2">
        <v>55</v>
      </c>
      <c r="G773" s="7">
        <v>60</v>
      </c>
      <c r="H773" s="2" t="s">
        <v>71</v>
      </c>
      <c r="I773" s="2" t="s">
        <v>36</v>
      </c>
      <c r="J773" s="3" t="s">
        <v>122</v>
      </c>
      <c r="M773" s="2">
        <f>IF(J773="1000+", 1000, (LEFT(J773,FIND("-",J773)-1)+RIGHT(J773,LEN(J773)-FIND("-",J773)))/2)</f>
        <v>105</v>
      </c>
      <c r="N773" s="2">
        <f>ROUND(E773 * 0.7+F773 * 0.2+G773 * 0.1,2)</f>
        <v>63.9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72</v>
      </c>
      <c r="P773" s="2">
        <f>E773 - O773</f>
        <v>-5</v>
      </c>
      <c r="Q773" s="2">
        <f>ROUND(
  SIGN(P773)*
  IF(ABS(P773)&lt;=10,ABS(P773)*0.5,
     IF(ABS(P773)&lt;=15,5+(ABS(P773)-10)*(1.67/5),
        6.67+(ABS(P773)-15)*0.333)),
2)</f>
        <v>-2.5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61.4</v>
      </c>
      <c r="D774" s="2" t="s">
        <v>1897</v>
      </c>
      <c r="E774" s="7">
        <v>62</v>
      </c>
      <c r="F774" s="7">
        <v>65</v>
      </c>
      <c r="G774" s="2">
        <v>50</v>
      </c>
      <c r="H774" s="2" t="s">
        <v>1256</v>
      </c>
      <c r="I774" s="2" t="s">
        <v>1259</v>
      </c>
      <c r="J774" s="3" t="s">
        <v>1263</v>
      </c>
      <c r="M774" s="2">
        <f>IF(J774="1000+", 1000, (LEFT(J774,FIND("-",J774)-1)+RIGHT(J774,LEN(J774)-FIND("-",J774)))/2)</f>
        <v>30</v>
      </c>
      <c r="N774" s="2">
        <f>ROUND(E774 * 0.7+F774 * 0.2+G774 * 0.1,2)</f>
        <v>61.4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62</v>
      </c>
      <c r="P774" s="2">
        <f>E774 - O774</f>
        <v>0</v>
      </c>
      <c r="Q774" s="2">
        <f>ROUND(
  SIGN(P774)*
  IF(ABS(P774)&lt;=10,ABS(P774)*0.5,
     IF(ABS(P774)&lt;=15,5+(ABS(P774)-10)*(1.67/5),
        6.67+(ABS(P774)-15)*0.333)),
2)</f>
        <v>0</v>
      </c>
    </row>
    <row r="775" spans="1:17" ht="34.5" customHeight="1" x14ac:dyDescent="0.3">
      <c r="B775" s="2">
        <v>774</v>
      </c>
      <c r="C775" s="17">
        <f>ROUND(MAX(MIN(N775 + Q775, 100), 0), 2)</f>
        <v>61.4</v>
      </c>
      <c r="D775" s="2" t="s">
        <v>660</v>
      </c>
      <c r="E775" s="7">
        <v>66</v>
      </c>
      <c r="F775" s="7">
        <v>67</v>
      </c>
      <c r="G775" s="7">
        <v>63</v>
      </c>
      <c r="H775" s="2" t="s">
        <v>661</v>
      </c>
      <c r="I775" s="2" t="s">
        <v>36</v>
      </c>
      <c r="J775" s="3" t="s">
        <v>140</v>
      </c>
      <c r="M775" s="2">
        <f>IF(J775="1000+", 1000, (LEFT(J775,FIND("-",J775)-1)+RIGHT(J775,LEN(J775)-FIND("-",J775)))/2)</f>
        <v>115</v>
      </c>
      <c r="N775" s="2">
        <f>ROUND(E775 * 0.7+F775 * 0.2+G775 * 0.1,2)</f>
        <v>65.900000000000006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75</v>
      </c>
      <c r="P775" s="2">
        <f>E775 - O775</f>
        <v>-9</v>
      </c>
      <c r="Q775" s="2">
        <f>ROUND(
  SIGN(P775)*
  IF(ABS(P775)&lt;=10,ABS(P775)*0.5,
     IF(ABS(P775)&lt;=15,5+(ABS(P775)-10)*(1.67/5),
        6.67+(ABS(P775)-15)*0.333)),
2)</f>
        <v>-4.5</v>
      </c>
    </row>
    <row r="776" spans="1:17" ht="34.5" customHeight="1" x14ac:dyDescent="0.3">
      <c r="B776" s="2">
        <v>775</v>
      </c>
      <c r="C776" s="17">
        <f>ROUND(MAX(MIN(N776 + Q776, 100), 0), 2)</f>
        <v>61.3</v>
      </c>
      <c r="D776" s="2" t="s">
        <v>749</v>
      </c>
      <c r="E776" s="7">
        <v>65</v>
      </c>
      <c r="F776" s="2">
        <v>54</v>
      </c>
      <c r="G776" s="2">
        <v>50</v>
      </c>
      <c r="H776" s="2" t="s">
        <v>610</v>
      </c>
      <c r="I776" s="2" t="s">
        <v>22</v>
      </c>
      <c r="J776" s="3" t="s">
        <v>32</v>
      </c>
      <c r="M776" s="2">
        <f>IF(J776="1000+", 1000, (LEFT(J776,FIND("-",J776)-1)+RIGHT(J776,LEN(J776)-FIND("-",J776)))/2)</f>
        <v>45</v>
      </c>
      <c r="N776" s="2">
        <f>ROUND(E776 * 0.7+F776 * 0.2+G776 * 0.1,2)</f>
        <v>61.3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65</v>
      </c>
      <c r="P776" s="2">
        <f>E776 - O776</f>
        <v>0</v>
      </c>
      <c r="Q776" s="2">
        <f>ROUND(
  SIGN(P776)*
  IF(ABS(P776)&lt;=10,ABS(P776)*0.5,
     IF(ABS(P776)&lt;=15,5+(ABS(P776)-10)*(1.67/5),
        6.67+(ABS(P776)-15)*0.333)),
2)</f>
        <v>0</v>
      </c>
    </row>
    <row r="777" spans="1:17" ht="34.5" customHeight="1" x14ac:dyDescent="0.3">
      <c r="B777" s="2">
        <v>776</v>
      </c>
      <c r="C777" s="17">
        <f>ROUND(MAX(MIN(N777 + Q777, 100), 0), 2)</f>
        <v>61.3</v>
      </c>
      <c r="D777" s="2" t="s">
        <v>692</v>
      </c>
      <c r="E777" s="7">
        <v>67</v>
      </c>
      <c r="F777" s="7">
        <v>63</v>
      </c>
      <c r="G777" s="2">
        <v>58</v>
      </c>
      <c r="H777" s="2" t="s">
        <v>512</v>
      </c>
      <c r="I777" s="2" t="s">
        <v>513</v>
      </c>
      <c r="J777" s="3" t="s">
        <v>140</v>
      </c>
      <c r="M777" s="2">
        <f>IF(J777="1000+", 1000, (LEFT(J777,FIND("-",J777)-1)+RIGHT(J777,LEN(J777)-FIND("-",J777)))/2)</f>
        <v>115</v>
      </c>
      <c r="N777" s="2">
        <f>ROUND(E777 * 0.7+F777 * 0.2+G777 * 0.1,2)</f>
        <v>65.3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75</v>
      </c>
      <c r="P777" s="2">
        <f>E777 - O777</f>
        <v>-8</v>
      </c>
      <c r="Q777" s="2">
        <f>ROUND(
  SIGN(P777)*
  IF(ABS(P777)&lt;=10,ABS(P777)*0.5,
     IF(ABS(P777)&lt;=15,5+(ABS(P777)-10)*(1.67/5),
        6.67+(ABS(P777)-15)*0.333)),
2)</f>
        <v>-4</v>
      </c>
    </row>
    <row r="778" spans="1:17" ht="34.5" customHeight="1" x14ac:dyDescent="0.3">
      <c r="B778" s="2">
        <v>777</v>
      </c>
      <c r="C778" s="17">
        <f>ROUND(MAX(MIN(N778 + Q778, 100), 0), 2)</f>
        <v>61.3</v>
      </c>
      <c r="D778" s="2" t="s">
        <v>667</v>
      </c>
      <c r="E778" s="7">
        <v>64</v>
      </c>
      <c r="F778" s="7">
        <v>65</v>
      </c>
      <c r="G778" s="2">
        <v>55</v>
      </c>
      <c r="H778" s="2" t="s">
        <v>31</v>
      </c>
      <c r="I778" s="2" t="s">
        <v>165</v>
      </c>
      <c r="J778" s="3" t="s">
        <v>23</v>
      </c>
      <c r="M778" s="2">
        <f>IF(J778="1000+", 1000, (LEFT(J778,FIND("-",J778)-1)+RIGHT(J778,LEN(J778)-FIND("-",J778)))/2)</f>
        <v>60</v>
      </c>
      <c r="N778" s="2">
        <f>ROUND(E778 * 0.7+F778 * 0.2+G778 * 0.1,2)</f>
        <v>63.3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68</v>
      </c>
      <c r="P778" s="2">
        <f>E778 - O778</f>
        <v>-4</v>
      </c>
      <c r="Q778" s="2">
        <f>ROUND(
  SIGN(P778)*
  IF(ABS(P778)&lt;=10,ABS(P778)*0.5,
     IF(ABS(P778)&lt;=15,5+(ABS(P778)-10)*(1.67/5),
        6.67+(ABS(P778)-15)*0.333)),
2)</f>
        <v>-2</v>
      </c>
    </row>
    <row r="779" spans="1:17" ht="34.5" customHeight="1" x14ac:dyDescent="0.3">
      <c r="B779" s="2">
        <v>778</v>
      </c>
      <c r="C779" s="17">
        <f>ROUND(MAX(MIN(N779 + Q779, 100), 0), 2)</f>
        <v>61.3</v>
      </c>
      <c r="D779" s="2" t="s">
        <v>640</v>
      </c>
      <c r="E779" s="7">
        <v>64</v>
      </c>
      <c r="F779" s="7">
        <v>68</v>
      </c>
      <c r="G779" s="7">
        <v>69</v>
      </c>
      <c r="H779" s="2" t="s">
        <v>48</v>
      </c>
      <c r="I779" s="2" t="s">
        <v>1742</v>
      </c>
      <c r="J779" s="3" t="s">
        <v>122</v>
      </c>
      <c r="M779" s="2">
        <f>IF(J779="1000+", 1000, (LEFT(J779,FIND("-",J779)-1)+RIGHT(J779,LEN(J779)-FIND("-",J779)))/2)</f>
        <v>105</v>
      </c>
      <c r="N779" s="2">
        <f>ROUND(E779 * 0.7+F779 * 0.2+G779 * 0.1,2)</f>
        <v>65.3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72</v>
      </c>
      <c r="P779" s="2">
        <f>E779 - O779</f>
        <v>-8</v>
      </c>
      <c r="Q779" s="2">
        <f>ROUND(
  SIGN(P779)*
  IF(ABS(P779)&lt;=10,ABS(P779)*0.5,
     IF(ABS(P779)&lt;=15,5+(ABS(P779)-10)*(1.67/5),
        6.67+(ABS(P779)-15)*0.333)),
2)</f>
        <v>-4</v>
      </c>
    </row>
    <row r="780" spans="1:17" ht="34.5" customHeight="1" x14ac:dyDescent="0.3">
      <c r="B780" s="2">
        <v>779</v>
      </c>
      <c r="C780" s="17">
        <f>ROUND(MAX(MIN(N780 + Q780, 100), 0), 2)</f>
        <v>61.2</v>
      </c>
      <c r="D780" s="2" t="s">
        <v>814</v>
      </c>
      <c r="E780" s="5">
        <v>70</v>
      </c>
      <c r="F780" s="2">
        <v>35</v>
      </c>
      <c r="G780" s="2">
        <v>42</v>
      </c>
      <c r="H780" s="2" t="s">
        <v>416</v>
      </c>
      <c r="I780" s="2" t="s">
        <v>417</v>
      </c>
      <c r="J780" s="3" t="s">
        <v>23</v>
      </c>
      <c r="M780" s="2">
        <f>IF(J780="1000+", 1000, (LEFT(J780,FIND("-",J780)-1)+RIGHT(J780,LEN(J780)-FIND("-",J780)))/2)</f>
        <v>60</v>
      </c>
      <c r="N780" s="2">
        <f>ROUND(E780 * 0.7+F780 * 0.2+G780 * 0.1,2)</f>
        <v>60.2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68</v>
      </c>
      <c r="P780" s="2">
        <f>E780 - O780</f>
        <v>2</v>
      </c>
      <c r="Q780" s="2">
        <f>ROUND(
  SIGN(P780)*
  IF(ABS(P780)&lt;=10,ABS(P780)*0.5,
     IF(ABS(P780)&lt;=15,5+(ABS(P780)-10)*(1.67/5),
        6.67+(ABS(P780)-15)*0.333)),
2)</f>
        <v>1</v>
      </c>
    </row>
    <row r="781" spans="1:17" ht="34.5" customHeight="1" x14ac:dyDescent="0.3">
      <c r="B781" s="2">
        <v>780</v>
      </c>
      <c r="C781" s="17">
        <f>ROUND(MAX(MIN(N781 + Q781, 100), 0), 2)</f>
        <v>61.2</v>
      </c>
      <c r="D781" s="2" t="s">
        <v>767</v>
      </c>
      <c r="E781" s="7">
        <v>64</v>
      </c>
      <c r="F781" s="2">
        <v>53</v>
      </c>
      <c r="G781" s="2">
        <v>48</v>
      </c>
      <c r="H781" s="2" t="s">
        <v>48</v>
      </c>
      <c r="I781" s="2" t="s">
        <v>72</v>
      </c>
      <c r="J781" s="3" t="s">
        <v>146</v>
      </c>
      <c r="M781" s="2">
        <f>IF(J781="1000+", 1000, (LEFT(J781,FIND("-",J781)-1)+RIGHT(J781,LEN(J781)-FIND("-",J781)))/2)</f>
        <v>30</v>
      </c>
      <c r="N781" s="2">
        <f>ROUND(E781 * 0.7+F781 * 0.2+G781 * 0.1,2)</f>
        <v>60.2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62</v>
      </c>
      <c r="P781" s="2">
        <f>E781 - O781</f>
        <v>2</v>
      </c>
      <c r="Q781" s="2">
        <f>ROUND(
  SIGN(P781)*
  IF(ABS(P781)&lt;=10,ABS(P781)*0.5,
     IF(ABS(P781)&lt;=15,5+(ABS(P781)-10)*(1.67/5),
        6.67+(ABS(P781)-15)*0.333)),
2)</f>
        <v>1</v>
      </c>
    </row>
    <row r="782" spans="1:17" ht="34.5" customHeight="1" x14ac:dyDescent="0.3">
      <c r="A782" s="2">
        <v>2026</v>
      </c>
      <c r="B782" s="2">
        <v>781</v>
      </c>
      <c r="C782" s="17">
        <f>ROUND(MAX(MIN(N782 + Q782, 100), 0), 2)</f>
        <v>61.2</v>
      </c>
      <c r="D782" s="2" t="s">
        <v>1244</v>
      </c>
      <c r="E782" s="7">
        <v>66</v>
      </c>
      <c r="F782" s="2">
        <v>57</v>
      </c>
      <c r="G782" s="2">
        <v>56</v>
      </c>
      <c r="H782" s="2" t="s">
        <v>48</v>
      </c>
      <c r="I782" s="2" t="s">
        <v>1486</v>
      </c>
      <c r="J782" s="3" t="s">
        <v>18</v>
      </c>
      <c r="M782" s="2">
        <f>IF(J782="1000+", 1000, (LEFT(J782,FIND("-",J782)-1)+RIGHT(J782,LEN(J782)-FIND("-",J782)))/2)</f>
        <v>75</v>
      </c>
      <c r="N782" s="2">
        <f>ROUND(E782 * 0.7+F782 * 0.2+G782 * 0.1,2)</f>
        <v>63.2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70</v>
      </c>
      <c r="P782" s="2">
        <f>E782 - O782</f>
        <v>-4</v>
      </c>
      <c r="Q782" s="2">
        <f>ROUND(
  SIGN(P782)*
  IF(ABS(P782)&lt;=10,ABS(P782)*0.5,
     IF(ABS(P782)&lt;=15,5+(ABS(P782)-10)*(1.67/5),
        6.67+(ABS(P782)-15)*0.333)),
2)</f>
        <v>-2</v>
      </c>
    </row>
    <row r="783" spans="1:17" ht="34.5" customHeight="1" x14ac:dyDescent="0.3">
      <c r="B783" s="2">
        <v>782</v>
      </c>
      <c r="C783" s="17">
        <f>ROUND(MAX(MIN(N783 + Q783, 100), 0), 2)</f>
        <v>61.1</v>
      </c>
      <c r="D783" s="2" t="s">
        <v>831</v>
      </c>
      <c r="E783" s="7">
        <v>62</v>
      </c>
      <c r="F783" s="2">
        <v>53</v>
      </c>
      <c r="G783" s="2">
        <v>36</v>
      </c>
      <c r="H783" s="2" t="s">
        <v>31</v>
      </c>
      <c r="I783" s="2" t="s">
        <v>36</v>
      </c>
      <c r="J783" s="3" t="s">
        <v>37</v>
      </c>
      <c r="M783" s="2">
        <f>IF(J783="1000+", 1000, (LEFT(J783,FIND("-",J783)-1)+RIGHT(J783,LEN(J783)-FIND("-",J783)))/2)</f>
        <v>15</v>
      </c>
      <c r="N783" s="2">
        <f>ROUND(E783 * 0.7+F783 * 0.2+G783 * 0.1,2)</f>
        <v>57.6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55</v>
      </c>
      <c r="P783" s="2">
        <f>E783 - O783</f>
        <v>7</v>
      </c>
      <c r="Q783" s="2">
        <f>ROUND(
  SIGN(P783)*
  IF(ABS(P783)&lt;=10,ABS(P783)*0.5,
     IF(ABS(P783)&lt;=15,5+(ABS(P783)-10)*(1.67/5),
        6.67+(ABS(P783)-15)*0.333)),
2)</f>
        <v>3.5</v>
      </c>
    </row>
    <row r="784" spans="1:17" ht="34.5" customHeight="1" x14ac:dyDescent="0.3">
      <c r="B784" s="2">
        <v>783</v>
      </c>
      <c r="C784" s="17">
        <f>ROUND(MAX(MIN(N784 + Q784, 100), 0), 2)</f>
        <v>61.1</v>
      </c>
      <c r="D784" s="2" t="s">
        <v>782</v>
      </c>
      <c r="E784" s="7">
        <v>67</v>
      </c>
      <c r="F784" s="2">
        <v>56</v>
      </c>
      <c r="G784" s="2">
        <v>45</v>
      </c>
      <c r="H784" s="2" t="s">
        <v>783</v>
      </c>
      <c r="I784" s="2" t="s">
        <v>72</v>
      </c>
      <c r="J784" s="3" t="s">
        <v>18</v>
      </c>
      <c r="M784" s="2">
        <f>IF(J784="1000+", 1000, (LEFT(J784,FIND("-",J784)-1)+RIGHT(J784,LEN(J784)-FIND("-",J784)))/2)</f>
        <v>75</v>
      </c>
      <c r="N784" s="2">
        <f>ROUND(E784 * 0.7+F784 * 0.2+G784 * 0.1,2)</f>
        <v>62.6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70</v>
      </c>
      <c r="P784" s="2">
        <f>E784 - O784</f>
        <v>-3</v>
      </c>
      <c r="Q784" s="2">
        <f>ROUND(
  SIGN(P784)*
  IF(ABS(P784)&lt;=10,ABS(P784)*0.5,
     IF(ABS(P784)&lt;=15,5+(ABS(P784)-10)*(1.67/5),
        6.67+(ABS(P784)-15)*0.333)),
2)</f>
        <v>-1.5</v>
      </c>
    </row>
    <row r="785" spans="1:17" ht="34.5" customHeight="1" x14ac:dyDescent="0.3">
      <c r="A785" s="2">
        <v>2026</v>
      </c>
      <c r="B785" s="2">
        <v>784</v>
      </c>
      <c r="C785" s="17">
        <f>ROUND(MAX(MIN(N785 + Q785, 100), 0), 2)</f>
        <v>61.1</v>
      </c>
      <c r="D785" s="2" t="s">
        <v>1785</v>
      </c>
      <c r="E785" s="7">
        <v>64</v>
      </c>
      <c r="F785" s="2">
        <v>56</v>
      </c>
      <c r="G785" s="2">
        <v>41</v>
      </c>
      <c r="H785" s="2" t="s">
        <v>1257</v>
      </c>
      <c r="I785" s="2" t="s">
        <v>36</v>
      </c>
      <c r="J785" s="3" t="s">
        <v>1263</v>
      </c>
      <c r="M785" s="2">
        <f>IF(J785="1000+", 1000, (LEFT(J785,FIND("-",J785)-1)+RIGHT(J785,LEN(J785)-FIND("-",J785)))/2)</f>
        <v>30</v>
      </c>
      <c r="N785" s="2">
        <f>ROUND(E785 * 0.7+F785 * 0.2+G785 * 0.1,2)</f>
        <v>60.1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62</v>
      </c>
      <c r="P785" s="2">
        <f>E785 - O785</f>
        <v>2</v>
      </c>
      <c r="Q785" s="2">
        <f>ROUND(
  SIGN(P785)*
  IF(ABS(P785)&lt;=10,ABS(P785)*0.5,
     IF(ABS(P785)&lt;=15,5+(ABS(P785)-10)*(1.67/5),
        6.67+(ABS(P785)-15)*0.333)),
2)</f>
        <v>1</v>
      </c>
    </row>
    <row r="786" spans="1:17" ht="34.5" customHeight="1" x14ac:dyDescent="0.3">
      <c r="A786" s="2">
        <v>2026</v>
      </c>
      <c r="B786" s="2">
        <v>785</v>
      </c>
      <c r="C786" s="17">
        <f>ROUND(MAX(MIN(N786 + Q786, 100), 0), 2)</f>
        <v>61.1</v>
      </c>
      <c r="D786" s="2" t="s">
        <v>1577</v>
      </c>
      <c r="E786" s="7">
        <v>64</v>
      </c>
      <c r="F786" s="2">
        <v>50</v>
      </c>
      <c r="G786" s="2">
        <v>53</v>
      </c>
      <c r="H786" s="2" t="s">
        <v>1586</v>
      </c>
      <c r="I786" s="2" t="s">
        <v>36</v>
      </c>
      <c r="J786" s="3" t="s">
        <v>1593</v>
      </c>
      <c r="M786" s="2">
        <f>IF(J786="1000+", 1000, (LEFT(J786,FIND("-",J786)-1)+RIGHT(J786,LEN(J786)-FIND("-",J786)))/2)</f>
        <v>30</v>
      </c>
      <c r="N786" s="2">
        <f>ROUND(E786 * 0.7+F786 * 0.2+G786 * 0.1,2)</f>
        <v>60.1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62</v>
      </c>
      <c r="P786" s="2">
        <f>E786 - O786</f>
        <v>2</v>
      </c>
      <c r="Q786" s="2">
        <f>ROUND(
  SIGN(P786)*
  IF(ABS(P786)&lt;=10,ABS(P786)*0.5,
     IF(ABS(P786)&lt;=15,5+(ABS(P786)-10)*(1.67/5),
        6.67+(ABS(P786)-15)*0.333)),
2)</f>
        <v>1</v>
      </c>
    </row>
    <row r="787" spans="1:17" ht="34.5" customHeight="1" x14ac:dyDescent="0.3">
      <c r="B787" s="2">
        <v>786</v>
      </c>
      <c r="C787" s="17">
        <f>ROUND(MAX(MIN(N787 + Q787, 100), 0), 2)</f>
        <v>61.1</v>
      </c>
      <c r="D787" s="2" t="s">
        <v>655</v>
      </c>
      <c r="E787" s="7">
        <v>63</v>
      </c>
      <c r="F787" s="7">
        <v>65</v>
      </c>
      <c r="G787" s="7">
        <v>65</v>
      </c>
      <c r="H787" s="2" t="s">
        <v>61</v>
      </c>
      <c r="I787" s="2" t="s">
        <v>22</v>
      </c>
      <c r="J787" s="3" t="s">
        <v>23</v>
      </c>
      <c r="M787" s="2">
        <f>IF(J787="1000+", 1000, (LEFT(J787,FIND("-",J787)-1)+RIGHT(J787,LEN(J787)-FIND("-",J787)))/2)</f>
        <v>60</v>
      </c>
      <c r="N787" s="2">
        <f>ROUND(E787 * 0.7+F787 * 0.2+G787 * 0.1,2)</f>
        <v>63.6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68</v>
      </c>
      <c r="P787" s="2">
        <f>E787 - O787</f>
        <v>-5</v>
      </c>
      <c r="Q787" s="2">
        <f>ROUND(
  SIGN(P787)*
  IF(ABS(P787)&lt;=10,ABS(P787)*0.5,
     IF(ABS(P787)&lt;=15,5+(ABS(P787)-10)*(1.67/5),
        6.67+(ABS(P787)-15)*0.333)),
2)</f>
        <v>-2.5</v>
      </c>
    </row>
    <row r="788" spans="1:17" ht="34.5" customHeight="1" x14ac:dyDescent="0.3">
      <c r="A788" s="2">
        <v>2026</v>
      </c>
      <c r="B788" s="2">
        <v>787</v>
      </c>
      <c r="C788" s="17">
        <f>ROUND(MAX(MIN(N788 + Q788, 100), 0), 2)</f>
        <v>61</v>
      </c>
      <c r="D788" s="2" t="s">
        <v>1406</v>
      </c>
      <c r="E788" s="7">
        <v>64</v>
      </c>
      <c r="F788" s="2">
        <v>59</v>
      </c>
      <c r="G788" s="2">
        <v>34</v>
      </c>
      <c r="H788" s="2" t="s">
        <v>1409</v>
      </c>
      <c r="I788" s="2" t="s">
        <v>1422</v>
      </c>
      <c r="J788" s="3" t="s">
        <v>1428</v>
      </c>
      <c r="M788" s="2">
        <f>IF(J788="1000+", 1000, (LEFT(J788,FIND("-",J788)-1)+RIGHT(J788,LEN(J788)-FIND("-",J788)))/2)</f>
        <v>30</v>
      </c>
      <c r="N788" s="2">
        <f>ROUND(E788 * 0.7+F788 * 0.2+G788 * 0.1,2)</f>
        <v>60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62</v>
      </c>
      <c r="P788" s="2">
        <f>E788 - O788</f>
        <v>2</v>
      </c>
      <c r="Q788" s="2">
        <f>ROUND(
  SIGN(P788)*
  IF(ABS(P788)&lt;=10,ABS(P788)*0.5,
     IF(ABS(P788)&lt;=15,5+(ABS(P788)-10)*(1.67/5),
        6.67+(ABS(P788)-15)*0.333)),
2)</f>
        <v>1</v>
      </c>
    </row>
    <row r="789" spans="1:17" ht="34.5" customHeight="1" x14ac:dyDescent="0.3">
      <c r="B789" s="2">
        <v>788</v>
      </c>
      <c r="C789" s="17">
        <f>ROUND(MAX(MIN(N789 + Q789, 100), 0), 2)</f>
        <v>61</v>
      </c>
      <c r="D789" s="2" t="s">
        <v>758</v>
      </c>
      <c r="E789" s="7">
        <v>65</v>
      </c>
      <c r="F789" s="2">
        <v>55</v>
      </c>
      <c r="G789" s="2">
        <v>45</v>
      </c>
      <c r="H789" s="2" t="s">
        <v>416</v>
      </c>
      <c r="I789" s="2" t="s">
        <v>36</v>
      </c>
      <c r="J789" s="3" t="s">
        <v>32</v>
      </c>
      <c r="M789" s="2">
        <f>IF(J789="1000+", 1000, (LEFT(J789,FIND("-",J789)-1)+RIGHT(J789,LEN(J789)-FIND("-",J789)))/2)</f>
        <v>45</v>
      </c>
      <c r="N789" s="2">
        <f>ROUND(E789 * 0.7+F789 * 0.2+G789 * 0.1,2)</f>
        <v>61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65</v>
      </c>
      <c r="P789" s="2">
        <f>E789 - O789</f>
        <v>0</v>
      </c>
      <c r="Q789" s="2">
        <f>ROUND(
  SIGN(P789)*
  IF(ABS(P789)&lt;=10,ABS(P789)*0.5,
     IF(ABS(P789)&lt;=15,5+(ABS(P789)-10)*(1.67/5),
        6.67+(ABS(P789)-15)*0.333)),
2)</f>
        <v>0</v>
      </c>
    </row>
    <row r="790" spans="1:17" ht="34.5" customHeight="1" x14ac:dyDescent="0.3">
      <c r="A790" s="2">
        <v>2026</v>
      </c>
      <c r="B790" s="2">
        <v>789</v>
      </c>
      <c r="C790" s="17">
        <f>ROUND(MAX(MIN(N790 + Q790, 100), 0), 2)</f>
        <v>61</v>
      </c>
      <c r="D790" s="11" t="s">
        <v>1282</v>
      </c>
      <c r="E790" s="7">
        <v>63</v>
      </c>
      <c r="F790" s="2">
        <v>54</v>
      </c>
      <c r="G790" s="2">
        <v>46</v>
      </c>
      <c r="H790" s="11" t="s">
        <v>1256</v>
      </c>
      <c r="I790" s="11" t="s">
        <v>1288</v>
      </c>
      <c r="J790" s="19" t="s">
        <v>1261</v>
      </c>
      <c r="M790" s="2">
        <f>IF(J790="1000+", 1000, (LEFT(J790,FIND("-",J790)-1)+RIGHT(J790,LEN(J790)-FIND("-",J790)))/2)</f>
        <v>20</v>
      </c>
      <c r="N790" s="2">
        <f>ROUND(E790 * 0.7+F790 * 0.2+G790 * 0.1,2)</f>
        <v>59.5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60</v>
      </c>
      <c r="P790" s="2">
        <f>E790 - O790</f>
        <v>3</v>
      </c>
      <c r="Q790" s="2">
        <f>ROUND(
  SIGN(P790)*
  IF(ABS(P790)&lt;=10,ABS(P790)*0.5,
     IF(ABS(P790)&lt;=15,5+(ABS(P790)-10)*(1.67/5),
        6.67+(ABS(P790)-15)*0.333)),
2)</f>
        <v>1.5</v>
      </c>
    </row>
    <row r="791" spans="1:17" ht="34.5" customHeight="1" x14ac:dyDescent="0.3">
      <c r="A791" s="2">
        <v>2026</v>
      </c>
      <c r="B791" s="2">
        <v>790</v>
      </c>
      <c r="C791" s="17">
        <f>ROUND(MAX(MIN(N791 + Q791, 100), 0), 2)</f>
        <v>61</v>
      </c>
      <c r="D791" s="11" t="s">
        <v>1292</v>
      </c>
      <c r="E791" s="7">
        <v>66</v>
      </c>
      <c r="F791" s="7">
        <v>61</v>
      </c>
      <c r="G791" s="2">
        <v>46</v>
      </c>
      <c r="H791" s="11" t="s">
        <v>1256</v>
      </c>
      <c r="I791" s="11" t="s">
        <v>1258</v>
      </c>
      <c r="J791" s="19" t="s">
        <v>1264</v>
      </c>
      <c r="M791" s="2">
        <f>IF(J791="1000+", 1000, (LEFT(J791,FIND("-",J791)-1)+RIGHT(J791,LEN(J791)-FIND("-",J791)))/2)</f>
        <v>75</v>
      </c>
      <c r="N791" s="2">
        <f>ROUND(E791 * 0.7+F791 * 0.2+G791 * 0.1,2)</f>
        <v>63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70</v>
      </c>
      <c r="P791" s="2">
        <f>E791 - O791</f>
        <v>-4</v>
      </c>
      <c r="Q791" s="2">
        <f>ROUND(
  SIGN(P791)*
  IF(ABS(P791)&lt;=10,ABS(P791)*0.5,
     IF(ABS(P791)&lt;=15,5+(ABS(P791)-10)*(1.67/5),
        6.67+(ABS(P791)-15)*0.333)),
2)</f>
        <v>-2</v>
      </c>
    </row>
    <row r="792" spans="1:17" ht="34.5" customHeight="1" x14ac:dyDescent="0.3">
      <c r="B792" s="2">
        <v>791</v>
      </c>
      <c r="C792" s="17">
        <f>ROUND(MAX(MIN(N792 + Q792, 100), 0), 2)</f>
        <v>61</v>
      </c>
      <c r="D792" s="2" t="s">
        <v>520</v>
      </c>
      <c r="E792" s="7">
        <v>60</v>
      </c>
      <c r="F792" s="6">
        <v>81</v>
      </c>
      <c r="G792" s="5">
        <v>78</v>
      </c>
      <c r="H792" s="2" t="s">
        <v>1487</v>
      </c>
      <c r="I792" s="2" t="s">
        <v>218</v>
      </c>
      <c r="J792" s="3" t="s">
        <v>18</v>
      </c>
      <c r="M792" s="2">
        <f>IF(J792="1000+", 1000, (LEFT(J792,FIND("-",J792)-1)+RIGHT(J792,LEN(J792)-FIND("-",J792)))/2)</f>
        <v>75</v>
      </c>
      <c r="N792" s="2">
        <f>ROUND(E792 * 0.7+F792 * 0.2+G792 * 0.1,2)</f>
        <v>66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70</v>
      </c>
      <c r="P792" s="2">
        <f>E792 - O792</f>
        <v>-10</v>
      </c>
      <c r="Q792" s="2">
        <f>ROUND(
  SIGN(P792)*
  IF(ABS(P792)&lt;=10,ABS(P792)*0.5,
     IF(ABS(P792)&lt;=15,5+(ABS(P792)-10)*(1.67/5),
        6.67+(ABS(P792)-15)*0.333)),
2)</f>
        <v>-5</v>
      </c>
    </row>
    <row r="793" spans="1:17" ht="34.5" customHeight="1" x14ac:dyDescent="0.3">
      <c r="B793" s="2">
        <v>792</v>
      </c>
      <c r="C793" s="17">
        <f>ROUND(MAX(MIN(N793 + Q793, 100), 0), 2)</f>
        <v>60.96</v>
      </c>
      <c r="D793" s="2" t="s">
        <v>641</v>
      </c>
      <c r="E793" s="7">
        <v>66</v>
      </c>
      <c r="F793" s="7">
        <v>67</v>
      </c>
      <c r="G793" s="5">
        <v>77</v>
      </c>
      <c r="H793" s="2" t="s">
        <v>31</v>
      </c>
      <c r="I793" s="2" t="s">
        <v>228</v>
      </c>
      <c r="J793" s="3" t="s">
        <v>88</v>
      </c>
      <c r="M793" s="2">
        <f>IF(J793="1000+", 1000, (LEFT(J793,FIND("-",J793)-1)+RIGHT(J793,LEN(J793)-FIND("-",J793)))/2)</f>
        <v>150</v>
      </c>
      <c r="N793" s="2">
        <f>ROUND(E793 * 0.7+F793 * 0.2+G793 * 0.1,2)</f>
        <v>67.3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80</v>
      </c>
      <c r="P793" s="2">
        <f>E793 - O793</f>
        <v>-14</v>
      </c>
      <c r="Q793" s="2">
        <f>ROUND(
  SIGN(P793)*
  IF(ABS(P793)&lt;=10,ABS(P793)*0.5,
     IF(ABS(P793)&lt;=15,5+(ABS(P793)-10)*(1.67/5),
        6.67+(ABS(P793)-15)*0.333)),
2)</f>
        <v>-6.34</v>
      </c>
    </row>
    <row r="794" spans="1:17" ht="34.5" customHeight="1" x14ac:dyDescent="0.3">
      <c r="A794" s="2">
        <v>2026</v>
      </c>
      <c r="B794" s="2">
        <v>793</v>
      </c>
      <c r="C794" s="17">
        <f>ROUND(MAX(MIN(N794 + Q794, 100), 0), 2)</f>
        <v>60.9</v>
      </c>
      <c r="D794" s="11" t="s">
        <v>1291</v>
      </c>
      <c r="E794" s="7">
        <v>64</v>
      </c>
      <c r="F794" s="2">
        <v>50</v>
      </c>
      <c r="G794" s="2">
        <v>41</v>
      </c>
      <c r="H794" s="11" t="s">
        <v>1256</v>
      </c>
      <c r="I794" s="11" t="s">
        <v>1288</v>
      </c>
      <c r="J794" s="19" t="s">
        <v>1261</v>
      </c>
      <c r="M794" s="2">
        <f>IF(J794="1000+", 1000, (LEFT(J794,FIND("-",J794)-1)+RIGHT(J794,LEN(J794)-FIND("-",J794)))/2)</f>
        <v>20</v>
      </c>
      <c r="N794" s="2">
        <f>ROUND(E794 * 0.7+F794 * 0.2+G794 * 0.1,2)</f>
        <v>58.9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60</v>
      </c>
      <c r="P794" s="2">
        <f>E794 - O794</f>
        <v>4</v>
      </c>
      <c r="Q794" s="2">
        <f>ROUND(
  SIGN(P794)*
  IF(ABS(P794)&lt;=10,ABS(P794)*0.5,
     IF(ABS(P794)&lt;=15,5+(ABS(P794)-10)*(1.67/5),
        6.67+(ABS(P794)-15)*0.333)),
2)</f>
        <v>2</v>
      </c>
    </row>
    <row r="795" spans="1:17" ht="34.5" customHeight="1" x14ac:dyDescent="0.3">
      <c r="A795" s="2">
        <v>2026</v>
      </c>
      <c r="B795" s="2">
        <v>794</v>
      </c>
      <c r="C795" s="17">
        <f>ROUND(MAX(MIN(N795 + Q795, 100), 0), 2)</f>
        <v>60.8</v>
      </c>
      <c r="D795" s="2" t="s">
        <v>1445</v>
      </c>
      <c r="E795" s="7">
        <v>63</v>
      </c>
      <c r="F795" s="7">
        <v>62</v>
      </c>
      <c r="G795" s="7">
        <v>68</v>
      </c>
      <c r="H795" s="2" t="s">
        <v>1443</v>
      </c>
      <c r="I795" s="2" t="s">
        <v>1451</v>
      </c>
      <c r="J795" s="3" t="s">
        <v>1454</v>
      </c>
      <c r="M795" s="2">
        <f>IF(J795="1000+", 1000, (LEFT(J795,FIND("-",J795)-1)+RIGHT(J795,LEN(J795)-FIND("-",J795)))/2)</f>
        <v>60</v>
      </c>
      <c r="N795" s="2">
        <f>ROUND(E795 * 0.7+F795 * 0.2+G795 * 0.1,2)</f>
        <v>63.3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68</v>
      </c>
      <c r="P795" s="2">
        <f>E795 - O795</f>
        <v>-5</v>
      </c>
      <c r="Q795" s="2">
        <f>ROUND(
  SIGN(P795)*
  IF(ABS(P795)&lt;=10,ABS(P795)*0.5,
     IF(ABS(P795)&lt;=15,5+(ABS(P795)-10)*(1.67/5),
        6.67+(ABS(P795)-15)*0.333)),
2)</f>
        <v>-2.5</v>
      </c>
    </row>
    <row r="796" spans="1:17" ht="34.5" customHeight="1" x14ac:dyDescent="0.3">
      <c r="B796" s="2">
        <v>795</v>
      </c>
      <c r="C796" s="17">
        <f>ROUND(MAX(MIN(N796 + Q796, 100), 0), 2)</f>
        <v>60.76</v>
      </c>
      <c r="D796" s="2" t="s">
        <v>714</v>
      </c>
      <c r="E796" s="5">
        <v>71</v>
      </c>
      <c r="F796" s="7">
        <v>60</v>
      </c>
      <c r="G796" s="2">
        <v>54</v>
      </c>
      <c r="H796" s="2" t="s">
        <v>396</v>
      </c>
      <c r="I796" s="2" t="s">
        <v>513</v>
      </c>
      <c r="J796" s="3" t="s">
        <v>14</v>
      </c>
      <c r="K796" s="2" t="s">
        <v>715</v>
      </c>
      <c r="M796" s="2">
        <f>IF(J796="1000+", 1000, (LEFT(J796,FIND("-",J796)-1)+RIGHT(J796,LEN(J796)-FIND("-",J796)))/2)</f>
        <v>225</v>
      </c>
      <c r="N796" s="2">
        <f>ROUND(E796 * 0.7+F796 * 0.2+G796 * 0.1,2)</f>
        <v>67.099999999999994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85</v>
      </c>
      <c r="P796" s="2">
        <f>E796 - O796</f>
        <v>-14</v>
      </c>
      <c r="Q796" s="2">
        <f>ROUND(
  SIGN(P796)*
  IF(ABS(P796)&lt;=10,ABS(P796)*0.5,
     IF(ABS(P796)&lt;=15,5+(ABS(P796)-10)*(1.67/5),
        6.67+(ABS(P796)-15)*0.333)),
2)</f>
        <v>-6.34</v>
      </c>
    </row>
    <row r="797" spans="1:17" ht="34.5" customHeight="1" x14ac:dyDescent="0.3">
      <c r="B797" s="2">
        <v>796</v>
      </c>
      <c r="C797" s="17">
        <f>ROUND(MAX(MIN(N797 + Q797, 100), 0), 2)</f>
        <v>60.76</v>
      </c>
      <c r="D797" s="2" t="s">
        <v>728</v>
      </c>
      <c r="E797" s="7">
        <v>68</v>
      </c>
      <c r="F797" s="7">
        <v>62</v>
      </c>
      <c r="G797" s="5">
        <v>71</v>
      </c>
      <c r="H797" s="2" t="s">
        <v>434</v>
      </c>
      <c r="I797" s="2" t="s">
        <v>298</v>
      </c>
      <c r="J797" s="3" t="s">
        <v>28</v>
      </c>
      <c r="M797" s="2">
        <f>IF(J797="1000+", 1000, (LEFT(J797,FIND("-",J797)-1)+RIGHT(J797,LEN(J797)-FIND("-",J797)))/2)</f>
        <v>200</v>
      </c>
      <c r="N797" s="2">
        <f>ROUND(E797 * 0.7+F797 * 0.2+G797 * 0.1,2)</f>
        <v>67.099999999999994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82</v>
      </c>
      <c r="P797" s="2">
        <f>E797 - O797</f>
        <v>-14</v>
      </c>
      <c r="Q797" s="2">
        <f>ROUND(
  SIGN(P797)*
  IF(ABS(P797)&lt;=10,ABS(P797)*0.5,
     IF(ABS(P797)&lt;=15,5+(ABS(P797)-10)*(1.67/5),
        6.67+(ABS(P797)-15)*0.333)),
2)</f>
        <v>-6.34</v>
      </c>
    </row>
    <row r="798" spans="1:17" ht="34.5" customHeight="1" x14ac:dyDescent="0.3">
      <c r="B798" s="2">
        <v>797</v>
      </c>
      <c r="C798" s="17">
        <f>ROUND(MAX(MIN(N798 + Q798, 100), 0), 2)</f>
        <v>60.7</v>
      </c>
      <c r="D798" s="2" t="s">
        <v>775</v>
      </c>
      <c r="E798" s="7">
        <v>66</v>
      </c>
      <c r="F798" s="2">
        <v>45</v>
      </c>
      <c r="G798" s="5">
        <v>75</v>
      </c>
      <c r="H798" s="2" t="s">
        <v>297</v>
      </c>
      <c r="I798" s="2" t="s">
        <v>22</v>
      </c>
      <c r="J798" s="3" t="s">
        <v>18</v>
      </c>
      <c r="M798" s="2">
        <f>IF(J798="1000+", 1000, (LEFT(J798,FIND("-",J798)-1)+RIGHT(J798,LEN(J798)-FIND("-",J798)))/2)</f>
        <v>75</v>
      </c>
      <c r="N798" s="2">
        <f>ROUND(E798 * 0.7+F798 * 0.2+G798 * 0.1,2)</f>
        <v>62.7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70</v>
      </c>
      <c r="P798" s="2">
        <f>E798 - O798</f>
        <v>-4</v>
      </c>
      <c r="Q798" s="2">
        <f>ROUND(
  SIGN(P798)*
  IF(ABS(P798)&lt;=10,ABS(P798)*0.5,
     IF(ABS(P798)&lt;=15,5+(ABS(P798)-10)*(1.67/5),
        6.67+(ABS(P798)-15)*0.333)),
2)</f>
        <v>-2</v>
      </c>
    </row>
    <row r="799" spans="1:17" ht="34.5" customHeight="1" x14ac:dyDescent="0.3">
      <c r="B799" s="2">
        <v>798</v>
      </c>
      <c r="C799" s="17">
        <f>ROUND(MAX(MIN(N799 + Q799, 100), 0), 2)</f>
        <v>60.7</v>
      </c>
      <c r="D799" s="2" t="s">
        <v>705</v>
      </c>
      <c r="E799" s="7">
        <v>63</v>
      </c>
      <c r="F799" s="5">
        <v>75</v>
      </c>
      <c r="G799" s="2">
        <v>51</v>
      </c>
      <c r="H799" s="2" t="s">
        <v>48</v>
      </c>
      <c r="I799" s="2" t="s">
        <v>13</v>
      </c>
      <c r="J799" s="3" t="s">
        <v>18</v>
      </c>
      <c r="M799" s="2">
        <f>IF(J799="1000+", 1000, (LEFT(J799,FIND("-",J799)-1)+RIGHT(J799,LEN(J799)-FIND("-",J799)))/2)</f>
        <v>75</v>
      </c>
      <c r="N799" s="2">
        <f>ROUND(E799 * 0.7+F799 * 0.2+G799 * 0.1,2)</f>
        <v>64.2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70</v>
      </c>
      <c r="P799" s="2">
        <f>E799 - O799</f>
        <v>-7</v>
      </c>
      <c r="Q799" s="2">
        <f>ROUND(
  SIGN(P799)*
  IF(ABS(P799)&lt;=10,ABS(P799)*0.5,
     IF(ABS(P799)&lt;=15,5+(ABS(P799)-10)*(1.67/5),
        6.67+(ABS(P799)-15)*0.333)),
2)</f>
        <v>-3.5</v>
      </c>
    </row>
    <row r="800" spans="1:17" ht="34.5" customHeight="1" x14ac:dyDescent="0.3">
      <c r="B800" s="2">
        <v>799</v>
      </c>
      <c r="C800" s="17">
        <f>ROUND(MAX(MIN(N800 + Q800, 100), 0), 2)</f>
        <v>60.7</v>
      </c>
      <c r="D800" s="2" t="s">
        <v>607</v>
      </c>
      <c r="E800" s="7">
        <v>64</v>
      </c>
      <c r="F800" s="5">
        <v>74</v>
      </c>
      <c r="G800" s="6">
        <v>81</v>
      </c>
      <c r="H800" s="2" t="s">
        <v>224</v>
      </c>
      <c r="I800" s="2" t="s">
        <v>22</v>
      </c>
      <c r="J800" s="3" t="s">
        <v>88</v>
      </c>
      <c r="M800" s="2">
        <f>IF(J800="1000+", 1000, (LEFT(J800,FIND("-",J800)-1)+RIGHT(J800,LEN(J800)-FIND("-",J800)))/2)</f>
        <v>150</v>
      </c>
      <c r="N800" s="2">
        <f>ROUND(E800 * 0.7+F800 * 0.2+G800 * 0.1,2)</f>
        <v>67.7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80</v>
      </c>
      <c r="P800" s="2">
        <f>E800 - O800</f>
        <v>-16</v>
      </c>
      <c r="Q800" s="2">
        <f>ROUND(
  SIGN(P800)*
  IF(ABS(P800)&lt;=10,ABS(P800)*0.5,
     IF(ABS(P800)&lt;=15,5+(ABS(P800)-10)*(1.67/5),
        6.67+(ABS(P800)-15)*0.333)),
2)</f>
        <v>-7</v>
      </c>
    </row>
    <row r="801" spans="1:17" ht="34.5" customHeight="1" x14ac:dyDescent="0.3">
      <c r="B801" s="2">
        <v>800</v>
      </c>
      <c r="C801" s="17">
        <f>ROUND(MAX(MIN(N801 + Q801, 100), 0), 2)</f>
        <v>60.6</v>
      </c>
      <c r="D801" s="2" t="s">
        <v>785</v>
      </c>
      <c r="E801" s="7">
        <v>67</v>
      </c>
      <c r="F801" s="2">
        <v>50</v>
      </c>
      <c r="G801" s="2">
        <v>42</v>
      </c>
      <c r="H801" s="2" t="s">
        <v>217</v>
      </c>
      <c r="I801" s="2" t="s">
        <v>22</v>
      </c>
      <c r="J801" s="3" t="s">
        <v>23</v>
      </c>
      <c r="M801" s="2">
        <f>IF(J801="1000+", 1000, (LEFT(J801,FIND("-",J801)-1)+RIGHT(J801,LEN(J801)-FIND("-",J801)))/2)</f>
        <v>60</v>
      </c>
      <c r="N801" s="2">
        <f>ROUND(E801 * 0.7+F801 * 0.2+G801 * 0.1,2)</f>
        <v>61.1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68</v>
      </c>
      <c r="P801" s="2">
        <f>E801 - O801</f>
        <v>-1</v>
      </c>
      <c r="Q801" s="2">
        <f>ROUND(
  SIGN(P801)*
  IF(ABS(P801)&lt;=10,ABS(P801)*0.5,
     IF(ABS(P801)&lt;=15,5+(ABS(P801)-10)*(1.67/5),
        6.67+(ABS(P801)-15)*0.333)),
2)</f>
        <v>-0.5</v>
      </c>
    </row>
    <row r="802" spans="1:17" ht="34.5" customHeight="1" x14ac:dyDescent="0.3">
      <c r="B802" s="2">
        <v>801</v>
      </c>
      <c r="C802" s="17">
        <f>ROUND(MAX(MIN(N802 + Q802, 100), 0), 2)</f>
        <v>60.6</v>
      </c>
      <c r="D802" s="2" t="s">
        <v>843</v>
      </c>
      <c r="E802" s="7">
        <v>62</v>
      </c>
      <c r="F802" s="2">
        <v>51</v>
      </c>
      <c r="G802" s="2">
        <v>35</v>
      </c>
      <c r="H802" s="2" t="s">
        <v>31</v>
      </c>
      <c r="I802" s="2" t="s">
        <v>36</v>
      </c>
      <c r="J802" s="3" t="s">
        <v>37</v>
      </c>
      <c r="M802" s="2">
        <f>IF(J802="1000+", 1000, (LEFT(J802,FIND("-",J802)-1)+RIGHT(J802,LEN(J802)-FIND("-",J802)))/2)</f>
        <v>15</v>
      </c>
      <c r="N802" s="2">
        <f>ROUND(E802 * 0.7+F802 * 0.2+G802 * 0.1,2)</f>
        <v>57.1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55</v>
      </c>
      <c r="P802" s="2">
        <f>E802 - O802</f>
        <v>7</v>
      </c>
      <c r="Q802" s="2">
        <f>ROUND(
  SIGN(P802)*
  IF(ABS(P802)&lt;=10,ABS(P802)*0.5,
     IF(ABS(P802)&lt;=15,5+(ABS(P802)-10)*(1.67/5),
        6.67+(ABS(P802)-15)*0.333)),
2)</f>
        <v>3.5</v>
      </c>
    </row>
    <row r="803" spans="1:17" ht="34.5" customHeight="1" x14ac:dyDescent="0.3">
      <c r="B803" s="2">
        <v>802</v>
      </c>
      <c r="C803" s="17">
        <f>ROUND(MAX(MIN(N803 + Q803, 100), 0), 2)</f>
        <v>60.6</v>
      </c>
      <c r="D803" s="2" t="s">
        <v>788</v>
      </c>
      <c r="E803" s="7">
        <v>65</v>
      </c>
      <c r="F803" s="2">
        <v>53</v>
      </c>
      <c r="G803" s="2">
        <v>45</v>
      </c>
      <c r="H803" s="2" t="s">
        <v>48</v>
      </c>
      <c r="I803" s="2" t="s">
        <v>72</v>
      </c>
      <c r="J803" s="3" t="s">
        <v>32</v>
      </c>
      <c r="M803" s="2">
        <f>IF(J803="1000+", 1000, (LEFT(J803,FIND("-",J803)-1)+RIGHT(J803,LEN(J803)-FIND("-",J803)))/2)</f>
        <v>45</v>
      </c>
      <c r="N803" s="2">
        <f>ROUND(E803 * 0.7+F803 * 0.2+G803 * 0.1,2)</f>
        <v>60.6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65</v>
      </c>
      <c r="P803" s="2">
        <f>E803 - O803</f>
        <v>0</v>
      </c>
      <c r="Q803" s="2">
        <f>ROUND(
  SIGN(P803)*
  IF(ABS(P803)&lt;=10,ABS(P803)*0.5,
     IF(ABS(P803)&lt;=15,5+(ABS(P803)-10)*(1.67/5),
        6.67+(ABS(P803)-15)*0.333)),
2)</f>
        <v>0</v>
      </c>
    </row>
    <row r="804" spans="1:17" ht="34.5" customHeight="1" x14ac:dyDescent="0.3">
      <c r="B804" s="2">
        <v>803</v>
      </c>
      <c r="C804" s="17">
        <f>ROUND(MAX(MIN(N804 + Q804, 100), 0), 2)</f>
        <v>60.6</v>
      </c>
      <c r="D804" s="2" t="s">
        <v>730</v>
      </c>
      <c r="E804" s="7">
        <v>69</v>
      </c>
      <c r="F804" s="7">
        <v>66</v>
      </c>
      <c r="G804" s="7">
        <v>61</v>
      </c>
      <c r="H804" s="2" t="s">
        <v>12</v>
      </c>
      <c r="I804" s="2" t="s">
        <v>177</v>
      </c>
      <c r="J804" s="3" t="s">
        <v>14</v>
      </c>
      <c r="M804" s="2">
        <f>IF(J804="1000+", 1000, (LEFT(J804,FIND("-",J804)-1)+RIGHT(J804,LEN(J804)-FIND("-",J804)))/2)</f>
        <v>225</v>
      </c>
      <c r="N804" s="2">
        <f>ROUND(E804 * 0.7+F804 * 0.2+G804 * 0.1,2)</f>
        <v>67.599999999999994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85</v>
      </c>
      <c r="P804" s="2">
        <f>E804 - O804</f>
        <v>-16</v>
      </c>
      <c r="Q804" s="2">
        <f>ROUND(
  SIGN(P804)*
  IF(ABS(P804)&lt;=10,ABS(P804)*0.5,
     IF(ABS(P804)&lt;=15,5+(ABS(P804)-10)*(1.67/5),
        6.67+(ABS(P804)-15)*0.333)),
2)</f>
        <v>-7</v>
      </c>
    </row>
    <row r="805" spans="1:17" ht="34.5" customHeight="1" x14ac:dyDescent="0.3">
      <c r="B805" s="2">
        <v>804</v>
      </c>
      <c r="C805" s="17">
        <f>ROUND(MAX(MIN(N805 + Q805, 100), 0), 2)</f>
        <v>60.53</v>
      </c>
      <c r="D805" s="2" t="s">
        <v>646</v>
      </c>
      <c r="E805" s="7">
        <v>63</v>
      </c>
      <c r="F805" s="5">
        <v>71</v>
      </c>
      <c r="G805" s="5">
        <v>79</v>
      </c>
      <c r="H805" s="2" t="s">
        <v>48</v>
      </c>
      <c r="I805" s="2" t="s">
        <v>298</v>
      </c>
      <c r="J805" s="3" t="s">
        <v>140</v>
      </c>
      <c r="M805" s="2">
        <f>IF(J805="1000+", 1000, (LEFT(J805,FIND("-",J805)-1)+RIGHT(J805,LEN(J805)-FIND("-",J805)))/2)</f>
        <v>115</v>
      </c>
      <c r="N805" s="2">
        <f>ROUND(E805 * 0.7+F805 * 0.2+G805 * 0.1,2)</f>
        <v>66.2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75</v>
      </c>
      <c r="P805" s="2">
        <f>E805 - O805</f>
        <v>-12</v>
      </c>
      <c r="Q805" s="2">
        <f>ROUND(
  SIGN(P805)*
  IF(ABS(P805)&lt;=10,ABS(P805)*0.5,
     IF(ABS(P805)&lt;=15,5+(ABS(P805)-10)*(1.67/5),
        6.67+(ABS(P805)-15)*0.333)),
2)</f>
        <v>-5.67</v>
      </c>
    </row>
    <row r="806" spans="1:17" ht="34.5" customHeight="1" x14ac:dyDescent="0.3">
      <c r="B806" s="2">
        <v>805</v>
      </c>
      <c r="C806" s="17">
        <f>ROUND(MAX(MIN(N806 + Q806, 100), 0), 2)</f>
        <v>60.47</v>
      </c>
      <c r="D806" s="2" t="s">
        <v>666</v>
      </c>
      <c r="E806" s="7">
        <v>64</v>
      </c>
      <c r="F806" s="5">
        <v>71</v>
      </c>
      <c r="G806" s="7">
        <v>68</v>
      </c>
      <c r="H806" s="2" t="s">
        <v>31</v>
      </c>
      <c r="I806" s="2" t="s">
        <v>177</v>
      </c>
      <c r="J806" s="3" t="s">
        <v>140</v>
      </c>
      <c r="M806" s="2">
        <f>IF(J806="1000+", 1000, (LEFT(J806,FIND("-",J806)-1)+RIGHT(J806,LEN(J806)-FIND("-",J806)))/2)</f>
        <v>115</v>
      </c>
      <c r="N806" s="2">
        <f>ROUND(E806 * 0.7+F806 * 0.2+G806 * 0.1,2)</f>
        <v>65.8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75</v>
      </c>
      <c r="P806" s="2">
        <f>E806 - O806</f>
        <v>-11</v>
      </c>
      <c r="Q806" s="2">
        <f>ROUND(
  SIGN(P806)*
  IF(ABS(P806)&lt;=10,ABS(P806)*0.5,
     IF(ABS(P806)&lt;=15,5+(ABS(P806)-10)*(1.67/5),
        6.67+(ABS(P806)-15)*0.333)),
2)</f>
        <v>-5.33</v>
      </c>
    </row>
    <row r="807" spans="1:17" ht="34.5" customHeight="1" x14ac:dyDescent="0.3">
      <c r="B807" s="2">
        <v>806</v>
      </c>
      <c r="C807" s="17">
        <f>ROUND(MAX(MIN(N807 + Q807, 100), 0), 2)</f>
        <v>60.4</v>
      </c>
      <c r="D807" s="2" t="s">
        <v>737</v>
      </c>
      <c r="E807" s="7">
        <v>63</v>
      </c>
      <c r="F807" s="7">
        <v>60</v>
      </c>
      <c r="G807" s="2">
        <v>53</v>
      </c>
      <c r="H807" s="2" t="s">
        <v>738</v>
      </c>
      <c r="I807" s="2" t="s">
        <v>22</v>
      </c>
      <c r="J807" s="3" t="s">
        <v>32</v>
      </c>
      <c r="M807" s="2">
        <f>IF(J807="1000+", 1000, (LEFT(J807,FIND("-",J807)-1)+RIGHT(J807,LEN(J807)-FIND("-",J807)))/2)</f>
        <v>45</v>
      </c>
      <c r="N807" s="2">
        <f>ROUND(E807 * 0.7+F807 * 0.2+G807 * 0.1,2)</f>
        <v>61.4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65</v>
      </c>
      <c r="P807" s="2">
        <f>E807 - O807</f>
        <v>-2</v>
      </c>
      <c r="Q807" s="2">
        <f>ROUND(
  SIGN(P807)*
  IF(ABS(P807)&lt;=10,ABS(P807)*0.5,
     IF(ABS(P807)&lt;=15,5+(ABS(P807)-10)*(1.67/5),
        6.67+(ABS(P807)-15)*0.333)),
2)</f>
        <v>-1</v>
      </c>
    </row>
    <row r="808" spans="1:17" ht="34.5" customHeight="1" x14ac:dyDescent="0.3">
      <c r="B808" s="2">
        <v>807</v>
      </c>
      <c r="C808" s="17">
        <f>ROUND(MAX(MIN(N808 + Q808, 100), 0), 2)</f>
        <v>60.36</v>
      </c>
      <c r="D808" s="2" t="s">
        <v>709</v>
      </c>
      <c r="E808" s="7">
        <v>67</v>
      </c>
      <c r="F808" s="5">
        <v>75</v>
      </c>
      <c r="G808" s="7">
        <v>68</v>
      </c>
      <c r="H808" s="2" t="s">
        <v>710</v>
      </c>
      <c r="I808" s="2" t="s">
        <v>17</v>
      </c>
      <c r="J808" s="3" t="s">
        <v>65</v>
      </c>
      <c r="M808" s="2">
        <f>IF(J808="1000+", 1000, (LEFT(J808,FIND("-",J808)-1)+RIGHT(J808,LEN(J808)-FIND("-",J808)))/2)</f>
        <v>250</v>
      </c>
      <c r="N808" s="2">
        <f>ROUND(E808 * 0.7+F808 * 0.2+G808 * 0.1,2)</f>
        <v>68.7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87</v>
      </c>
      <c r="P808" s="2">
        <f>E808 - O808</f>
        <v>-20</v>
      </c>
      <c r="Q808" s="2">
        <f>ROUND(
  SIGN(P808)*
  IF(ABS(P808)&lt;=10,ABS(P808)*0.5,
     IF(ABS(P808)&lt;=15,5+(ABS(P808)-10)*(1.67/5),
        6.67+(ABS(P808)-15)*0.333)),
2)</f>
        <v>-8.34</v>
      </c>
    </row>
    <row r="809" spans="1:17" ht="34.5" customHeight="1" x14ac:dyDescent="0.3">
      <c r="A809" s="2">
        <v>2026</v>
      </c>
      <c r="B809" s="2">
        <v>808</v>
      </c>
      <c r="C809" s="17">
        <f>ROUND(MAX(MIN(N809 + Q809, 100), 0), 2)</f>
        <v>60.33</v>
      </c>
      <c r="D809" s="2" t="s">
        <v>1806</v>
      </c>
      <c r="E809" s="7">
        <v>67</v>
      </c>
      <c r="F809" s="7">
        <v>69</v>
      </c>
      <c r="G809" s="7">
        <v>63</v>
      </c>
      <c r="H809" s="2" t="s">
        <v>1256</v>
      </c>
      <c r="I809" s="2" t="s">
        <v>1823</v>
      </c>
      <c r="J809" s="3" t="s">
        <v>1265</v>
      </c>
      <c r="M809" s="2">
        <f>IF(J809="1000+", 1000, (LEFT(J809,FIND("-",J809)-1)+RIGHT(J809,LEN(J809)-FIND("-",J809)))/2)</f>
        <v>200</v>
      </c>
      <c r="N809" s="2">
        <f>ROUND(E809 * 0.7+F809 * 0.2+G809 * 0.1,2)</f>
        <v>67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82</v>
      </c>
      <c r="P809" s="2">
        <f>E809 - O809</f>
        <v>-15</v>
      </c>
      <c r="Q809" s="2">
        <f>ROUND(
  SIGN(P809)*
  IF(ABS(P809)&lt;=10,ABS(P809)*0.5,
     IF(ABS(P809)&lt;=15,5+(ABS(P809)-10)*(1.67/5),
        6.67+(ABS(P809)-15)*0.333)),
2)</f>
        <v>-6.67</v>
      </c>
    </row>
    <row r="810" spans="1:17" ht="34.5" customHeight="1" x14ac:dyDescent="0.3">
      <c r="A810" s="2">
        <v>2026</v>
      </c>
      <c r="B810" s="2">
        <v>809</v>
      </c>
      <c r="C810" s="17">
        <f>ROUND(MAX(MIN(N810 + Q810, 100), 0), 2)</f>
        <v>60.3</v>
      </c>
      <c r="D810" s="2" t="s">
        <v>1405</v>
      </c>
      <c r="E810" s="7">
        <v>61</v>
      </c>
      <c r="F810" s="2">
        <v>51</v>
      </c>
      <c r="G810" s="2">
        <v>44</v>
      </c>
      <c r="H810" s="2" t="s">
        <v>1409</v>
      </c>
      <c r="I810" s="2" t="s">
        <v>36</v>
      </c>
      <c r="J810" s="3" t="s">
        <v>1432</v>
      </c>
      <c r="M810" s="2">
        <f>IF(J810="1000+", 1000, (LEFT(J810,FIND("-",J810)-1)+RIGHT(J810,LEN(J810)-FIND("-",J810)))/2)</f>
        <v>15</v>
      </c>
      <c r="N810" s="2">
        <f>ROUND(E810 * 0.7+F810 * 0.2+G810 * 0.1,2)</f>
        <v>57.3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55</v>
      </c>
      <c r="P810" s="2">
        <f>E810 - O810</f>
        <v>6</v>
      </c>
      <c r="Q810" s="2">
        <f>ROUND(
  SIGN(P810)*
  IF(ABS(P810)&lt;=10,ABS(P810)*0.5,
     IF(ABS(P810)&lt;=15,5+(ABS(P810)-10)*(1.67/5),
        6.67+(ABS(P810)-15)*0.333)),
2)</f>
        <v>3</v>
      </c>
    </row>
    <row r="811" spans="1:17" ht="34.5" customHeight="1" x14ac:dyDescent="0.3">
      <c r="B811" s="2">
        <v>810</v>
      </c>
      <c r="C811" s="17">
        <f>ROUND(MAX(MIN(N811 + Q811, 100), 0), 2)</f>
        <v>60.3</v>
      </c>
      <c r="D811" s="2" t="s">
        <v>744</v>
      </c>
      <c r="E811" s="5">
        <v>70</v>
      </c>
      <c r="F811" s="7">
        <v>63</v>
      </c>
      <c r="G811" s="2">
        <v>37</v>
      </c>
      <c r="H811" s="2" t="s">
        <v>174</v>
      </c>
      <c r="I811" s="2" t="s">
        <v>22</v>
      </c>
      <c r="J811" s="3" t="s">
        <v>88</v>
      </c>
      <c r="M811" s="2">
        <f>IF(J811="1000+", 1000, (LEFT(J811,FIND("-",J811)-1)+RIGHT(J811,LEN(J811)-FIND("-",J811)))/2)</f>
        <v>150</v>
      </c>
      <c r="N811" s="2">
        <f>ROUND(E811 * 0.7+F811 * 0.2+G811 * 0.1,2)</f>
        <v>65.3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80</v>
      </c>
      <c r="P811" s="2">
        <f>E811 - O811</f>
        <v>-10</v>
      </c>
      <c r="Q811" s="2">
        <f>ROUND(
  SIGN(P811)*
  IF(ABS(P811)&lt;=10,ABS(P811)*0.5,
     IF(ABS(P811)&lt;=15,5+(ABS(P811)-10)*(1.67/5),
        6.67+(ABS(P811)-15)*0.333)),
2)</f>
        <v>-5</v>
      </c>
    </row>
    <row r="812" spans="1:17" ht="34.5" customHeight="1" x14ac:dyDescent="0.3">
      <c r="A812" s="2">
        <v>2026</v>
      </c>
      <c r="B812" s="2">
        <v>811</v>
      </c>
      <c r="C812" s="17">
        <f>ROUND(MAX(MIN(N812 + Q812, 100), 0), 2)</f>
        <v>60.3</v>
      </c>
      <c r="D812" s="2" t="s">
        <v>1682</v>
      </c>
      <c r="E812" s="7">
        <v>63</v>
      </c>
      <c r="F812" s="7">
        <v>60</v>
      </c>
      <c r="G812" s="2">
        <v>52</v>
      </c>
      <c r="H812" s="2" t="s">
        <v>1693</v>
      </c>
      <c r="I812" s="2" t="s">
        <v>1695</v>
      </c>
      <c r="J812" s="3" t="s">
        <v>1699</v>
      </c>
      <c r="M812" s="2">
        <f>IF(J812="1000+", 1000, (LEFT(J812,FIND("-",J812)-1)+RIGHT(J812,LEN(J812)-FIND("-",J812)))/2)</f>
        <v>45</v>
      </c>
      <c r="N812" s="2">
        <f>ROUND(E812 * 0.7+F812 * 0.2+G812 * 0.1,2)</f>
        <v>61.3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65</v>
      </c>
      <c r="P812" s="2">
        <f>E812 - O812</f>
        <v>-2</v>
      </c>
      <c r="Q812" s="2">
        <f>ROUND(
  SIGN(P812)*
  IF(ABS(P812)&lt;=10,ABS(P812)*0.5,
     IF(ABS(P812)&lt;=15,5+(ABS(P812)-10)*(1.67/5),
        6.67+(ABS(P812)-15)*0.333)),
2)</f>
        <v>-1</v>
      </c>
    </row>
    <row r="813" spans="1:17" ht="34.5" customHeight="1" x14ac:dyDescent="0.3">
      <c r="B813" s="2">
        <v>812</v>
      </c>
      <c r="C813" s="17">
        <f>ROUND(MAX(MIN(N813 + Q813, 100), 0), 2)</f>
        <v>60.3</v>
      </c>
      <c r="D813" s="2" t="s">
        <v>748</v>
      </c>
      <c r="E813" s="7">
        <v>64</v>
      </c>
      <c r="F813" s="7">
        <v>60</v>
      </c>
      <c r="G813" s="7">
        <v>65</v>
      </c>
      <c r="H813" s="2" t="s">
        <v>48</v>
      </c>
      <c r="I813" s="2" t="s">
        <v>72</v>
      </c>
      <c r="J813" s="3" t="s">
        <v>18</v>
      </c>
      <c r="M813" s="2">
        <f>IF(J813="1000+", 1000, (LEFT(J813,FIND("-",J813)-1)+RIGHT(J813,LEN(J813)-FIND("-",J813)))/2)</f>
        <v>75</v>
      </c>
      <c r="N813" s="2">
        <f>ROUND(E813 * 0.7+F813 * 0.2+G813 * 0.1,2)</f>
        <v>63.3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70</v>
      </c>
      <c r="P813" s="2">
        <f>E813 - O813</f>
        <v>-6</v>
      </c>
      <c r="Q813" s="2">
        <f>ROUND(
  SIGN(P813)*
  IF(ABS(P813)&lt;=10,ABS(P813)*0.5,
     IF(ABS(P813)&lt;=15,5+(ABS(P813)-10)*(1.67/5),
        6.67+(ABS(P813)-15)*0.333)),
2)</f>
        <v>-3</v>
      </c>
    </row>
    <row r="814" spans="1:17" ht="34.5" customHeight="1" x14ac:dyDescent="0.3">
      <c r="A814" s="2">
        <v>2026</v>
      </c>
      <c r="B814" s="2">
        <v>813</v>
      </c>
      <c r="C814" s="17">
        <f>ROUND(MAX(MIN(N814 + Q814, 100), 0), 2)</f>
        <v>60.3</v>
      </c>
      <c r="D814" s="2" t="s">
        <v>1889</v>
      </c>
      <c r="E814" s="7">
        <v>63</v>
      </c>
      <c r="F814" s="7">
        <v>65</v>
      </c>
      <c r="G814" s="2">
        <v>57</v>
      </c>
      <c r="H814" s="2" t="s">
        <v>1256</v>
      </c>
      <c r="I814" s="2" t="s">
        <v>1258</v>
      </c>
      <c r="J814" s="3" t="s">
        <v>1302</v>
      </c>
      <c r="M814" s="2">
        <f>IF(J814="1000+", 1000, (LEFT(J814,FIND("-",J814)-1)+RIGHT(J814,LEN(J814)-FIND("-",J814)))/2)</f>
        <v>60</v>
      </c>
      <c r="N814" s="2">
        <f>ROUND(E814 * 0.7+F814 * 0.2+G814 * 0.1,2)</f>
        <v>62.8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68</v>
      </c>
      <c r="P814" s="2">
        <f>E814 - O814</f>
        <v>-5</v>
      </c>
      <c r="Q814" s="2">
        <f>ROUND(
  SIGN(P814)*
  IF(ABS(P814)&lt;=10,ABS(P814)*0.5,
     IF(ABS(P814)&lt;=15,5+(ABS(P814)-10)*(1.67/5),
        6.67+(ABS(P814)-15)*0.333)),
2)</f>
        <v>-2.5</v>
      </c>
    </row>
    <row r="815" spans="1:17" ht="34.5" customHeight="1" x14ac:dyDescent="0.3">
      <c r="B815" s="2">
        <v>814</v>
      </c>
      <c r="C815" s="17">
        <f>ROUND(MAX(MIN(N815 + Q815, 100), 0), 2)</f>
        <v>60.3</v>
      </c>
      <c r="D815" s="2" t="s">
        <v>696</v>
      </c>
      <c r="E815" s="7">
        <v>65</v>
      </c>
      <c r="F815" s="7">
        <v>68</v>
      </c>
      <c r="G815" s="7">
        <v>62</v>
      </c>
      <c r="H815" s="2" t="s">
        <v>697</v>
      </c>
      <c r="I815" s="2" t="s">
        <v>22</v>
      </c>
      <c r="J815" s="3" t="s">
        <v>140</v>
      </c>
      <c r="M815" s="2">
        <f>IF(J815="1000+", 1000, (LEFT(J815,FIND("-",J815)-1)+RIGHT(J815,LEN(J815)-FIND("-",J815)))/2)</f>
        <v>115</v>
      </c>
      <c r="N815" s="2">
        <f>ROUND(E815 * 0.7+F815 * 0.2+G815 * 0.1,2)</f>
        <v>65.3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75</v>
      </c>
      <c r="P815" s="2">
        <f>E815 - O815</f>
        <v>-10</v>
      </c>
      <c r="Q815" s="2">
        <f>ROUND(
  SIGN(P815)*
  IF(ABS(P815)&lt;=10,ABS(P815)*0.5,
     IF(ABS(P815)&lt;=15,5+(ABS(P815)-10)*(1.67/5),
        6.67+(ABS(P815)-15)*0.333)),
2)</f>
        <v>-5</v>
      </c>
    </row>
    <row r="816" spans="1:17" ht="34.5" customHeight="1" x14ac:dyDescent="0.3">
      <c r="A816" s="2">
        <v>2026</v>
      </c>
      <c r="B816" s="2">
        <v>815</v>
      </c>
      <c r="C816" s="17">
        <f>ROUND(MAX(MIN(N816 + Q816, 100), 0), 2)</f>
        <v>60.3</v>
      </c>
      <c r="D816" s="2" t="s">
        <v>1997</v>
      </c>
      <c r="E816" s="7">
        <v>66</v>
      </c>
      <c r="F816" s="2">
        <v>50</v>
      </c>
      <c r="G816" s="2">
        <v>21</v>
      </c>
      <c r="H816" s="2" t="s">
        <v>1256</v>
      </c>
      <c r="I816" s="2" t="s">
        <v>1288</v>
      </c>
      <c r="J816" s="3" t="s">
        <v>1263</v>
      </c>
      <c r="M816" s="2">
        <f>IF(J816="1000+", 1000, (LEFT(J816,FIND("-",J816)-1)+RIGHT(J816,LEN(J816)-FIND("-",J816)))/2)</f>
        <v>30</v>
      </c>
      <c r="N816" s="2">
        <f>ROUND(E816 * 0.7+F816 * 0.2+G816 * 0.1,2)</f>
        <v>58.3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62</v>
      </c>
      <c r="P816" s="2">
        <f>E816 - O816</f>
        <v>4</v>
      </c>
      <c r="Q816" s="2">
        <f>ROUND(
  SIGN(P816)*
  IF(ABS(P816)&lt;=10,ABS(P816)*0.5,
     IF(ABS(P816)&lt;=15,5+(ABS(P816)-10)*(1.67/5),
        6.67+(ABS(P816)-15)*0.333)),
2)</f>
        <v>2</v>
      </c>
    </row>
    <row r="817" spans="1:17" ht="34.5" customHeight="1" x14ac:dyDescent="0.3">
      <c r="B817" s="2">
        <v>816</v>
      </c>
      <c r="C817" s="17">
        <f>ROUND(MAX(MIN(N817 + Q817, 100), 0), 2)</f>
        <v>60.26</v>
      </c>
      <c r="D817" s="2" t="s">
        <v>568</v>
      </c>
      <c r="E817" s="7">
        <v>66</v>
      </c>
      <c r="F817" s="7">
        <v>66</v>
      </c>
      <c r="G817" s="5">
        <v>72</v>
      </c>
      <c r="H817" s="2" t="s">
        <v>423</v>
      </c>
      <c r="I817" s="2" t="s">
        <v>228</v>
      </c>
      <c r="J817" s="3" t="s">
        <v>88</v>
      </c>
      <c r="M817" s="2">
        <f>IF(J817="1000+", 1000, (LEFT(J817,FIND("-",J817)-1)+RIGHT(J817,LEN(J817)-FIND("-",J817)))/2)</f>
        <v>150</v>
      </c>
      <c r="N817" s="2">
        <f>ROUND(E817 * 0.7+F817 * 0.2+G817 * 0.1,2)</f>
        <v>66.599999999999994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80</v>
      </c>
      <c r="P817" s="2">
        <f>E817 - O817</f>
        <v>-14</v>
      </c>
      <c r="Q817" s="2">
        <f>ROUND(
  SIGN(P817)*
  IF(ABS(P817)&lt;=10,ABS(P817)*0.5,
     IF(ABS(P817)&lt;=15,5+(ABS(P817)-10)*(1.67/5),
        6.67+(ABS(P817)-15)*0.333)),
2)</f>
        <v>-6.34</v>
      </c>
    </row>
    <row r="818" spans="1:17" ht="34.5" customHeight="1" x14ac:dyDescent="0.3">
      <c r="A818" s="2">
        <v>2026</v>
      </c>
      <c r="B818" s="2">
        <v>817</v>
      </c>
      <c r="C818" s="17">
        <f>ROUND(MAX(MIN(N818 + Q818, 100), 0), 2)</f>
        <v>60.2</v>
      </c>
      <c r="D818" s="11" t="s">
        <v>1295</v>
      </c>
      <c r="E818" s="7">
        <v>62</v>
      </c>
      <c r="F818" s="2">
        <v>58</v>
      </c>
      <c r="G818" s="2">
        <v>52</v>
      </c>
      <c r="H818" s="11" t="s">
        <v>1256</v>
      </c>
      <c r="I818" s="11" t="s">
        <v>1259</v>
      </c>
      <c r="J818" s="19" t="s">
        <v>1263</v>
      </c>
      <c r="M818" s="2">
        <f>IF(J818="1000+", 1000, (LEFT(J818,FIND("-",J818)-1)+RIGHT(J818,LEN(J818)-FIND("-",J818)))/2)</f>
        <v>30</v>
      </c>
      <c r="N818" s="2">
        <f>ROUND(E818 * 0.7+F818 * 0.2+G818 * 0.1,2)</f>
        <v>60.2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62</v>
      </c>
      <c r="P818" s="2">
        <f>E818 - O818</f>
        <v>0</v>
      </c>
      <c r="Q818" s="2">
        <f>ROUND(
  SIGN(P818)*
  IF(ABS(P818)&lt;=10,ABS(P818)*0.5,
     IF(ABS(P818)&lt;=15,5+(ABS(P818)-10)*(1.67/5),
        6.67+(ABS(P818)-15)*0.333)),
2)</f>
        <v>0</v>
      </c>
    </row>
    <row r="819" spans="1:17" ht="34.5" customHeight="1" x14ac:dyDescent="0.3">
      <c r="A819" s="2">
        <v>2026</v>
      </c>
      <c r="B819" s="2">
        <v>818</v>
      </c>
      <c r="C819" s="17">
        <f>ROUND(MAX(MIN(N819 + Q819, 100), 0), 2)</f>
        <v>60.2</v>
      </c>
      <c r="D819" s="2" t="s">
        <v>1847</v>
      </c>
      <c r="E819" s="7">
        <v>64</v>
      </c>
      <c r="F819" s="7">
        <v>60</v>
      </c>
      <c r="G819" s="7">
        <v>64</v>
      </c>
      <c r="H819" s="2" t="s">
        <v>1856</v>
      </c>
      <c r="I819" s="2" t="s">
        <v>1258</v>
      </c>
      <c r="J819" s="3" t="s">
        <v>1264</v>
      </c>
      <c r="M819" s="2">
        <f>IF(J819="1000+", 1000, (LEFT(J819,FIND("-",J819)-1)+RIGHT(J819,LEN(J819)-FIND("-",J819)))/2)</f>
        <v>75</v>
      </c>
      <c r="N819" s="2">
        <f>ROUND(E819 * 0.7+F819 * 0.2+G819 * 0.1,2)</f>
        <v>63.2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70</v>
      </c>
      <c r="P819" s="2">
        <f>E819 - O819</f>
        <v>-6</v>
      </c>
      <c r="Q819" s="2">
        <f>ROUND(
  SIGN(P819)*
  IF(ABS(P819)&lt;=10,ABS(P819)*0.5,
     IF(ABS(P819)&lt;=15,5+(ABS(P819)-10)*(1.67/5),
        6.67+(ABS(P819)-15)*0.333)),
2)</f>
        <v>-3</v>
      </c>
    </row>
    <row r="820" spans="1:17" ht="34.5" customHeight="1" x14ac:dyDescent="0.3">
      <c r="B820" s="2">
        <v>819</v>
      </c>
      <c r="C820" s="17">
        <f>ROUND(MAX(MIN(N820 + Q820, 100), 0), 2)</f>
        <v>60.2</v>
      </c>
      <c r="D820" s="2" t="s">
        <v>704</v>
      </c>
      <c r="E820" s="7">
        <v>65</v>
      </c>
      <c r="F820" s="7">
        <v>65</v>
      </c>
      <c r="G820" s="7">
        <v>67</v>
      </c>
      <c r="H820" s="2" t="s">
        <v>64</v>
      </c>
      <c r="I820" s="2" t="s">
        <v>13</v>
      </c>
      <c r="J820" s="3" t="s">
        <v>140</v>
      </c>
      <c r="M820" s="2">
        <f>IF(J820="1000+", 1000, (LEFT(J820,FIND("-",J820)-1)+RIGHT(J820,LEN(J820)-FIND("-",J820)))/2)</f>
        <v>115</v>
      </c>
      <c r="N820" s="2">
        <f>ROUND(E820 * 0.7+F820 * 0.2+G820 * 0.1,2)</f>
        <v>65.2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75</v>
      </c>
      <c r="P820" s="2">
        <f>E820 - O820</f>
        <v>-10</v>
      </c>
      <c r="Q820" s="2">
        <f>ROUND(
  SIGN(P820)*
  IF(ABS(P820)&lt;=10,ABS(P820)*0.5,
     IF(ABS(P820)&lt;=15,5+(ABS(P820)-10)*(1.67/5),
        6.67+(ABS(P820)-15)*0.333)),
2)</f>
        <v>-5</v>
      </c>
    </row>
    <row r="821" spans="1:17" ht="34.5" customHeight="1" x14ac:dyDescent="0.3">
      <c r="B821" s="2">
        <v>820</v>
      </c>
      <c r="C821" s="17">
        <f>ROUND(MAX(MIN(N821 + Q821, 100), 0), 2)</f>
        <v>60.17</v>
      </c>
      <c r="D821" s="2" t="s">
        <v>806</v>
      </c>
      <c r="E821" s="7">
        <v>67</v>
      </c>
      <c r="F821" s="5">
        <v>72</v>
      </c>
      <c r="G821" s="6">
        <v>82</v>
      </c>
      <c r="H821" s="2" t="s">
        <v>807</v>
      </c>
      <c r="I821" s="2" t="s">
        <v>241</v>
      </c>
      <c r="J821" s="3" t="s">
        <v>42</v>
      </c>
      <c r="M821" s="2">
        <f>IF(J821="1000+", 1000, (LEFT(J821,FIND("-",J821)-1)+RIGHT(J821,LEN(J821)-FIND("-",J821)))/2)</f>
        <v>600</v>
      </c>
      <c r="N821" s="2">
        <f>ROUND(E821 * 0.7+F821 * 0.2+G821 * 0.1,2)</f>
        <v>69.5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90</v>
      </c>
      <c r="P821" s="2">
        <f>E821 - O821</f>
        <v>-23</v>
      </c>
      <c r="Q821" s="2">
        <f>ROUND(
  SIGN(P821)*
  IF(ABS(P821)&lt;=10,ABS(P821)*0.5,
     IF(ABS(P821)&lt;=15,5+(ABS(P821)-10)*(1.67/5),
        6.67+(ABS(P821)-15)*0.333)),
2)</f>
        <v>-9.33</v>
      </c>
    </row>
    <row r="822" spans="1:17" ht="34.5" customHeight="1" x14ac:dyDescent="0.3">
      <c r="B822" s="2">
        <v>821</v>
      </c>
      <c r="C822" s="17">
        <f>ROUND(MAX(MIN(N822 + Q822, 100), 0), 2)</f>
        <v>60.13</v>
      </c>
      <c r="D822" s="2" t="s">
        <v>765</v>
      </c>
      <c r="E822" s="5">
        <v>70</v>
      </c>
      <c r="F822" s="7">
        <v>60</v>
      </c>
      <c r="G822" s="2">
        <v>58</v>
      </c>
      <c r="H822" s="2" t="s">
        <v>217</v>
      </c>
      <c r="I822" s="2" t="s">
        <v>17</v>
      </c>
      <c r="J822" s="3" t="s">
        <v>14</v>
      </c>
      <c r="M822" s="2">
        <f>IF(J822="1000+", 1000, (LEFT(J822,FIND("-",J822)-1)+RIGHT(J822,LEN(J822)-FIND("-",J822)))/2)</f>
        <v>225</v>
      </c>
      <c r="N822" s="2">
        <f>ROUND(E822 * 0.7+F822 * 0.2+G822 * 0.1,2)</f>
        <v>66.8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85</v>
      </c>
      <c r="P822" s="2">
        <f>E822 - O822</f>
        <v>-15</v>
      </c>
      <c r="Q822" s="2">
        <f>ROUND(
  SIGN(P822)*
  IF(ABS(P822)&lt;=10,ABS(P822)*0.5,
     IF(ABS(P822)&lt;=15,5+(ABS(P822)-10)*(1.67/5),
        6.67+(ABS(P822)-15)*0.333)),
2)</f>
        <v>-6.67</v>
      </c>
    </row>
    <row r="823" spans="1:17" ht="34.5" customHeight="1" x14ac:dyDescent="0.3">
      <c r="A823" s="2">
        <v>2026</v>
      </c>
      <c r="B823" s="2">
        <v>822</v>
      </c>
      <c r="C823" s="17">
        <f>ROUND(MAX(MIN(N823 + Q823, 100), 0), 2)</f>
        <v>60.13</v>
      </c>
      <c r="D823" s="2" t="s">
        <v>1744</v>
      </c>
      <c r="E823" s="7">
        <v>68</v>
      </c>
      <c r="F823" s="7">
        <v>65</v>
      </c>
      <c r="G823" s="2">
        <v>52</v>
      </c>
      <c r="H823" s="2" t="s">
        <v>1761</v>
      </c>
      <c r="I823" s="2" t="s">
        <v>1768</v>
      </c>
      <c r="J823" s="3" t="s">
        <v>1769</v>
      </c>
      <c r="M823" s="2">
        <f>IF(J823="1000+", 1000, (LEFT(J823,FIND("-",J823)-1)+RIGHT(J823,LEN(J823)-FIND("-",J823)))/2)</f>
        <v>150</v>
      </c>
      <c r="N823" s="2">
        <f>ROUND(E823 * 0.7+F823 * 0.2+G823 * 0.1,2)</f>
        <v>65.8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80</v>
      </c>
      <c r="P823" s="2">
        <f>E823 - O823</f>
        <v>-12</v>
      </c>
      <c r="Q823" s="2">
        <f>ROUND(
  SIGN(P823)*
  IF(ABS(P823)&lt;=10,ABS(P823)*0.5,
     IF(ABS(P823)&lt;=15,5+(ABS(P823)-10)*(1.67/5),
        6.67+(ABS(P823)-15)*0.333)),
2)</f>
        <v>-5.67</v>
      </c>
    </row>
    <row r="824" spans="1:17" ht="34.5" customHeight="1" x14ac:dyDescent="0.3">
      <c r="B824" s="2">
        <v>823</v>
      </c>
      <c r="C824" s="17">
        <f>ROUND(MAX(MIN(N824 + Q824, 100), 0), 2)</f>
        <v>60.1</v>
      </c>
      <c r="D824" s="2" t="s">
        <v>757</v>
      </c>
      <c r="E824" s="7">
        <v>64</v>
      </c>
      <c r="F824" s="7">
        <v>65</v>
      </c>
      <c r="G824" s="7">
        <v>63</v>
      </c>
      <c r="H824" s="2" t="s">
        <v>213</v>
      </c>
      <c r="I824" s="2" t="s">
        <v>41</v>
      </c>
      <c r="J824" s="3" t="s">
        <v>122</v>
      </c>
      <c r="M824" s="2">
        <f>IF(J824="1000+", 1000, (LEFT(J824,FIND("-",J824)-1)+RIGHT(J824,LEN(J824)-FIND("-",J824)))/2)</f>
        <v>105</v>
      </c>
      <c r="N824" s="2">
        <f>ROUND(E824 * 0.7+F824 * 0.2+G824 * 0.1,2)</f>
        <v>64.099999999999994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72</v>
      </c>
      <c r="P824" s="2">
        <f>E824 - O824</f>
        <v>-8</v>
      </c>
      <c r="Q824" s="2">
        <f>ROUND(
  SIGN(P824)*
  IF(ABS(P824)&lt;=10,ABS(P824)*0.5,
     IF(ABS(P824)&lt;=15,5+(ABS(P824)-10)*(1.67/5),
        6.67+(ABS(P824)-15)*0.333)),
2)</f>
        <v>-4</v>
      </c>
    </row>
    <row r="825" spans="1:17" ht="34.5" customHeight="1" x14ac:dyDescent="0.3">
      <c r="B825" s="2">
        <v>824</v>
      </c>
      <c r="C825" s="17">
        <f>ROUND(MAX(MIN(N825 + Q825, 100), 0), 2)</f>
        <v>60.06</v>
      </c>
      <c r="D825" s="2" t="s">
        <v>690</v>
      </c>
      <c r="E825" s="7">
        <v>65</v>
      </c>
      <c r="F825" s="5">
        <v>70</v>
      </c>
      <c r="G825" s="6">
        <v>89</v>
      </c>
      <c r="H825" s="2" t="s">
        <v>48</v>
      </c>
      <c r="I825" s="2" t="s">
        <v>298</v>
      </c>
      <c r="J825" s="3" t="s">
        <v>14</v>
      </c>
      <c r="M825" s="2">
        <f>IF(J825="1000+", 1000, (LEFT(J825,FIND("-",J825)-1)+RIGHT(J825,LEN(J825)-FIND("-",J825)))/2)</f>
        <v>225</v>
      </c>
      <c r="N825" s="2">
        <f>ROUND(E825 * 0.7+F825 * 0.2+G825 * 0.1,2)</f>
        <v>68.400000000000006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85</v>
      </c>
      <c r="P825" s="2">
        <f>E825 - O825</f>
        <v>-20</v>
      </c>
      <c r="Q825" s="2">
        <f>ROUND(
  SIGN(P825)*
  IF(ABS(P825)&lt;=10,ABS(P825)*0.5,
     IF(ABS(P825)&lt;=15,5+(ABS(P825)-10)*(1.67/5),
        6.67+(ABS(P825)-15)*0.333)),
2)</f>
        <v>-8.34</v>
      </c>
    </row>
    <row r="826" spans="1:17" ht="34.5" customHeight="1" x14ac:dyDescent="0.3">
      <c r="B826" s="2">
        <v>825</v>
      </c>
      <c r="C826" s="17">
        <f>ROUND(MAX(MIN(N826 + Q826, 100), 0), 2)</f>
        <v>60.03</v>
      </c>
      <c r="D826" s="2" t="s">
        <v>724</v>
      </c>
      <c r="E826" s="7">
        <v>68</v>
      </c>
      <c r="F826" s="7">
        <v>60</v>
      </c>
      <c r="G826" s="7">
        <v>61</v>
      </c>
      <c r="H826" s="2" t="s">
        <v>48</v>
      </c>
      <c r="I826" s="2" t="s">
        <v>177</v>
      </c>
      <c r="J826" s="3" t="s">
        <v>88</v>
      </c>
      <c r="M826" s="2">
        <f>IF(J826="1000+", 1000, (LEFT(J826,FIND("-",J826)-1)+RIGHT(J826,LEN(J826)-FIND("-",J826)))/2)</f>
        <v>150</v>
      </c>
      <c r="N826" s="2">
        <f>ROUND(E826 * 0.7+F826 * 0.2+G826 * 0.1,2)</f>
        <v>65.7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80</v>
      </c>
      <c r="P826" s="2">
        <f>E826 - O826</f>
        <v>-12</v>
      </c>
      <c r="Q826" s="2">
        <f>ROUND(
  SIGN(P826)*
  IF(ABS(P826)&lt;=10,ABS(P826)*0.5,
     IF(ABS(P826)&lt;=15,5+(ABS(P826)-10)*(1.67/5),
        6.67+(ABS(P826)-15)*0.333)),
2)</f>
        <v>-5.67</v>
      </c>
    </row>
    <row r="827" spans="1:17" ht="34.5" customHeight="1" x14ac:dyDescent="0.3">
      <c r="B827" s="2">
        <v>826</v>
      </c>
      <c r="C827" s="17">
        <v>60</v>
      </c>
      <c r="D827" s="10" t="s">
        <v>895</v>
      </c>
      <c r="E827" s="7">
        <v>60</v>
      </c>
      <c r="F827" s="7">
        <v>60</v>
      </c>
      <c r="G827" s="6">
        <v>80</v>
      </c>
      <c r="H827" s="2" t="s">
        <v>118</v>
      </c>
      <c r="I827" s="2" t="s">
        <v>119</v>
      </c>
      <c r="J827" s="3" t="s">
        <v>120</v>
      </c>
      <c r="M827" s="2">
        <f>IF(J827="1000+", 1000, (LEFT(J827,FIND("-",J827)-1)+RIGHT(J827,LEN(J827)-FIND("-",J827)))/2)</f>
        <v>60</v>
      </c>
      <c r="N827" s="2">
        <f>ROUND(E827 * 0.7+F827 * 0.2+G827 * 0.1,2)</f>
        <v>62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68</v>
      </c>
      <c r="P827" s="2">
        <f>E827 - O827</f>
        <v>-8</v>
      </c>
      <c r="Q827" s="2">
        <f>ROUND(
  SIGN(P827)*
  IF(ABS(P827)&lt;=10,ABS(P827)*0.5,
     IF(ABS(P827)&lt;=15,5+(ABS(P827)-10)*(1.67/5),
        6.67+(ABS(P827)-15)*0.333)),
2)</f>
        <v>-4</v>
      </c>
    </row>
    <row r="828" spans="1:17" ht="34.5" customHeight="1" x14ac:dyDescent="0.3">
      <c r="A828" s="2">
        <v>2026</v>
      </c>
      <c r="B828" s="2">
        <v>827</v>
      </c>
      <c r="C828" s="17">
        <f>ROUND(MAX(MIN(N828 + Q828, 100), 0), 2)</f>
        <v>60</v>
      </c>
      <c r="D828" s="2" t="s">
        <v>1578</v>
      </c>
      <c r="E828" s="2">
        <v>59</v>
      </c>
      <c r="F828" s="7">
        <v>60</v>
      </c>
      <c r="G828" s="2">
        <v>47</v>
      </c>
      <c r="H828" s="2" t="s">
        <v>1587</v>
      </c>
      <c r="I828" s="2" t="s">
        <v>1588</v>
      </c>
      <c r="J828" s="3" t="s">
        <v>1594</v>
      </c>
      <c r="M828" s="2">
        <f>IF(J828="1000+", 1000, (LEFT(J828,FIND("-",J828)-1)+RIGHT(J828,LEN(J828)-FIND("-",J828)))/2)</f>
        <v>15</v>
      </c>
      <c r="N828" s="2">
        <f>ROUND(E828 * 0.7+F828 * 0.2+G828 * 0.1,2)</f>
        <v>58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55</v>
      </c>
      <c r="P828" s="2">
        <f>E828 - O828</f>
        <v>4</v>
      </c>
      <c r="Q828" s="2">
        <f>ROUND(
  SIGN(P828)*
  IF(ABS(P828)&lt;=10,ABS(P828)*0.5,
     IF(ABS(P828)&lt;=15,5+(ABS(P828)-10)*(1.67/5),
        6.67+(ABS(P828)-15)*0.333)),
2)</f>
        <v>2</v>
      </c>
    </row>
    <row r="829" spans="1:17" ht="34.5" customHeight="1" x14ac:dyDescent="0.3">
      <c r="B829" s="2">
        <v>828</v>
      </c>
      <c r="C829" s="13">
        <f>ROUND(MAX(MIN(N829 + Q829, 100), 0), 2)</f>
        <v>59.9</v>
      </c>
      <c r="D829" s="2" t="s">
        <v>836</v>
      </c>
      <c r="E829" s="7">
        <v>66</v>
      </c>
      <c r="F829" s="2">
        <v>50</v>
      </c>
      <c r="G829" s="2">
        <v>32</v>
      </c>
      <c r="H829" s="2" t="s">
        <v>48</v>
      </c>
      <c r="I829" s="2" t="s">
        <v>316</v>
      </c>
      <c r="J829" s="3" t="s">
        <v>32</v>
      </c>
      <c r="M829" s="2">
        <f>IF(J829="1000+", 1000, (LEFT(J829,FIND("-",J829)-1)+RIGHT(J829,LEN(J829)-FIND("-",J829)))/2)</f>
        <v>45</v>
      </c>
      <c r="N829" s="2">
        <f>ROUND(E829 * 0.7+F829 * 0.2+G829 * 0.1,2)</f>
        <v>59.4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1</v>
      </c>
      <c r="Q829" s="2">
        <f>ROUND(
  SIGN(P829)*
  IF(ABS(P829)&lt;=10,ABS(P829)*0.5,
     IF(ABS(P829)&lt;=15,5+(ABS(P829)-10)*(1.67/5),
        6.67+(ABS(P829)-15)*0.333)),
2)</f>
        <v>0.5</v>
      </c>
    </row>
    <row r="830" spans="1:17" ht="34.5" customHeight="1" x14ac:dyDescent="0.3">
      <c r="B830" s="2">
        <v>829</v>
      </c>
      <c r="C830" s="13">
        <f>ROUND(MAX(MIN(N830 + Q830, 100), 0), 2)</f>
        <v>59.9</v>
      </c>
      <c r="D830" s="2" t="s">
        <v>791</v>
      </c>
      <c r="E830" s="7">
        <v>66</v>
      </c>
      <c r="F830" s="2">
        <v>56</v>
      </c>
      <c r="G830" s="2">
        <v>35</v>
      </c>
      <c r="H830" s="2" t="s">
        <v>48</v>
      </c>
      <c r="I830" s="2" t="s">
        <v>316</v>
      </c>
      <c r="J830" s="3" t="s">
        <v>23</v>
      </c>
      <c r="M830" s="2">
        <f>IF(J830="1000+", 1000, (LEFT(J830,FIND("-",J830)-1)+RIGHT(J830,LEN(J830)-FIND("-",J830)))/2)</f>
        <v>60</v>
      </c>
      <c r="N830" s="2">
        <f>ROUND(E830 * 0.7+F830 * 0.2+G830 * 0.1,2)</f>
        <v>60.9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68</v>
      </c>
      <c r="P830" s="2">
        <f>E830 - O830</f>
        <v>-2</v>
      </c>
      <c r="Q830" s="2">
        <f>ROUND(
  SIGN(P830)*
  IF(ABS(P830)&lt;=10,ABS(P830)*0.5,
     IF(ABS(P830)&lt;=15,5+(ABS(P830)-10)*(1.67/5),
        6.67+(ABS(P830)-15)*0.333)),
2)</f>
        <v>-1</v>
      </c>
    </row>
    <row r="831" spans="1:17" ht="34.5" customHeight="1" x14ac:dyDescent="0.3">
      <c r="A831" s="2">
        <v>2026</v>
      </c>
      <c r="B831" s="2">
        <v>830</v>
      </c>
      <c r="C831" s="13">
        <f>ROUND(MAX(MIN(N831 + Q831, 100), 0), 2)</f>
        <v>59.9</v>
      </c>
      <c r="D831" s="2" t="s">
        <v>1635</v>
      </c>
      <c r="E831" s="5">
        <v>70</v>
      </c>
      <c r="F831" s="2">
        <v>49</v>
      </c>
      <c r="G831" s="7">
        <v>61</v>
      </c>
      <c r="H831" s="2" t="s">
        <v>1645</v>
      </c>
      <c r="I831" s="2" t="s">
        <v>1648</v>
      </c>
      <c r="J831" s="3" t="s">
        <v>1657</v>
      </c>
      <c r="M831" s="2">
        <f>IF(J831="1000+", 1000, (LEFT(J831,FIND("-",J831)-1)+RIGHT(J831,LEN(J831)-FIND("-",J831)))/2)</f>
        <v>150</v>
      </c>
      <c r="N831" s="2">
        <f>ROUND(E831 * 0.7+F831 * 0.2+G831 * 0.1,2)</f>
        <v>64.900000000000006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80</v>
      </c>
      <c r="P831" s="2">
        <f>E831 - O831</f>
        <v>-10</v>
      </c>
      <c r="Q831" s="2">
        <f>ROUND(
  SIGN(P831)*
  IF(ABS(P831)&lt;=10,ABS(P831)*0.5,
     IF(ABS(P831)&lt;=15,5+(ABS(P831)-10)*(1.67/5),
        6.67+(ABS(P831)-15)*0.333)),
2)</f>
        <v>-5</v>
      </c>
    </row>
    <row r="832" spans="1:17" ht="34.5" customHeight="1" x14ac:dyDescent="0.3">
      <c r="A832" s="2">
        <v>2026</v>
      </c>
      <c r="B832" s="2">
        <v>831</v>
      </c>
      <c r="C832" s="13">
        <f>ROUND(MAX(MIN(N832 + Q832, 100), 0), 2)</f>
        <v>59.9</v>
      </c>
      <c r="D832" s="2" t="s">
        <v>2021</v>
      </c>
      <c r="E832" s="7">
        <v>62</v>
      </c>
      <c r="F832" s="5">
        <v>70</v>
      </c>
      <c r="G832" s="7">
        <v>65</v>
      </c>
      <c r="H832" s="2" t="s">
        <v>1256</v>
      </c>
      <c r="I832" s="2" t="s">
        <v>22</v>
      </c>
      <c r="J832" s="3" t="s">
        <v>1264</v>
      </c>
      <c r="M832" s="2">
        <f>IF(J832="1000+", 1000, (LEFT(J832,FIND("-",J832)-1)+RIGHT(J832,LEN(J832)-FIND("-",J832)))/2)</f>
        <v>75</v>
      </c>
      <c r="N832" s="2">
        <f>ROUND(E832 * 0.7+F832 * 0.2+G832 * 0.1,2)</f>
        <v>63.9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70</v>
      </c>
      <c r="P832" s="2">
        <f>E832 - O832</f>
        <v>-8</v>
      </c>
      <c r="Q832" s="2">
        <f>ROUND(
  SIGN(P832)*
  IF(ABS(P832)&lt;=10,ABS(P832)*0.5,
     IF(ABS(P832)&lt;=15,5+(ABS(P832)-10)*(1.67/5),
        6.67+(ABS(P832)-15)*0.333)),
2)</f>
        <v>-4</v>
      </c>
    </row>
    <row r="833" spans="1:17" ht="34.5" customHeight="1" x14ac:dyDescent="0.3">
      <c r="B833" s="2">
        <v>832</v>
      </c>
      <c r="C833" s="13">
        <f>ROUND(MAX(MIN(N833 + Q833, 100), 0), 2)</f>
        <v>59.86</v>
      </c>
      <c r="D833" s="2" t="s">
        <v>766</v>
      </c>
      <c r="E833" s="7">
        <v>68</v>
      </c>
      <c r="F833" s="7">
        <v>65</v>
      </c>
      <c r="G833" s="2">
        <v>56</v>
      </c>
      <c r="H833" s="2" t="s">
        <v>31</v>
      </c>
      <c r="I833" s="2" t="s">
        <v>228</v>
      </c>
      <c r="J833" s="3" t="s">
        <v>28</v>
      </c>
      <c r="M833" s="2">
        <f>IF(J833="1000+", 1000, (LEFT(J833,FIND("-",J833)-1)+RIGHT(J833,LEN(J833)-FIND("-",J833)))/2)</f>
        <v>200</v>
      </c>
      <c r="N833" s="2">
        <f>ROUND(E833 * 0.7+F833 * 0.2+G833 * 0.1,2)</f>
        <v>66.2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82</v>
      </c>
      <c r="P833" s="2">
        <f>E833 - O833</f>
        <v>-14</v>
      </c>
      <c r="Q833" s="2">
        <f>ROUND(
  SIGN(P833)*
  IF(ABS(P833)&lt;=10,ABS(P833)*0.5,
     IF(ABS(P833)&lt;=15,5+(ABS(P833)-10)*(1.67/5),
        6.67+(ABS(P833)-15)*0.333)),
2)</f>
        <v>-6.34</v>
      </c>
    </row>
    <row r="834" spans="1:17" ht="34.5" customHeight="1" x14ac:dyDescent="0.3">
      <c r="A834" s="2">
        <v>2026</v>
      </c>
      <c r="B834" s="2">
        <v>833</v>
      </c>
      <c r="C834" s="13">
        <f>ROUND(MAX(MIN(N834 + Q834, 100), 0), 2)</f>
        <v>59.8</v>
      </c>
      <c r="D834" s="2" t="s">
        <v>1245</v>
      </c>
      <c r="E834" s="7">
        <v>64</v>
      </c>
      <c r="F834" s="2">
        <v>55</v>
      </c>
      <c r="G834" s="2">
        <v>45</v>
      </c>
      <c r="H834" s="2" t="s">
        <v>48</v>
      </c>
      <c r="I834" s="2" t="s">
        <v>72</v>
      </c>
      <c r="J834" s="3" t="s">
        <v>32</v>
      </c>
      <c r="M834" s="2">
        <f>IF(J834="1000+", 1000, (LEFT(J834,FIND("-",J834)-1)+RIGHT(J834,LEN(J834)-FIND("-",J834)))/2)</f>
        <v>45</v>
      </c>
      <c r="N834" s="2">
        <f>ROUND(E834 * 0.7+F834 * 0.2+G834 * 0.1,2)</f>
        <v>60.3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65</v>
      </c>
      <c r="P834" s="2">
        <f>E834 - O834</f>
        <v>-1</v>
      </c>
      <c r="Q834" s="2">
        <f>ROUND(
  SIGN(P834)*
  IF(ABS(P834)&lt;=10,ABS(P834)*0.5,
     IF(ABS(P834)&lt;=15,5+(ABS(P834)-10)*(1.67/5),
        6.67+(ABS(P834)-15)*0.333)),
2)</f>
        <v>-0.5</v>
      </c>
    </row>
    <row r="835" spans="1:17" ht="34.5" customHeight="1" x14ac:dyDescent="0.3">
      <c r="B835" s="2">
        <v>834</v>
      </c>
      <c r="C835" s="13">
        <f>ROUND(MAX(MIN(N835 + Q835, 100), 0), 2)</f>
        <v>59.8</v>
      </c>
      <c r="D835" s="2" t="s">
        <v>695</v>
      </c>
      <c r="E835" s="7">
        <v>60</v>
      </c>
      <c r="F835" s="7">
        <v>67</v>
      </c>
      <c r="G835" s="7">
        <v>69</v>
      </c>
      <c r="H835" s="2" t="s">
        <v>48</v>
      </c>
      <c r="I835" s="2" t="s">
        <v>13</v>
      </c>
      <c r="J835" s="3" t="s">
        <v>32</v>
      </c>
      <c r="M835" s="2">
        <f>IF(J835="1000+", 1000, (LEFT(J835,FIND("-",J835)-1)+RIGHT(J835,LEN(J835)-FIND("-",J835)))/2)</f>
        <v>45</v>
      </c>
      <c r="N835" s="2">
        <f>ROUND(E835 * 0.7+F835 * 0.2+G835 * 0.1,2)</f>
        <v>62.3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65</v>
      </c>
      <c r="P835" s="2">
        <f>E835 - O835</f>
        <v>-5</v>
      </c>
      <c r="Q835" s="2">
        <f>ROUND(
  SIGN(P835)*
  IF(ABS(P835)&lt;=10,ABS(P835)*0.5,
     IF(ABS(P835)&lt;=15,5+(ABS(P835)-10)*(1.67/5),
        6.67+(ABS(P835)-15)*0.333)),
2)</f>
        <v>-2.5</v>
      </c>
    </row>
    <row r="836" spans="1:17" ht="34.5" customHeight="1" x14ac:dyDescent="0.3">
      <c r="A836" s="2">
        <v>2026</v>
      </c>
      <c r="B836" s="2">
        <v>835</v>
      </c>
      <c r="C836" s="13">
        <f>ROUND(MAX(MIN(N836 + Q836, 100), 0), 2)</f>
        <v>59.8</v>
      </c>
      <c r="D836" s="2" t="s">
        <v>2022</v>
      </c>
      <c r="E836" s="7">
        <v>64</v>
      </c>
      <c r="F836" s="2">
        <v>55</v>
      </c>
      <c r="G836" s="2">
        <v>30</v>
      </c>
      <c r="H836" s="2" t="s">
        <v>1256</v>
      </c>
      <c r="I836" s="2" t="s">
        <v>36</v>
      </c>
      <c r="J836" s="3" t="s">
        <v>1263</v>
      </c>
      <c r="M836" s="2">
        <f>IF(J836="1000+", 1000, (LEFT(J836,FIND("-",J836)-1)+RIGHT(J836,LEN(J836)-FIND("-",J836)))/2)</f>
        <v>30</v>
      </c>
      <c r="N836" s="2">
        <f>ROUND(E836 * 0.7+F836 * 0.2+G836 * 0.1,2)</f>
        <v>58.8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62</v>
      </c>
      <c r="P836" s="2">
        <f>E836 - O836</f>
        <v>2</v>
      </c>
      <c r="Q836" s="2">
        <f>ROUND(
  SIGN(P836)*
  IF(ABS(P836)&lt;=10,ABS(P836)*0.5,
     IF(ABS(P836)&lt;=15,5+(ABS(P836)-10)*(1.67/5),
        6.67+(ABS(P836)-15)*0.333)),
2)</f>
        <v>1</v>
      </c>
    </row>
    <row r="837" spans="1:17" ht="34.5" customHeight="1" x14ac:dyDescent="0.3">
      <c r="A837" s="2">
        <v>2026</v>
      </c>
      <c r="B837" s="2">
        <v>836</v>
      </c>
      <c r="C837" s="13">
        <f>ROUND(MAX(MIN(N837 + Q837, 100), 0), 2)</f>
        <v>59.76</v>
      </c>
      <c r="D837" s="2" t="s">
        <v>2001</v>
      </c>
      <c r="E837" s="7">
        <v>67</v>
      </c>
      <c r="F837" s="5">
        <v>70</v>
      </c>
      <c r="G837" s="5">
        <v>72</v>
      </c>
      <c r="H837" s="2" t="s">
        <v>1256</v>
      </c>
      <c r="I837" s="2" t="s">
        <v>1727</v>
      </c>
      <c r="J837" s="3" t="s">
        <v>1540</v>
      </c>
      <c r="M837" s="2">
        <f>IF(J837="1000+", 1000, (LEFT(J837,FIND("-",J837)-1)+RIGHT(J837,LEN(J837)-FIND("-",J837)))/2)</f>
        <v>250</v>
      </c>
      <c r="N837" s="2">
        <f>ROUND(E837 * 0.7+F837 * 0.2+G837 * 0.1,2)</f>
        <v>68.099999999999994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87</v>
      </c>
      <c r="P837" s="2">
        <f>E837 - O837</f>
        <v>-20</v>
      </c>
      <c r="Q837" s="2">
        <f>ROUND(
  SIGN(P837)*
  IF(ABS(P837)&lt;=10,ABS(P837)*0.5,
     IF(ABS(P837)&lt;=15,5+(ABS(P837)-10)*(1.67/5),
        6.67+(ABS(P837)-15)*0.333)),
2)</f>
        <v>-8.34</v>
      </c>
    </row>
    <row r="838" spans="1:17" ht="34.5" customHeight="1" x14ac:dyDescent="0.3">
      <c r="A838" s="2">
        <v>2026</v>
      </c>
      <c r="B838" s="2">
        <v>837</v>
      </c>
      <c r="C838" s="13">
        <f>ROUND(MAX(MIN(N838 + Q838, 100), 0), 2)</f>
        <v>59.7</v>
      </c>
      <c r="D838" s="2" t="s">
        <v>1494</v>
      </c>
      <c r="E838" s="7">
        <v>61</v>
      </c>
      <c r="F838" s="2">
        <v>57</v>
      </c>
      <c r="G838" s="2">
        <v>51</v>
      </c>
      <c r="H838" s="2" t="s">
        <v>1518</v>
      </c>
      <c r="I838" s="2" t="s">
        <v>36</v>
      </c>
      <c r="J838" s="3" t="s">
        <v>1533</v>
      </c>
      <c r="M838" s="2">
        <f>IF(J838="1000+", 1000, (LEFT(J838,FIND("-",J838)-1)+RIGHT(J838,LEN(J838)-FIND("-",J838)))/2)</f>
        <v>20</v>
      </c>
      <c r="N838" s="2">
        <f>ROUND(E838 * 0.7+F838 * 0.2+G838 * 0.1,2)</f>
        <v>59.2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60</v>
      </c>
      <c r="P838" s="2">
        <f>E838 - O838</f>
        <v>1</v>
      </c>
      <c r="Q838" s="2">
        <f>ROUND(
  SIGN(P838)*
  IF(ABS(P838)&lt;=10,ABS(P838)*0.5,
     IF(ABS(P838)&lt;=15,5+(ABS(P838)-10)*(1.67/5),
        6.67+(ABS(P838)-15)*0.333)),
2)</f>
        <v>0.5</v>
      </c>
    </row>
    <row r="839" spans="1:17" ht="34.5" customHeight="1" x14ac:dyDescent="0.3">
      <c r="B839" s="2">
        <v>838</v>
      </c>
      <c r="C839" s="13">
        <f>ROUND(MAX(MIN(N839 + Q839, 100), 0), 2)</f>
        <v>59.7</v>
      </c>
      <c r="D839" s="2" t="s">
        <v>802</v>
      </c>
      <c r="E839" s="7">
        <v>66</v>
      </c>
      <c r="F839" s="7">
        <v>63</v>
      </c>
      <c r="G839" s="2">
        <v>54</v>
      </c>
      <c r="H839" s="2" t="s">
        <v>12</v>
      </c>
      <c r="I839" s="2" t="s">
        <v>13</v>
      </c>
      <c r="J839" s="3" t="s">
        <v>140</v>
      </c>
      <c r="M839" s="2">
        <f>IF(J839="1000+", 1000, (LEFT(J839,FIND("-",J839)-1)+RIGHT(J839,LEN(J839)-FIND("-",J839)))/2)</f>
        <v>115</v>
      </c>
      <c r="N839" s="2">
        <f>ROUND(E839 * 0.7+F839 * 0.2+G839 * 0.1,2)</f>
        <v>64.2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75</v>
      </c>
      <c r="P839" s="2">
        <f>E839 - O839</f>
        <v>-9</v>
      </c>
      <c r="Q839" s="2">
        <f>ROUND(
  SIGN(P839)*
  IF(ABS(P839)&lt;=10,ABS(P839)*0.5,
     IF(ABS(P839)&lt;=15,5+(ABS(P839)-10)*(1.67/5),
        6.67+(ABS(P839)-15)*0.333)),
2)</f>
        <v>-4.5</v>
      </c>
    </row>
    <row r="840" spans="1:17" ht="34.5" customHeight="1" x14ac:dyDescent="0.3">
      <c r="B840" s="2">
        <v>839</v>
      </c>
      <c r="C840" s="13">
        <f>ROUND(MAX(MIN(N840 + Q840, 100), 0), 2)</f>
        <v>59.7</v>
      </c>
      <c r="D840" s="2" t="s">
        <v>723</v>
      </c>
      <c r="E840" s="7">
        <v>67</v>
      </c>
      <c r="F840" s="7">
        <v>63</v>
      </c>
      <c r="G840" s="7">
        <v>62</v>
      </c>
      <c r="H840" s="2" t="s">
        <v>71</v>
      </c>
      <c r="I840" s="2" t="s">
        <v>559</v>
      </c>
      <c r="J840" s="3" t="s">
        <v>88</v>
      </c>
      <c r="M840" s="2">
        <f>IF(J840="1000+", 1000, (LEFT(J840,FIND("-",J840)-1)+RIGHT(J840,LEN(J840)-FIND("-",J840)))/2)</f>
        <v>150</v>
      </c>
      <c r="N840" s="2">
        <f>ROUND(E840 * 0.7+F840 * 0.2+G840 * 0.1,2)</f>
        <v>65.7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80</v>
      </c>
      <c r="P840" s="2">
        <f>E840 - O840</f>
        <v>-13</v>
      </c>
      <c r="Q840" s="2">
        <f>ROUND(
  SIGN(P840)*
  IF(ABS(P840)&lt;=10,ABS(P840)*0.5,
     IF(ABS(P840)&lt;=15,5+(ABS(P840)-10)*(1.67/5),
        6.67+(ABS(P840)-15)*0.333)),
2)</f>
        <v>-6</v>
      </c>
    </row>
    <row r="841" spans="1:17" ht="34.5" customHeight="1" x14ac:dyDescent="0.3">
      <c r="B841" s="2">
        <v>840</v>
      </c>
      <c r="C841" s="13">
        <f>ROUND(MAX(MIN(N841 + Q841, 100), 0), 2)</f>
        <v>59.6</v>
      </c>
      <c r="D841" s="2" t="s">
        <v>887</v>
      </c>
      <c r="E841" s="7">
        <v>67</v>
      </c>
      <c r="F841" s="6">
        <v>80</v>
      </c>
      <c r="G841" s="5">
        <v>77</v>
      </c>
      <c r="H841" s="2" t="s">
        <v>396</v>
      </c>
      <c r="I841" s="2" t="s">
        <v>513</v>
      </c>
      <c r="J841" s="3" t="s">
        <v>50</v>
      </c>
      <c r="M841" s="2">
        <f>IF(J841="1000+", 1000, (LEFT(J841,FIND("-",J841)-1)+RIGHT(J841,LEN(J841)-FIND("-",J841)))/2)</f>
        <v>1000</v>
      </c>
      <c r="N841" s="2">
        <f>ROUND(E841 * 0.7+F841 * 0.2+G841 * 0.1,2)</f>
        <v>70.599999999999994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95</v>
      </c>
      <c r="P841" s="2">
        <f>E841 - O841</f>
        <v>-28</v>
      </c>
      <c r="Q841" s="2">
        <f>ROUND(
  SIGN(P841)*
  IF(ABS(P841)&lt;=10,ABS(P841)*0.5,
     IF(ABS(P841)&lt;=15,5+(ABS(P841)-10)*(1.67/5),
        6.67+(ABS(P841)-15)*0.333)),
2)</f>
        <v>-11</v>
      </c>
    </row>
    <row r="842" spans="1:17" ht="34.5" customHeight="1" x14ac:dyDescent="0.3">
      <c r="B842" s="2">
        <v>841</v>
      </c>
      <c r="C842" s="13">
        <f>ROUND(MAX(MIN(N842 + Q842, 100), 0), 2)</f>
        <v>59.53</v>
      </c>
      <c r="D842" s="2" t="s">
        <v>648</v>
      </c>
      <c r="E842" s="7">
        <v>62</v>
      </c>
      <c r="F842" s="5">
        <v>72</v>
      </c>
      <c r="G842" s="4">
        <v>94</v>
      </c>
      <c r="H842" s="2" t="s">
        <v>649</v>
      </c>
      <c r="I842" s="2" t="s">
        <v>535</v>
      </c>
      <c r="J842" s="3" t="s">
        <v>88</v>
      </c>
      <c r="M842" s="2">
        <f>IF(J842="1000+", 1000, (LEFT(J842,FIND("-",J842)-1)+RIGHT(J842,LEN(J842)-FIND("-",J842)))/2)</f>
        <v>150</v>
      </c>
      <c r="N842" s="2">
        <f>ROUND(E842 * 0.7+F842 * 0.2+G842 * 0.1,2)</f>
        <v>67.2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80</v>
      </c>
      <c r="P842" s="2">
        <f>E842 - O842</f>
        <v>-18</v>
      </c>
      <c r="Q842" s="2">
        <f>ROUND(
  SIGN(P842)*
  IF(ABS(P842)&lt;=10,ABS(P842)*0.5,
     IF(ABS(P842)&lt;=15,5+(ABS(P842)-10)*(1.67/5),
        6.67+(ABS(P842)-15)*0.333)),
2)</f>
        <v>-7.67</v>
      </c>
    </row>
    <row r="843" spans="1:17" ht="34.5" customHeight="1" x14ac:dyDescent="0.3">
      <c r="B843" s="2">
        <v>842</v>
      </c>
      <c r="C843" s="13">
        <f>ROUND(MAX(MIN(N843 + Q843, 100), 0), 2)</f>
        <v>59.5</v>
      </c>
      <c r="D843" s="2" t="s">
        <v>849</v>
      </c>
      <c r="E843" s="5">
        <v>71</v>
      </c>
      <c r="F843" s="2">
        <v>53</v>
      </c>
      <c r="G843" s="2">
        <v>37</v>
      </c>
      <c r="H843" s="2" t="s">
        <v>71</v>
      </c>
      <c r="I843" s="2" t="s">
        <v>22</v>
      </c>
      <c r="J843" s="3" t="s">
        <v>88</v>
      </c>
      <c r="M843" s="2">
        <f>IF(J843="1000+", 1000, (LEFT(J843,FIND("-",J843)-1)+RIGHT(J843,LEN(J843)-FIND("-",J843)))/2)</f>
        <v>150</v>
      </c>
      <c r="N843" s="2">
        <f>ROUND(E843 * 0.7+F843 * 0.2+G843 * 0.1,2)</f>
        <v>64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80</v>
      </c>
      <c r="P843" s="2">
        <f>E843 - O843</f>
        <v>-9</v>
      </c>
      <c r="Q843" s="2">
        <f>ROUND(
  SIGN(P843)*
  IF(ABS(P843)&lt;=10,ABS(P843)*0.5,
     IF(ABS(P843)&lt;=15,5+(ABS(P843)-10)*(1.67/5),
        6.67+(ABS(P843)-15)*0.333)),
2)</f>
        <v>-4.5</v>
      </c>
    </row>
    <row r="844" spans="1:17" ht="34.5" customHeight="1" x14ac:dyDescent="0.3">
      <c r="A844" s="2">
        <v>2026</v>
      </c>
      <c r="B844" s="2">
        <v>843</v>
      </c>
      <c r="C844" s="13">
        <f>ROUND(MAX(MIN(N844 + Q844, 100), 0), 2)</f>
        <v>59.5</v>
      </c>
      <c r="D844" s="11" t="s">
        <v>1272</v>
      </c>
      <c r="E844" s="7">
        <v>60</v>
      </c>
      <c r="F844" s="7">
        <v>65</v>
      </c>
      <c r="G844" s="2">
        <v>55</v>
      </c>
      <c r="H844" s="11" t="s">
        <v>1256</v>
      </c>
      <c r="I844" s="11" t="s">
        <v>1259</v>
      </c>
      <c r="J844" s="19" t="s">
        <v>1263</v>
      </c>
      <c r="M844" s="2">
        <f>IF(J844="1000+", 1000, (LEFT(J844,FIND("-",J844)-1)+RIGHT(J844,LEN(J844)-FIND("-",J844)))/2)</f>
        <v>30</v>
      </c>
      <c r="N844" s="2">
        <f>ROUND(E844 * 0.7+F844 * 0.2+G844 * 0.1,2)</f>
        <v>60.5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62</v>
      </c>
      <c r="P844" s="2">
        <f>E844 - O844</f>
        <v>-2</v>
      </c>
      <c r="Q844" s="2">
        <f>ROUND(
  SIGN(P844)*
  IF(ABS(P844)&lt;=10,ABS(P844)*0.5,
     IF(ABS(P844)&lt;=15,5+(ABS(P844)-10)*(1.67/5),
        6.67+(ABS(P844)-15)*0.333)),
2)</f>
        <v>-1</v>
      </c>
    </row>
    <row r="845" spans="1:17" ht="34.5" customHeight="1" x14ac:dyDescent="0.3">
      <c r="B845" s="2">
        <v>844</v>
      </c>
      <c r="C845" s="13">
        <f>ROUND(MAX(MIN(N845 + Q845, 100), 0), 2)</f>
        <v>59.43</v>
      </c>
      <c r="D845" s="2" t="s">
        <v>755</v>
      </c>
      <c r="E845" s="7">
        <v>68</v>
      </c>
      <c r="F845" s="7">
        <v>60</v>
      </c>
      <c r="G845" s="2">
        <v>55</v>
      </c>
      <c r="H845" s="2" t="s">
        <v>710</v>
      </c>
      <c r="I845" s="2" t="s">
        <v>218</v>
      </c>
      <c r="J845" s="3" t="s">
        <v>88</v>
      </c>
      <c r="M845" s="2">
        <f>IF(J845="1000+", 1000, (LEFT(J845,FIND("-",J845)-1)+RIGHT(J845,LEN(J845)-FIND("-",J845)))/2)</f>
        <v>150</v>
      </c>
      <c r="N845" s="2">
        <f>ROUND(E845 * 0.7+F845 * 0.2+G845 * 0.1,2)</f>
        <v>65.099999999999994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80</v>
      </c>
      <c r="P845" s="2">
        <f>E845 - O845</f>
        <v>-12</v>
      </c>
      <c r="Q845" s="2">
        <f>ROUND(
  SIGN(P845)*
  IF(ABS(P845)&lt;=10,ABS(P845)*0.5,
     IF(ABS(P845)&lt;=15,5+(ABS(P845)-10)*(1.67/5),
        6.67+(ABS(P845)-15)*0.333)),
2)</f>
        <v>-5.67</v>
      </c>
    </row>
    <row r="846" spans="1:17" ht="34.5" customHeight="1" x14ac:dyDescent="0.3">
      <c r="B846" s="2">
        <v>845</v>
      </c>
      <c r="C846" s="13">
        <f>ROUND(MAX(MIN(N846 + Q846, 100), 0), 2)</f>
        <v>59.4</v>
      </c>
      <c r="D846" s="2" t="s">
        <v>837</v>
      </c>
      <c r="E846" s="7">
        <v>65</v>
      </c>
      <c r="F846" s="2">
        <v>53</v>
      </c>
      <c r="G846" s="2">
        <v>33</v>
      </c>
      <c r="H846" s="2" t="s">
        <v>48</v>
      </c>
      <c r="I846" s="2" t="s">
        <v>316</v>
      </c>
      <c r="J846" s="3" t="s">
        <v>32</v>
      </c>
      <c r="M846" s="2">
        <f>IF(J846="1000+", 1000, (LEFT(J846,FIND("-",J846)-1)+RIGHT(J846,LEN(J846)-FIND("-",J846)))/2)</f>
        <v>45</v>
      </c>
      <c r="N846" s="2">
        <f>ROUND(E846 * 0.7+F846 * 0.2+G846 * 0.1,2)</f>
        <v>59.4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65</v>
      </c>
      <c r="P846" s="2">
        <f>E846 - O846</f>
        <v>0</v>
      </c>
      <c r="Q846" s="2">
        <f>ROUND(
  SIGN(P846)*
  IF(ABS(P846)&lt;=10,ABS(P846)*0.5,
     IF(ABS(P846)&lt;=15,5+(ABS(P846)-10)*(1.67/5),
        6.67+(ABS(P846)-15)*0.333)),
2)</f>
        <v>0</v>
      </c>
    </row>
    <row r="847" spans="1:17" ht="34.5" customHeight="1" x14ac:dyDescent="0.3">
      <c r="B847" s="2">
        <v>846</v>
      </c>
      <c r="C847" s="13">
        <f>ROUND(MAX(MIN(N847 + Q847, 100), 0), 2)</f>
        <v>59.4</v>
      </c>
      <c r="D847" s="2" t="s">
        <v>792</v>
      </c>
      <c r="E847" s="7">
        <v>69</v>
      </c>
      <c r="F847" s="7">
        <v>65</v>
      </c>
      <c r="G847" s="2">
        <v>51</v>
      </c>
      <c r="H847" s="2" t="s">
        <v>324</v>
      </c>
      <c r="I847" s="2" t="s">
        <v>325</v>
      </c>
      <c r="J847" s="3" t="s">
        <v>14</v>
      </c>
      <c r="M847" s="2">
        <f>IF(J847="1000+", 1000, (LEFT(J847,FIND("-",J847)-1)+RIGHT(J847,LEN(J847)-FIND("-",J847)))/2)</f>
        <v>225</v>
      </c>
      <c r="N847" s="2">
        <f>ROUND(E847 * 0.7+F847 * 0.2+G847 * 0.1,2)</f>
        <v>66.400000000000006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85</v>
      </c>
      <c r="P847" s="2">
        <f>E847 - O847</f>
        <v>-16</v>
      </c>
      <c r="Q847" s="2">
        <f>ROUND(
  SIGN(P847)*
  IF(ABS(P847)&lt;=10,ABS(P847)*0.5,
     IF(ABS(P847)&lt;=15,5+(ABS(P847)-10)*(1.67/5),
        6.67+(ABS(P847)-15)*0.333)),
2)</f>
        <v>-7</v>
      </c>
    </row>
    <row r="848" spans="1:17" ht="34.5" customHeight="1" x14ac:dyDescent="0.3">
      <c r="B848" s="2">
        <v>847</v>
      </c>
      <c r="C848" s="13">
        <f>ROUND(MAX(MIN(N848 + Q848, 100), 0), 2)</f>
        <v>59.4</v>
      </c>
      <c r="D848" s="2" t="s">
        <v>689</v>
      </c>
      <c r="E848" s="7">
        <v>62</v>
      </c>
      <c r="F848" s="7">
        <v>69</v>
      </c>
      <c r="G848" s="6">
        <v>82</v>
      </c>
      <c r="H848" s="2" t="s">
        <v>31</v>
      </c>
      <c r="I848" s="2" t="s">
        <v>41</v>
      </c>
      <c r="J848" s="3" t="s">
        <v>140</v>
      </c>
      <c r="M848" s="2">
        <f>IF(J848="1000+", 1000, (LEFT(J848,FIND("-",J848)-1)+RIGHT(J848,LEN(J848)-FIND("-",J848)))/2)</f>
        <v>115</v>
      </c>
      <c r="N848" s="2">
        <f>ROUND(E848 * 0.7+F848 * 0.2+G848 * 0.1,2)</f>
        <v>65.400000000000006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75</v>
      </c>
      <c r="P848" s="2">
        <f>E848 - O848</f>
        <v>-13</v>
      </c>
      <c r="Q848" s="2">
        <f>ROUND(
  SIGN(P848)*
  IF(ABS(P848)&lt;=10,ABS(P848)*0.5,
     IF(ABS(P848)&lt;=15,5+(ABS(P848)-10)*(1.67/5),
        6.67+(ABS(P848)-15)*0.333)),
2)</f>
        <v>-6</v>
      </c>
    </row>
    <row r="849" spans="1:17" ht="34.5" customHeight="1" x14ac:dyDescent="0.3">
      <c r="B849" s="2">
        <v>848</v>
      </c>
      <c r="C849" s="13">
        <f>ROUND(MAX(MIN(N849 + Q849, 100), 0), 2)</f>
        <v>59.3</v>
      </c>
      <c r="D849" s="2" t="s">
        <v>826</v>
      </c>
      <c r="E849" s="7">
        <v>64</v>
      </c>
      <c r="F849" s="2">
        <v>50</v>
      </c>
      <c r="G849" s="2">
        <v>50</v>
      </c>
      <c r="H849" s="2" t="s">
        <v>48</v>
      </c>
      <c r="I849" s="2" t="s">
        <v>22</v>
      </c>
      <c r="J849" s="3" t="s">
        <v>32</v>
      </c>
      <c r="M849" s="2">
        <f>IF(J849="1000+", 1000, (LEFT(J849,FIND("-",J849)-1)+RIGHT(J849,LEN(J849)-FIND("-",J849)))/2)</f>
        <v>45</v>
      </c>
      <c r="N849" s="2">
        <f>ROUND(E849 * 0.7+F849 * 0.2+G849 * 0.1,2)</f>
        <v>59.8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65</v>
      </c>
      <c r="P849" s="2">
        <f>E849 - O849</f>
        <v>-1</v>
      </c>
      <c r="Q849" s="2">
        <f>ROUND(
  SIGN(P849)*
  IF(ABS(P849)&lt;=10,ABS(P849)*0.5,
     IF(ABS(P849)&lt;=15,5+(ABS(P849)-10)*(1.67/5),
        6.67+(ABS(P849)-15)*0.333)),
2)</f>
        <v>-0.5</v>
      </c>
    </row>
    <row r="850" spans="1:17" ht="34.5" customHeight="1" x14ac:dyDescent="0.3">
      <c r="B850" s="2">
        <v>849</v>
      </c>
      <c r="C850" s="13">
        <f>ROUND(MAX(MIN(N850 + Q850, 100), 0), 2)</f>
        <v>59.3</v>
      </c>
      <c r="D850" s="2" t="s">
        <v>794</v>
      </c>
      <c r="E850" s="7">
        <v>65</v>
      </c>
      <c r="F850" s="2">
        <v>54</v>
      </c>
      <c r="G850" s="2">
        <v>45</v>
      </c>
      <c r="H850" s="2" t="s">
        <v>174</v>
      </c>
      <c r="I850" s="2" t="s">
        <v>72</v>
      </c>
      <c r="J850" s="3" t="s">
        <v>23</v>
      </c>
      <c r="M850" s="2">
        <f>IF(J850="1000+", 1000, (LEFT(J850,FIND("-",J850)-1)+RIGHT(J850,LEN(J850)-FIND("-",J850)))/2)</f>
        <v>60</v>
      </c>
      <c r="N850" s="2">
        <f>ROUND(E850 * 0.7+F850 * 0.2+G850 * 0.1,2)</f>
        <v>60.8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68</v>
      </c>
      <c r="P850" s="2">
        <f>E850 - O850</f>
        <v>-3</v>
      </c>
      <c r="Q850" s="2">
        <f>ROUND(
  SIGN(P850)*
  IF(ABS(P850)&lt;=10,ABS(P850)*0.5,
     IF(ABS(P850)&lt;=15,5+(ABS(P850)-10)*(1.67/5),
        6.67+(ABS(P850)-15)*0.333)),
2)</f>
        <v>-1.5</v>
      </c>
    </row>
    <row r="851" spans="1:17" ht="34.5" customHeight="1" x14ac:dyDescent="0.3">
      <c r="A851" s="2">
        <v>2026</v>
      </c>
      <c r="B851" s="2">
        <v>850</v>
      </c>
      <c r="C851" s="13">
        <f>ROUND(MAX(MIN(N851 + Q851, 100), 0), 2)</f>
        <v>59.3</v>
      </c>
      <c r="D851" s="2" t="s">
        <v>1811</v>
      </c>
      <c r="E851" s="7">
        <v>62</v>
      </c>
      <c r="F851" s="2">
        <v>52</v>
      </c>
      <c r="G851" s="2">
        <v>45</v>
      </c>
      <c r="H851" s="2" t="s">
        <v>1257</v>
      </c>
      <c r="I851" s="2" t="s">
        <v>1259</v>
      </c>
      <c r="J851" s="3" t="s">
        <v>1261</v>
      </c>
      <c r="M851" s="2">
        <f>IF(J851="1000+", 1000, (LEFT(J851,FIND("-",J851)-1)+RIGHT(J851,LEN(J851)-FIND("-",J851)))/2)</f>
        <v>20</v>
      </c>
      <c r="N851" s="2">
        <f>ROUND(E851 * 0.7+F851 * 0.2+G851 * 0.1,2)</f>
        <v>58.3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60</v>
      </c>
      <c r="P851" s="2">
        <f>E851 - O851</f>
        <v>2</v>
      </c>
      <c r="Q851" s="2">
        <f>ROUND(
  SIGN(P851)*
  IF(ABS(P851)&lt;=10,ABS(P851)*0.5,
     IF(ABS(P851)&lt;=15,5+(ABS(P851)-10)*(1.67/5),
        6.67+(ABS(P851)-15)*0.333)),
2)</f>
        <v>1</v>
      </c>
    </row>
    <row r="852" spans="1:17" ht="34.5" customHeight="1" x14ac:dyDescent="0.3">
      <c r="A852" s="2">
        <v>2026</v>
      </c>
      <c r="B852" s="2">
        <v>851</v>
      </c>
      <c r="C852" s="13">
        <f>ROUND(MAX(MIN(N852 + Q852, 100), 0), 2)</f>
        <v>59.3</v>
      </c>
      <c r="D852" s="11" t="s">
        <v>1280</v>
      </c>
      <c r="E852" s="7">
        <v>64</v>
      </c>
      <c r="F852" s="7">
        <v>64</v>
      </c>
      <c r="G852" s="2">
        <v>57</v>
      </c>
      <c r="H852" s="11" t="s">
        <v>1256</v>
      </c>
      <c r="I852" s="11" t="s">
        <v>1258</v>
      </c>
      <c r="J852" s="19" t="s">
        <v>1279</v>
      </c>
      <c r="K852" s="11" t="s">
        <v>1289</v>
      </c>
      <c r="M852" s="2">
        <f>IF(J852="1000+", 1000, (LEFT(J852,FIND("-",J852)-1)+RIGHT(J852,LEN(J852)-FIND("-",J852)))/2)</f>
        <v>105</v>
      </c>
      <c r="N852" s="2">
        <f>ROUND(E852 * 0.7+F852 * 0.2+G852 * 0.1,2)</f>
        <v>63.3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72</v>
      </c>
      <c r="P852" s="2">
        <f>E852 - O852</f>
        <v>-8</v>
      </c>
      <c r="Q852" s="2">
        <f>ROUND(
  SIGN(P852)*
  IF(ABS(P852)&lt;=10,ABS(P852)*0.5,
     IF(ABS(P852)&lt;=15,5+(ABS(P852)-10)*(1.67/5),
        6.67+(ABS(P852)-15)*0.333)),
2)</f>
        <v>-4</v>
      </c>
    </row>
    <row r="853" spans="1:17" ht="34.5" customHeight="1" x14ac:dyDescent="0.3">
      <c r="B853" s="2">
        <v>852</v>
      </c>
      <c r="C853" s="13">
        <f>ROUND(MAX(MIN(N853 + Q853, 100), 0), 2)</f>
        <v>59.3</v>
      </c>
      <c r="D853" s="2" t="s">
        <v>798</v>
      </c>
      <c r="E853" s="7">
        <v>65</v>
      </c>
      <c r="F853" s="7">
        <v>62</v>
      </c>
      <c r="G853" s="7">
        <v>64</v>
      </c>
      <c r="H853" s="2" t="s">
        <v>48</v>
      </c>
      <c r="I853" s="2" t="s">
        <v>177</v>
      </c>
      <c r="J853" s="3" t="s">
        <v>140</v>
      </c>
      <c r="M853" s="2">
        <f>IF(J853="1000+", 1000, (LEFT(J853,FIND("-",J853)-1)+RIGHT(J853,LEN(J853)-FIND("-",J853)))/2)</f>
        <v>115</v>
      </c>
      <c r="N853" s="2">
        <f>ROUND(E853 * 0.7+F853 * 0.2+G853 * 0.1,2)</f>
        <v>64.3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75</v>
      </c>
      <c r="P853" s="2">
        <f>E853 - O853</f>
        <v>-10</v>
      </c>
      <c r="Q853" s="2">
        <f>ROUND(
  SIGN(P853)*
  IF(ABS(P853)&lt;=10,ABS(P853)*0.5,
     IF(ABS(P853)&lt;=15,5+(ABS(P853)-10)*(1.67/5),
        6.67+(ABS(P853)-15)*0.333)),
2)</f>
        <v>-5</v>
      </c>
    </row>
    <row r="854" spans="1:17" ht="34.5" customHeight="1" x14ac:dyDescent="0.3">
      <c r="B854" s="2">
        <v>853</v>
      </c>
      <c r="C854" s="13">
        <f>ROUND(MAX(MIN(N854 + Q854, 100), 0), 2)</f>
        <v>59.23</v>
      </c>
      <c r="D854" s="2" t="s">
        <v>742</v>
      </c>
      <c r="E854" s="7">
        <v>66</v>
      </c>
      <c r="F854" s="5">
        <v>70</v>
      </c>
      <c r="G854" s="5">
        <v>77</v>
      </c>
      <c r="H854" s="2" t="s">
        <v>743</v>
      </c>
      <c r="I854" s="2" t="s">
        <v>228</v>
      </c>
      <c r="J854" s="3" t="s">
        <v>65</v>
      </c>
      <c r="M854" s="2">
        <f>IF(J854="1000+", 1000, (LEFT(J854,FIND("-",J854)-1)+RIGHT(J854,LEN(J854)-FIND("-",J854)))/2)</f>
        <v>250</v>
      </c>
      <c r="N854" s="2">
        <f>ROUND(E854 * 0.7+F854 * 0.2+G854 * 0.1,2)</f>
        <v>67.900000000000006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87</v>
      </c>
      <c r="P854" s="2">
        <f>E854 - O854</f>
        <v>-21</v>
      </c>
      <c r="Q854" s="2">
        <f>ROUND(
  SIGN(P854)*
  IF(ABS(P854)&lt;=10,ABS(P854)*0.5,
     IF(ABS(P854)&lt;=15,5+(ABS(P854)-10)*(1.67/5),
        6.67+(ABS(P854)-15)*0.333)),
2)</f>
        <v>-8.67</v>
      </c>
    </row>
    <row r="855" spans="1:17" ht="34.5" customHeight="1" x14ac:dyDescent="0.3">
      <c r="B855" s="2">
        <v>854</v>
      </c>
      <c r="C855" s="13">
        <f>ROUND(MAX(MIN(N855 + Q855, 100), 0), 2)</f>
        <v>59.23</v>
      </c>
      <c r="D855" s="2" t="s">
        <v>740</v>
      </c>
      <c r="E855" s="7">
        <v>64</v>
      </c>
      <c r="F855" s="5">
        <v>79</v>
      </c>
      <c r="G855" s="5">
        <v>73</v>
      </c>
      <c r="H855" s="2" t="s">
        <v>48</v>
      </c>
      <c r="I855" s="2" t="s">
        <v>41</v>
      </c>
      <c r="J855" s="3" t="s">
        <v>14</v>
      </c>
      <c r="K855" s="2" t="s">
        <v>741</v>
      </c>
      <c r="M855" s="2">
        <f>IF(J855="1000+", 1000, (LEFT(J855,FIND("-",J855)-1)+RIGHT(J855,LEN(J855)-FIND("-",J855)))/2)</f>
        <v>225</v>
      </c>
      <c r="N855" s="2">
        <f>ROUND(E855 * 0.7+F855 * 0.2+G855 * 0.1,2)</f>
        <v>67.900000000000006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85</v>
      </c>
      <c r="P855" s="2">
        <f>E855 - O855</f>
        <v>-21</v>
      </c>
      <c r="Q855" s="2">
        <f>ROUND(
  SIGN(P855)*
  IF(ABS(P855)&lt;=10,ABS(P855)*0.5,
     IF(ABS(P855)&lt;=15,5+(ABS(P855)-10)*(1.67/5),
        6.67+(ABS(P855)-15)*0.333)),
2)</f>
        <v>-8.67</v>
      </c>
    </row>
    <row r="856" spans="1:17" ht="34.5" customHeight="1" x14ac:dyDescent="0.3">
      <c r="A856" s="2">
        <v>2026</v>
      </c>
      <c r="B856" s="2">
        <v>855</v>
      </c>
      <c r="C856" s="13">
        <f>ROUND(MAX(MIN(N856 + Q856, 100), 0), 2)</f>
        <v>59.23</v>
      </c>
      <c r="D856" s="2" t="s">
        <v>1936</v>
      </c>
      <c r="E856" s="7">
        <v>67</v>
      </c>
      <c r="F856" s="7">
        <v>66</v>
      </c>
      <c r="G856" s="2">
        <v>58</v>
      </c>
      <c r="H856" s="2" t="s">
        <v>1944</v>
      </c>
      <c r="I856" s="2" t="s">
        <v>1527</v>
      </c>
      <c r="J856" s="3" t="s">
        <v>1265</v>
      </c>
      <c r="M856" s="2">
        <f>IF(J856="1000+", 1000, (LEFT(J856,FIND("-",J856)-1)+RIGHT(J856,LEN(J856)-FIND("-",J856)))/2)</f>
        <v>200</v>
      </c>
      <c r="N856" s="2">
        <f>ROUND(E856 * 0.7+F856 * 0.2+G856 * 0.1,2)</f>
        <v>65.900000000000006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82</v>
      </c>
      <c r="P856" s="2">
        <f>E856 - O856</f>
        <v>-15</v>
      </c>
      <c r="Q856" s="2">
        <f>ROUND(
  SIGN(P856)*
  IF(ABS(P856)&lt;=10,ABS(P856)*0.5,
     IF(ABS(P856)&lt;=15,5+(ABS(P856)-10)*(1.67/5),
        6.67+(ABS(P856)-15)*0.333)),
2)</f>
        <v>-6.67</v>
      </c>
    </row>
    <row r="857" spans="1:17" ht="34.5" customHeight="1" x14ac:dyDescent="0.3">
      <c r="A857" s="2">
        <v>2026</v>
      </c>
      <c r="B857" s="2">
        <v>856</v>
      </c>
      <c r="C857" s="13">
        <f>ROUND(MAX(MIN(N857 + Q857, 100), 0), 2)</f>
        <v>59.2</v>
      </c>
      <c r="D857" s="2" t="s">
        <v>1579</v>
      </c>
      <c r="E857" s="7">
        <v>66</v>
      </c>
      <c r="F857" s="2">
        <v>50</v>
      </c>
      <c r="G857" s="2">
        <v>25</v>
      </c>
      <c r="H857" s="2" t="s">
        <v>1587</v>
      </c>
      <c r="I857" s="2" t="s">
        <v>1589</v>
      </c>
      <c r="J857" s="3" t="s">
        <v>1595</v>
      </c>
      <c r="M857" s="2">
        <f>IF(J857="1000+", 1000, (LEFT(J857,FIND("-",J857)-1)+RIGHT(J857,LEN(J857)-FIND("-",J857)))/2)</f>
        <v>45</v>
      </c>
      <c r="N857" s="2">
        <f>ROUND(E857 * 0.7+F857 * 0.2+G857 * 0.1,2)</f>
        <v>58.7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65</v>
      </c>
      <c r="P857" s="2">
        <f>E857 - O857</f>
        <v>1</v>
      </c>
      <c r="Q857" s="2">
        <f>ROUND(
  SIGN(P857)*
  IF(ABS(P857)&lt;=10,ABS(P857)*0.5,
     IF(ABS(P857)&lt;=15,5+(ABS(P857)-10)*(1.67/5),
        6.67+(ABS(P857)-15)*0.333)),
2)</f>
        <v>0.5</v>
      </c>
    </row>
    <row r="858" spans="1:17" ht="34.5" customHeight="1" x14ac:dyDescent="0.3">
      <c r="A858" s="2">
        <v>2026</v>
      </c>
      <c r="B858" s="2">
        <v>857</v>
      </c>
      <c r="C858" s="13">
        <f>ROUND(MAX(MIN(N858 + Q858, 100), 0), 2)</f>
        <v>59.2</v>
      </c>
      <c r="D858" s="2" t="s">
        <v>842</v>
      </c>
      <c r="E858" s="7">
        <v>63</v>
      </c>
      <c r="F858" s="2">
        <v>53</v>
      </c>
      <c r="G858" s="2">
        <v>40</v>
      </c>
      <c r="H858" s="2" t="s">
        <v>45</v>
      </c>
      <c r="I858" s="2" t="s">
        <v>72</v>
      </c>
      <c r="J858" s="3" t="s">
        <v>146</v>
      </c>
      <c r="M858" s="2">
        <f>IF(J858="1000+", 1000, (LEFT(J858,FIND("-",J858)-1)+RIGHT(J858,LEN(J858)-FIND("-",J858)))/2)</f>
        <v>30</v>
      </c>
      <c r="N858" s="2">
        <f>ROUND(E858 * 0.7+F858 * 0.2+G858 * 0.1,2)</f>
        <v>58.7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62</v>
      </c>
      <c r="P858" s="2">
        <f>E858 - O858</f>
        <v>1</v>
      </c>
      <c r="Q858" s="2">
        <f>ROUND(
  SIGN(P858)*
  IF(ABS(P858)&lt;=10,ABS(P858)*0.5,
     IF(ABS(P858)&lt;=15,5+(ABS(P858)-10)*(1.67/5),
        6.67+(ABS(P858)-15)*0.333)),
2)</f>
        <v>0.5</v>
      </c>
    </row>
    <row r="859" spans="1:17" ht="34.5" customHeight="1" x14ac:dyDescent="0.3">
      <c r="A859" s="2">
        <v>2026</v>
      </c>
      <c r="B859" s="2">
        <v>858</v>
      </c>
      <c r="C859" s="13">
        <f>ROUND(MAX(MIN(N859 + Q859, 100), 0), 2)</f>
        <v>59.2</v>
      </c>
      <c r="D859" s="11" t="s">
        <v>1323</v>
      </c>
      <c r="E859" s="7">
        <v>62</v>
      </c>
      <c r="F859" s="2">
        <v>55</v>
      </c>
      <c r="G859" s="2">
        <v>48</v>
      </c>
      <c r="H859" s="11" t="s">
        <v>1257</v>
      </c>
      <c r="I859" s="11" t="s">
        <v>1259</v>
      </c>
      <c r="J859" s="19" t="s">
        <v>1263</v>
      </c>
      <c r="M859" s="2">
        <f>IF(J859="1000+", 1000, (LEFT(J859,FIND("-",J859)-1)+RIGHT(J859,LEN(J859)-FIND("-",J859)))/2)</f>
        <v>30</v>
      </c>
      <c r="N859" s="2">
        <f>ROUND(E859 * 0.7+F859 * 0.2+G859 * 0.1,2)</f>
        <v>59.2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62</v>
      </c>
      <c r="P859" s="2">
        <f>E859 - O859</f>
        <v>0</v>
      </c>
      <c r="Q859" s="2">
        <f>ROUND(
  SIGN(P859)*
  IF(ABS(P859)&lt;=10,ABS(P859)*0.5,
     IF(ABS(P859)&lt;=15,5+(ABS(P859)-10)*(1.67/5),
        6.67+(ABS(P859)-15)*0.333)),
2)</f>
        <v>0</v>
      </c>
    </row>
    <row r="860" spans="1:17" ht="34.5" customHeight="1" x14ac:dyDescent="0.3">
      <c r="B860" s="2">
        <v>859</v>
      </c>
      <c r="C860" s="13">
        <f>ROUND(MAX(MIN(N860 + Q860, 100), 0), 2)</f>
        <v>59.2</v>
      </c>
      <c r="D860" s="2" t="s">
        <v>801</v>
      </c>
      <c r="E860" s="7">
        <v>63</v>
      </c>
      <c r="F860" s="2">
        <v>50</v>
      </c>
      <c r="G860" s="7">
        <v>61</v>
      </c>
      <c r="H860" s="2" t="s">
        <v>48</v>
      </c>
      <c r="I860" s="2" t="s">
        <v>72</v>
      </c>
      <c r="J860" s="3" t="s">
        <v>32</v>
      </c>
      <c r="M860" s="2">
        <f>IF(J860="1000+", 1000, (LEFT(J860,FIND("-",J860)-1)+RIGHT(J860,LEN(J860)-FIND("-",J860)))/2)</f>
        <v>45</v>
      </c>
      <c r="N860" s="2">
        <f>ROUND(E860 * 0.7+F860 * 0.2+G860 * 0.1,2)</f>
        <v>60.2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65</v>
      </c>
      <c r="P860" s="2">
        <f>E860 - O860</f>
        <v>-2</v>
      </c>
      <c r="Q860" s="2">
        <f>ROUND(
  SIGN(P860)*
  IF(ABS(P860)&lt;=10,ABS(P860)*0.5,
     IF(ABS(P860)&lt;=15,5+(ABS(P860)-10)*(1.67/5),
        6.67+(ABS(P860)-15)*0.333)),
2)</f>
        <v>-1</v>
      </c>
    </row>
    <row r="861" spans="1:17" ht="34.5" customHeight="1" x14ac:dyDescent="0.3">
      <c r="B861" s="2">
        <v>860</v>
      </c>
      <c r="C861" s="13">
        <f>ROUND(MAX(MIN(N861 + Q861, 100), 0), 2)</f>
        <v>59.2</v>
      </c>
      <c r="D861" s="2" t="s">
        <v>774</v>
      </c>
      <c r="E861" s="7">
        <v>62</v>
      </c>
      <c r="F861" s="2">
        <v>55</v>
      </c>
      <c r="G861" s="7">
        <v>63</v>
      </c>
      <c r="H861" s="2" t="s">
        <v>104</v>
      </c>
      <c r="I861" s="2" t="s">
        <v>72</v>
      </c>
      <c r="J861" s="3" t="s">
        <v>32</v>
      </c>
      <c r="M861" s="2">
        <f>IF(J861="1000+", 1000, (LEFT(J861,FIND("-",J861)-1)+RIGHT(J861,LEN(J861)-FIND("-",J861)))/2)</f>
        <v>45</v>
      </c>
      <c r="N861" s="2">
        <f>ROUND(E861 * 0.7+F861 * 0.2+G861 * 0.1,2)</f>
        <v>60.7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65</v>
      </c>
      <c r="P861" s="2">
        <f>E861 - O861</f>
        <v>-3</v>
      </c>
      <c r="Q861" s="2">
        <f>ROUND(
  SIGN(P861)*
  IF(ABS(P861)&lt;=10,ABS(P861)*0.5,
     IF(ABS(P861)&lt;=15,5+(ABS(P861)-10)*(1.67/5),
        6.67+(ABS(P861)-15)*0.333)),
2)</f>
        <v>-1.5</v>
      </c>
    </row>
    <row r="862" spans="1:17" ht="34.5" customHeight="1" x14ac:dyDescent="0.3">
      <c r="A862" s="2">
        <v>2026</v>
      </c>
      <c r="B862" s="2">
        <v>861</v>
      </c>
      <c r="C862" s="13">
        <f>ROUND(MAX(MIN(N862 + Q862, 100), 0), 2)</f>
        <v>59.2</v>
      </c>
      <c r="D862" s="2" t="s">
        <v>1828</v>
      </c>
      <c r="E862" s="7">
        <v>63</v>
      </c>
      <c r="F862" s="7">
        <v>60</v>
      </c>
      <c r="G862" s="2">
        <v>56</v>
      </c>
      <c r="H862" s="2" t="s">
        <v>1256</v>
      </c>
      <c r="I862" s="2" t="s">
        <v>1320</v>
      </c>
      <c r="J862" s="3" t="s">
        <v>1302</v>
      </c>
      <c r="M862" s="2">
        <f>IF(J862="1000+", 1000, (LEFT(J862,FIND("-",J862)-1)+RIGHT(J862,LEN(J862)-FIND("-",J862)))/2)</f>
        <v>60</v>
      </c>
      <c r="N862" s="2">
        <f>ROUND(E862 * 0.7+F862 * 0.2+G862 * 0.1,2)</f>
        <v>61.7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68</v>
      </c>
      <c r="P862" s="2">
        <f>E862 - O862</f>
        <v>-5</v>
      </c>
      <c r="Q862" s="2">
        <f>ROUND(
  SIGN(P862)*
  IF(ABS(P862)&lt;=10,ABS(P862)*0.5,
     IF(ABS(P862)&lt;=15,5+(ABS(P862)-10)*(1.67/5),
        6.67+(ABS(P862)-15)*0.333)),
2)</f>
        <v>-2.5</v>
      </c>
    </row>
    <row r="863" spans="1:17" ht="34.5" customHeight="1" x14ac:dyDescent="0.3">
      <c r="B863" s="2">
        <v>862</v>
      </c>
      <c r="C863" s="13">
        <f>ROUND(MAX(MIN(N863 + Q863, 100), 0), 2)</f>
        <v>59.17</v>
      </c>
      <c r="D863" s="2" t="s">
        <v>789</v>
      </c>
      <c r="E863" s="7">
        <v>64</v>
      </c>
      <c r="F863" s="7">
        <v>64</v>
      </c>
      <c r="G863" s="7">
        <v>69</v>
      </c>
      <c r="H863" s="2" t="s">
        <v>104</v>
      </c>
      <c r="I863" s="2" t="s">
        <v>157</v>
      </c>
      <c r="J863" s="3" t="s">
        <v>140</v>
      </c>
      <c r="M863" s="2">
        <f>IF(J863="1000+", 1000, (LEFT(J863,FIND("-",J863)-1)+RIGHT(J863,LEN(J863)-FIND("-",J863)))/2)</f>
        <v>115</v>
      </c>
      <c r="N863" s="2">
        <f>ROUND(E863 * 0.7+F863 * 0.2+G863 * 0.1,2)</f>
        <v>64.5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75</v>
      </c>
      <c r="P863" s="2">
        <f>E863 - O863</f>
        <v>-11</v>
      </c>
      <c r="Q863" s="2">
        <f>ROUND(
  SIGN(P863)*
  IF(ABS(P863)&lt;=10,ABS(P863)*0.5,
     IF(ABS(P863)&lt;=15,5+(ABS(P863)-10)*(1.67/5),
        6.67+(ABS(P863)-15)*0.333)),
2)</f>
        <v>-5.33</v>
      </c>
    </row>
    <row r="864" spans="1:17" ht="34.5" customHeight="1" x14ac:dyDescent="0.3">
      <c r="B864" s="2">
        <v>863</v>
      </c>
      <c r="C864" s="13">
        <f>ROUND(MAX(MIN(N864 + Q864, 100), 0), 2)</f>
        <v>59.1</v>
      </c>
      <c r="D864" s="2" t="s">
        <v>756</v>
      </c>
      <c r="E864" s="7">
        <v>67</v>
      </c>
      <c r="F864" s="7">
        <v>62</v>
      </c>
      <c r="G864" s="2">
        <v>58</v>
      </c>
      <c r="H864" s="2" t="s">
        <v>12</v>
      </c>
      <c r="I864" s="2" t="s">
        <v>177</v>
      </c>
      <c r="J864" s="3" t="s">
        <v>88</v>
      </c>
      <c r="M864" s="2">
        <f>IF(J864="1000+", 1000, (LEFT(J864,FIND("-",J864)-1)+RIGHT(J864,LEN(J864)-FIND("-",J864)))/2)</f>
        <v>150</v>
      </c>
      <c r="N864" s="2">
        <f>ROUND(E864 * 0.7+F864 * 0.2+G864 * 0.1,2)</f>
        <v>65.099999999999994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80</v>
      </c>
      <c r="P864" s="2">
        <f>E864 - O864</f>
        <v>-13</v>
      </c>
      <c r="Q864" s="2">
        <f>ROUND(
  SIGN(P864)*
  IF(ABS(P864)&lt;=10,ABS(P864)*0.5,
     IF(ABS(P864)&lt;=15,5+(ABS(P864)-10)*(1.67/5),
        6.67+(ABS(P864)-15)*0.333)),
2)</f>
        <v>-6</v>
      </c>
    </row>
    <row r="865" spans="1:17" ht="34.5" customHeight="1" x14ac:dyDescent="0.3">
      <c r="A865" s="2">
        <v>2026</v>
      </c>
      <c r="B865" s="2">
        <v>864</v>
      </c>
      <c r="C865" s="13">
        <f>ROUND(MAX(MIN(N865 + Q865, 100), 0), 2)</f>
        <v>59.1</v>
      </c>
      <c r="D865" s="2" t="s">
        <v>1928</v>
      </c>
      <c r="E865" s="7">
        <v>62</v>
      </c>
      <c r="F865" s="2">
        <v>59</v>
      </c>
      <c r="G865" s="2">
        <v>54</v>
      </c>
      <c r="H865" s="2" t="s">
        <v>1483</v>
      </c>
      <c r="I865" s="2" t="s">
        <v>1300</v>
      </c>
      <c r="J865" s="3" t="s">
        <v>1262</v>
      </c>
      <c r="M865" s="2">
        <f>IF(J865="1000+", 1000, (LEFT(J865,FIND("-",J865)-1)+RIGHT(J865,LEN(J865)-FIND("-",J865)))/2)</f>
        <v>45</v>
      </c>
      <c r="N865" s="2">
        <f>ROUND(E865 * 0.7+F865 * 0.2+G865 * 0.1,2)</f>
        <v>60.6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65</v>
      </c>
      <c r="P865" s="2">
        <f>E865 - O865</f>
        <v>-3</v>
      </c>
      <c r="Q865" s="2">
        <f>ROUND(
  SIGN(P865)*
  IF(ABS(P865)&lt;=10,ABS(P865)*0.5,
     IF(ABS(P865)&lt;=15,5+(ABS(P865)-10)*(1.67/5),
        6.67+(ABS(P865)-15)*0.333)),
2)</f>
        <v>-1.5</v>
      </c>
    </row>
    <row r="866" spans="1:17" ht="34.5" customHeight="1" x14ac:dyDescent="0.3">
      <c r="B866" s="2">
        <v>865</v>
      </c>
      <c r="C866" s="13">
        <f>ROUND(MAX(MIN(N866 + Q866, 100), 0), 2)</f>
        <v>59.03</v>
      </c>
      <c r="D866" s="2" t="s">
        <v>725</v>
      </c>
      <c r="E866" s="7">
        <v>65</v>
      </c>
      <c r="F866" s="7">
        <v>67</v>
      </c>
      <c r="G866" s="7">
        <v>68</v>
      </c>
      <c r="H866" s="2" t="s">
        <v>71</v>
      </c>
      <c r="I866" s="2" t="s">
        <v>100</v>
      </c>
      <c r="J866" s="3" t="s">
        <v>88</v>
      </c>
      <c r="M866" s="2">
        <f>IF(J866="1000+", 1000, (LEFT(J866,FIND("-",J866)-1)+RIGHT(J866,LEN(J866)-FIND("-",J866)))/2)</f>
        <v>150</v>
      </c>
      <c r="N866" s="2">
        <f>ROUND(E866 * 0.7+F866 * 0.2+G866 * 0.1,2)</f>
        <v>65.7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80</v>
      </c>
      <c r="P866" s="2">
        <f>E866 - O866</f>
        <v>-15</v>
      </c>
      <c r="Q866" s="2">
        <f>ROUND(
  SIGN(P866)*
  IF(ABS(P866)&lt;=10,ABS(P866)*0.5,
     IF(ABS(P866)&lt;=15,5+(ABS(P866)-10)*(1.67/5),
        6.67+(ABS(P866)-15)*0.333)),
2)</f>
        <v>-6.67</v>
      </c>
    </row>
    <row r="867" spans="1:17" ht="34.5" customHeight="1" x14ac:dyDescent="0.3">
      <c r="B867" s="2">
        <v>866</v>
      </c>
      <c r="C867" s="13">
        <f>ROUND(MAX(MIN(N867 + Q867, 100), 0), 2)</f>
        <v>59</v>
      </c>
      <c r="D867" s="2" t="s">
        <v>851</v>
      </c>
      <c r="E867" s="7">
        <v>65</v>
      </c>
      <c r="F867" s="2">
        <v>50</v>
      </c>
      <c r="G867" s="2">
        <v>35</v>
      </c>
      <c r="H867" s="2" t="s">
        <v>240</v>
      </c>
      <c r="I867" s="2" t="s">
        <v>72</v>
      </c>
      <c r="J867" s="3" t="s">
        <v>32</v>
      </c>
      <c r="M867" s="2">
        <f>IF(J867="1000+", 1000, (LEFT(J867,FIND("-",J867)-1)+RIGHT(J867,LEN(J867)-FIND("-",J867)))/2)</f>
        <v>45</v>
      </c>
      <c r="N867" s="2">
        <f>ROUND(E867 * 0.7+F867 * 0.2+G867 * 0.1,2)</f>
        <v>59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65</v>
      </c>
      <c r="P867" s="2">
        <f>E867 - O867</f>
        <v>0</v>
      </c>
      <c r="Q867" s="2">
        <f>ROUND(
  SIGN(P867)*
  IF(ABS(P867)&lt;=10,ABS(P867)*0.5,
     IF(ABS(P867)&lt;=15,5+(ABS(P867)-10)*(1.67/5),
        6.67+(ABS(P867)-15)*0.333)),
2)</f>
        <v>0</v>
      </c>
    </row>
    <row r="868" spans="1:17" ht="34.5" customHeight="1" x14ac:dyDescent="0.3">
      <c r="B868" s="2">
        <v>867</v>
      </c>
      <c r="C868" s="13">
        <f>ROUND(MAX(MIN(N868 + Q868, 100), 0), 2)</f>
        <v>59</v>
      </c>
      <c r="D868" s="2" t="s">
        <v>848</v>
      </c>
      <c r="E868" s="7">
        <v>62</v>
      </c>
      <c r="F868" s="2">
        <v>52</v>
      </c>
      <c r="G868" s="2">
        <v>42</v>
      </c>
      <c r="H868" s="2" t="s">
        <v>64</v>
      </c>
      <c r="I868" s="2" t="s">
        <v>36</v>
      </c>
      <c r="J868" s="3" t="s">
        <v>132</v>
      </c>
      <c r="M868" s="2">
        <f>IF(J868="1000+", 1000, (LEFT(J868,FIND("-",J868)-1)+RIGHT(J868,LEN(J868)-FIND("-",J868)))/2)</f>
        <v>20</v>
      </c>
      <c r="N868" s="2">
        <f>ROUND(E868 * 0.7+F868 * 0.2+G868 * 0.1,2)</f>
        <v>58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60</v>
      </c>
      <c r="P868" s="2">
        <f>E868 - O868</f>
        <v>2</v>
      </c>
      <c r="Q868" s="2">
        <f>ROUND(
  SIGN(P868)*
  IF(ABS(P868)&lt;=10,ABS(P868)*0.5,
     IF(ABS(P868)&lt;=15,5+(ABS(P868)-10)*(1.67/5),
        6.67+(ABS(P868)-15)*0.333)),
2)</f>
        <v>1</v>
      </c>
    </row>
    <row r="869" spans="1:17" ht="34.5" customHeight="1" x14ac:dyDescent="0.3">
      <c r="A869" s="2">
        <v>2026</v>
      </c>
      <c r="B869" s="2">
        <v>868</v>
      </c>
      <c r="C869" s="13">
        <f>ROUND(MAX(MIN(N869 + Q869, 100), 0), 2)</f>
        <v>59</v>
      </c>
      <c r="D869" s="2" t="s">
        <v>1460</v>
      </c>
      <c r="E869" s="7">
        <v>62</v>
      </c>
      <c r="F869" s="7">
        <v>66</v>
      </c>
      <c r="G869" s="2">
        <v>54</v>
      </c>
      <c r="H869" s="2" t="s">
        <v>1473</v>
      </c>
      <c r="I869" s="2" t="s">
        <v>22</v>
      </c>
      <c r="J869" s="3" t="s">
        <v>1478</v>
      </c>
      <c r="M869" s="2">
        <f>IF(J869="1000+", 1000, (LEFT(J869,FIND("-",J869)-1)+RIGHT(J869,LEN(J869)-FIND("-",J869)))/2)</f>
        <v>60</v>
      </c>
      <c r="N869" s="2">
        <f>ROUND(E869 * 0.7+F869 * 0.2+G869 * 0.1,2)</f>
        <v>62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68</v>
      </c>
      <c r="P869" s="2">
        <f>E869 - O869</f>
        <v>-6</v>
      </c>
      <c r="Q869" s="2">
        <f>ROUND(
  SIGN(P869)*
  IF(ABS(P869)&lt;=10,ABS(P869)*0.5,
     IF(ABS(P869)&lt;=15,5+(ABS(P869)-10)*(1.67/5),
        6.67+(ABS(P869)-15)*0.333)),
2)</f>
        <v>-3</v>
      </c>
    </row>
    <row r="870" spans="1:17" ht="34.5" customHeight="1" x14ac:dyDescent="0.3">
      <c r="A870" s="2">
        <v>2026</v>
      </c>
      <c r="B870" s="2">
        <v>869</v>
      </c>
      <c r="C870" s="13">
        <f>ROUND(MAX(MIN(N870 + Q870, 100), 0), 2)</f>
        <v>58.93</v>
      </c>
      <c r="D870" s="2" t="s">
        <v>1870</v>
      </c>
      <c r="E870" s="7">
        <v>66</v>
      </c>
      <c r="F870" s="5">
        <v>70</v>
      </c>
      <c r="G870" s="5">
        <v>74</v>
      </c>
      <c r="H870" s="2" t="s">
        <v>1895</v>
      </c>
      <c r="I870" s="2" t="s">
        <v>1387</v>
      </c>
      <c r="J870" s="3" t="s">
        <v>1540</v>
      </c>
      <c r="M870" s="2">
        <f>IF(J870="1000+", 1000, (LEFT(J870,FIND("-",J870)-1)+RIGHT(J870,LEN(J870)-FIND("-",J870)))/2)</f>
        <v>250</v>
      </c>
      <c r="N870" s="2">
        <f>ROUND(E870 * 0.7+F870 * 0.2+G870 * 0.1,2)</f>
        <v>67.599999999999994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87</v>
      </c>
      <c r="P870" s="2">
        <f>E870 - O870</f>
        <v>-21</v>
      </c>
      <c r="Q870" s="2">
        <f>ROUND(
  SIGN(P870)*
  IF(ABS(P870)&lt;=10,ABS(P870)*0.5,
     IF(ABS(P870)&lt;=15,5+(ABS(P870)-10)*(1.67/5),
        6.67+(ABS(P870)-15)*0.333)),
2)</f>
        <v>-8.67</v>
      </c>
    </row>
    <row r="871" spans="1:17" ht="34.5" customHeight="1" x14ac:dyDescent="0.3">
      <c r="A871" s="2">
        <v>2026</v>
      </c>
      <c r="B871" s="2">
        <v>870</v>
      </c>
      <c r="C871" s="13">
        <f>ROUND(MAX(MIN(N871 + Q871, 100), 0), 2)</f>
        <v>58.9</v>
      </c>
      <c r="D871" s="11" t="s">
        <v>1345</v>
      </c>
      <c r="E871" s="7">
        <v>62</v>
      </c>
      <c r="F871" s="2">
        <v>55</v>
      </c>
      <c r="G871" s="2">
        <v>35</v>
      </c>
      <c r="H871" s="11" t="s">
        <v>1256</v>
      </c>
      <c r="I871" s="2" t="s">
        <v>36</v>
      </c>
      <c r="J871" s="19" t="s">
        <v>1261</v>
      </c>
      <c r="M871" s="2">
        <f>IF(J871="1000+", 1000, (LEFT(J871,FIND("-",J871)-1)+RIGHT(J871,LEN(J871)-FIND("-",J871)))/2)</f>
        <v>20</v>
      </c>
      <c r="N871" s="2">
        <f>ROUND(E871 * 0.7+F871 * 0.2+G871 * 0.1,2)</f>
        <v>57.9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60</v>
      </c>
      <c r="P871" s="2">
        <f>E871 - O871</f>
        <v>2</v>
      </c>
      <c r="Q871" s="2">
        <f>ROUND(
  SIGN(P871)*
  IF(ABS(P871)&lt;=10,ABS(P871)*0.5,
     IF(ABS(P871)&lt;=15,5+(ABS(P871)-10)*(1.67/5),
        6.67+(ABS(P871)-15)*0.333)),
2)</f>
        <v>1</v>
      </c>
    </row>
    <row r="872" spans="1:17" ht="34.5" customHeight="1" x14ac:dyDescent="0.3">
      <c r="A872" s="2">
        <v>2026</v>
      </c>
      <c r="B872" s="2">
        <v>871</v>
      </c>
      <c r="C872" s="13">
        <f>ROUND(MAX(MIN(N872 + Q872, 100), 0), 2)</f>
        <v>58.9</v>
      </c>
      <c r="D872" s="2" t="s">
        <v>1418</v>
      </c>
      <c r="E872" s="7">
        <v>61</v>
      </c>
      <c r="F872" s="2">
        <v>58</v>
      </c>
      <c r="G872" s="2">
        <v>51</v>
      </c>
      <c r="H872" s="2" t="s">
        <v>1421</v>
      </c>
      <c r="I872" s="2" t="s">
        <v>36</v>
      </c>
      <c r="J872" s="3" t="s">
        <v>1428</v>
      </c>
      <c r="M872" s="2">
        <f>IF(J872="1000+", 1000, (LEFT(J872,FIND("-",J872)-1)+RIGHT(J872,LEN(J872)-FIND("-",J872)))/2)</f>
        <v>30</v>
      </c>
      <c r="N872" s="2">
        <f>ROUND(E872 * 0.7+F872 * 0.2+G872 * 0.1,2)</f>
        <v>59.4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62</v>
      </c>
      <c r="P872" s="2">
        <f>E872 - O872</f>
        <v>-1</v>
      </c>
      <c r="Q872" s="2">
        <f>ROUND(
  SIGN(P872)*
  IF(ABS(P872)&lt;=10,ABS(P872)*0.5,
     IF(ABS(P872)&lt;=15,5+(ABS(P872)-10)*(1.67/5),
        6.67+(ABS(P872)-15)*0.333)),
2)</f>
        <v>-0.5</v>
      </c>
    </row>
    <row r="873" spans="1:17" ht="34.5" customHeight="1" x14ac:dyDescent="0.3">
      <c r="B873" s="2">
        <v>872</v>
      </c>
      <c r="C873" s="13">
        <f>ROUND(MAX(MIN(N873 + Q873, 100), 0), 2)</f>
        <v>58.9</v>
      </c>
      <c r="D873" s="2" t="s">
        <v>719</v>
      </c>
      <c r="E873" s="7">
        <v>61</v>
      </c>
      <c r="F873" s="5">
        <v>72</v>
      </c>
      <c r="G873" s="2">
        <v>53</v>
      </c>
      <c r="H873" s="2" t="s">
        <v>48</v>
      </c>
      <c r="I873" s="2" t="s">
        <v>273</v>
      </c>
      <c r="J873" s="3" t="s">
        <v>23</v>
      </c>
      <c r="M873" s="2">
        <f>IF(J873="1000+", 1000, (LEFT(J873,FIND("-",J873)-1)+RIGHT(J873,LEN(J873)-FIND("-",J873)))/2)</f>
        <v>60</v>
      </c>
      <c r="N873" s="2">
        <f>ROUND(E873 * 0.7+F873 * 0.2+G873 * 0.1,2)</f>
        <v>62.4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68</v>
      </c>
      <c r="P873" s="2">
        <f>E873 - O873</f>
        <v>-7</v>
      </c>
      <c r="Q873" s="2">
        <f>ROUND(
  SIGN(P873)*
  IF(ABS(P873)&lt;=10,ABS(P873)*0.5,
     IF(ABS(P873)&lt;=15,5+(ABS(P873)-10)*(1.67/5),
        6.67+(ABS(P873)-15)*0.333)),
2)</f>
        <v>-3.5</v>
      </c>
    </row>
    <row r="874" spans="1:17" ht="34.5" customHeight="1" x14ac:dyDescent="0.3">
      <c r="A874" s="2">
        <v>2026</v>
      </c>
      <c r="B874" s="2">
        <v>873</v>
      </c>
      <c r="C874" s="13">
        <f>ROUND(MAX(MIN(N874 + Q874, 100), 0), 2)</f>
        <v>58.87</v>
      </c>
      <c r="D874" s="2" t="s">
        <v>1546</v>
      </c>
      <c r="E874" s="7">
        <v>64</v>
      </c>
      <c r="F874" s="7">
        <v>65</v>
      </c>
      <c r="G874" s="7">
        <v>64</v>
      </c>
      <c r="H874" s="2" t="s">
        <v>1564</v>
      </c>
      <c r="I874" s="2" t="s">
        <v>1566</v>
      </c>
      <c r="J874" s="3" t="s">
        <v>1572</v>
      </c>
      <c r="M874" s="2">
        <f>IF(J874="1000+", 1000, (LEFT(J874,FIND("-",J874)-1)+RIGHT(J874,LEN(J874)-FIND("-",J874)))/2)</f>
        <v>115</v>
      </c>
      <c r="N874" s="2">
        <f>ROUND(E874 * 0.7+F874 * 0.2+G874 * 0.1,2)</f>
        <v>64.2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75</v>
      </c>
      <c r="P874" s="2">
        <f>E874 - O874</f>
        <v>-11</v>
      </c>
      <c r="Q874" s="2">
        <f>ROUND(
  SIGN(P874)*
  IF(ABS(P874)&lt;=10,ABS(P874)*0.5,
     IF(ABS(P874)&lt;=15,5+(ABS(P874)-10)*(1.67/5),
        6.67+(ABS(P874)-15)*0.333)),
2)</f>
        <v>-5.33</v>
      </c>
    </row>
    <row r="875" spans="1:17" ht="34.5" customHeight="1" x14ac:dyDescent="0.3">
      <c r="B875" s="2">
        <v>874</v>
      </c>
      <c r="C875" s="13">
        <f>ROUND(MAX(MIN(N875 + Q875, 100), 0), 2)</f>
        <v>58.86</v>
      </c>
      <c r="D875" s="2" t="s">
        <v>752</v>
      </c>
      <c r="E875" s="7">
        <v>68</v>
      </c>
      <c r="F875" s="7">
        <v>64</v>
      </c>
      <c r="G875" s="2">
        <v>58</v>
      </c>
      <c r="H875" s="2" t="s">
        <v>197</v>
      </c>
      <c r="I875" s="2" t="s">
        <v>17</v>
      </c>
      <c r="J875" s="3" t="s">
        <v>14</v>
      </c>
      <c r="K875" s="2" t="s">
        <v>753</v>
      </c>
      <c r="M875" s="2">
        <f>IF(J875="1000+", 1000, (LEFT(J875,FIND("-",J875)-1)+RIGHT(J875,LEN(J875)-FIND("-",J875)))/2)</f>
        <v>225</v>
      </c>
      <c r="N875" s="2">
        <f>ROUND(E875 * 0.7+F875 * 0.2+G875 * 0.1,2)</f>
        <v>66.2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85</v>
      </c>
      <c r="P875" s="2">
        <f>E875 - O875</f>
        <v>-17</v>
      </c>
      <c r="Q875" s="2">
        <f>ROUND(
  SIGN(P875)*
  IF(ABS(P875)&lt;=10,ABS(P875)*0.5,
     IF(ABS(P875)&lt;=15,5+(ABS(P875)-10)*(1.67/5),
        6.67+(ABS(P875)-15)*0.333)),
2)</f>
        <v>-7.34</v>
      </c>
    </row>
    <row r="876" spans="1:17" ht="34.5" customHeight="1" x14ac:dyDescent="0.3">
      <c r="B876" s="2">
        <v>875</v>
      </c>
      <c r="C876" s="13">
        <f>ROUND(MAX(MIN(N876 + Q876, 100), 0), 2)</f>
        <v>58.86</v>
      </c>
      <c r="D876" s="2" t="s">
        <v>703</v>
      </c>
      <c r="E876" s="7">
        <v>62</v>
      </c>
      <c r="F876" s="6">
        <v>80</v>
      </c>
      <c r="G876" s="5">
        <v>78</v>
      </c>
      <c r="H876" s="2" t="s">
        <v>31</v>
      </c>
      <c r="I876" s="2" t="s">
        <v>298</v>
      </c>
      <c r="J876" s="3" t="s">
        <v>28</v>
      </c>
      <c r="M876" s="2">
        <f>IF(J876="1000+", 1000, (LEFT(J876,FIND("-",J876)-1)+RIGHT(J876,LEN(J876)-FIND("-",J876)))/2)</f>
        <v>200</v>
      </c>
      <c r="N876" s="2">
        <f>ROUND(E876 * 0.7+F876 * 0.2+G876 * 0.1,2)</f>
        <v>67.2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82</v>
      </c>
      <c r="P876" s="2">
        <f>E876 - O876</f>
        <v>-20</v>
      </c>
      <c r="Q876" s="2">
        <f>ROUND(
  SIGN(P876)*
  IF(ABS(P876)&lt;=10,ABS(P876)*0.5,
     IF(ABS(P876)&lt;=15,5+(ABS(P876)-10)*(1.67/5),
        6.67+(ABS(P876)-15)*0.333)),
2)</f>
        <v>-8.34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58.8</v>
      </c>
      <c r="D877" s="2" t="s">
        <v>1398</v>
      </c>
      <c r="E877" s="7">
        <v>63</v>
      </c>
      <c r="F877" s="2">
        <v>55</v>
      </c>
      <c r="G877" s="2">
        <v>47</v>
      </c>
      <c r="H877" s="2" t="s">
        <v>1408</v>
      </c>
      <c r="I877" s="2" t="s">
        <v>1422</v>
      </c>
      <c r="J877" s="3" t="s">
        <v>1427</v>
      </c>
      <c r="M877" s="2">
        <f>IF(J877="1000+", 1000, (LEFT(J877,FIND("-",J877)-1)+RIGHT(J877,LEN(J877)-FIND("-",J877)))/2)</f>
        <v>45</v>
      </c>
      <c r="N877" s="2">
        <f>ROUND(E877 * 0.7+F877 * 0.2+G877 * 0.1,2)</f>
        <v>59.8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65</v>
      </c>
      <c r="P877" s="2">
        <f>E877 - O877</f>
        <v>-2</v>
      </c>
      <c r="Q877" s="2">
        <f>ROUND(
  SIGN(P877)*
  IF(ABS(P877)&lt;=10,ABS(P877)*0.5,
     IF(ABS(P877)&lt;=15,5+(ABS(P877)-10)*(1.67/5),
        6.67+(ABS(P877)-15)*0.333)),
2)</f>
        <v>-1</v>
      </c>
    </row>
    <row r="878" spans="1:17" ht="34.5" customHeight="1" x14ac:dyDescent="0.3">
      <c r="B878" s="2">
        <v>877</v>
      </c>
      <c r="C878" s="13">
        <f>ROUND(MAX(MIN(N878 + Q878, 100), 0), 2)</f>
        <v>58.73</v>
      </c>
      <c r="D878" s="2" t="s">
        <v>833</v>
      </c>
      <c r="E878" s="7">
        <v>68</v>
      </c>
      <c r="F878" s="2">
        <v>55</v>
      </c>
      <c r="G878" s="2">
        <v>58</v>
      </c>
      <c r="H878" s="2" t="s">
        <v>434</v>
      </c>
      <c r="I878" s="2" t="s">
        <v>36</v>
      </c>
      <c r="J878" s="3" t="s">
        <v>88</v>
      </c>
      <c r="M878" s="2">
        <f>IF(J878="1000+", 1000, (LEFT(J878,FIND("-",J878)-1)+RIGHT(J878,LEN(J878)-FIND("-",J878)))/2)</f>
        <v>150</v>
      </c>
      <c r="N878" s="2">
        <f>ROUND(E878 * 0.7+F878 * 0.2+G878 * 0.1,2)</f>
        <v>64.400000000000006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80</v>
      </c>
      <c r="P878" s="2">
        <f>E878 - O878</f>
        <v>-12</v>
      </c>
      <c r="Q878" s="2">
        <f>ROUND(
  SIGN(P878)*
  IF(ABS(P878)&lt;=10,ABS(P878)*0.5,
     IF(ABS(P878)&lt;=15,5+(ABS(P878)-10)*(1.67/5),
        6.67+(ABS(P878)-15)*0.333)),
2)</f>
        <v>-5.67</v>
      </c>
    </row>
    <row r="879" spans="1:17" ht="34.5" customHeight="1" x14ac:dyDescent="0.3">
      <c r="B879" s="2">
        <v>878</v>
      </c>
      <c r="C879" s="13">
        <f>ROUND(MAX(MIN(N879 + Q879, 100), 0), 2)</f>
        <v>58.73</v>
      </c>
      <c r="D879" s="2" t="s">
        <v>809</v>
      </c>
      <c r="E879" s="7">
        <v>67</v>
      </c>
      <c r="F879" s="7">
        <v>60</v>
      </c>
      <c r="G879" s="7">
        <v>65</v>
      </c>
      <c r="H879" s="2" t="s">
        <v>71</v>
      </c>
      <c r="I879" s="2" t="s">
        <v>810</v>
      </c>
      <c r="J879" s="3" t="s">
        <v>28</v>
      </c>
      <c r="M879" s="2">
        <f>IF(J879="1000+", 1000, (LEFT(J879,FIND("-",J879)-1)+RIGHT(J879,LEN(J879)-FIND("-",J879)))/2)</f>
        <v>200</v>
      </c>
      <c r="N879" s="2">
        <f>ROUND(E879 * 0.7+F879 * 0.2+G879 * 0.1,2)</f>
        <v>65.400000000000006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82</v>
      </c>
      <c r="P879" s="2">
        <f>E879 - O879</f>
        <v>-15</v>
      </c>
      <c r="Q879" s="2">
        <f>ROUND(
  SIGN(P879)*
  IF(ABS(P879)&lt;=10,ABS(P879)*0.5,
     IF(ABS(P879)&lt;=15,5+(ABS(P879)-10)*(1.67/5),
        6.67+(ABS(P879)-15)*0.333)),
2)</f>
        <v>-6.67</v>
      </c>
    </row>
    <row r="880" spans="1:17" ht="34.5" customHeight="1" x14ac:dyDescent="0.3">
      <c r="B880" s="2">
        <v>879</v>
      </c>
      <c r="C880" s="13">
        <f>ROUND(MAX(MIN(N880 + Q880, 100), 0), 2)</f>
        <v>58.7</v>
      </c>
      <c r="D880" s="2" t="s">
        <v>841</v>
      </c>
      <c r="E880" s="7">
        <v>69</v>
      </c>
      <c r="F880" s="2">
        <v>50</v>
      </c>
      <c r="G880" s="7">
        <v>64</v>
      </c>
      <c r="H880" s="2" t="s">
        <v>75</v>
      </c>
      <c r="I880" s="2" t="s">
        <v>394</v>
      </c>
      <c r="J880" s="3" t="s">
        <v>28</v>
      </c>
      <c r="M880" s="2">
        <f>IF(J880="1000+", 1000, (LEFT(J880,FIND("-",J880)-1)+RIGHT(J880,LEN(J880)-FIND("-",J880)))/2)</f>
        <v>200</v>
      </c>
      <c r="N880" s="2">
        <f>ROUND(E880 * 0.7+F880 * 0.2+G880 * 0.1,2)</f>
        <v>64.7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82</v>
      </c>
      <c r="P880" s="2">
        <f>E880 - O880</f>
        <v>-13</v>
      </c>
      <c r="Q880" s="2">
        <f>ROUND(
  SIGN(P880)*
  IF(ABS(P880)&lt;=10,ABS(P880)*0.5,
     IF(ABS(P880)&lt;=15,5+(ABS(P880)-10)*(1.67/5),
        6.67+(ABS(P880)-15)*0.333)),
2)</f>
        <v>-6</v>
      </c>
    </row>
    <row r="881" spans="1:17" ht="34.5" customHeight="1" x14ac:dyDescent="0.3">
      <c r="B881" s="2">
        <v>880</v>
      </c>
      <c r="C881" s="13">
        <f>ROUND(MAX(MIN(N881 + Q881, 100), 0), 2)</f>
        <v>58.7</v>
      </c>
      <c r="D881" s="2" t="s">
        <v>830</v>
      </c>
      <c r="E881" s="7">
        <v>61</v>
      </c>
      <c r="F881" s="2">
        <v>56</v>
      </c>
      <c r="G881" s="2">
        <v>53</v>
      </c>
      <c r="H881" s="2" t="s">
        <v>58</v>
      </c>
      <c r="I881" s="2" t="s">
        <v>36</v>
      </c>
      <c r="J881" s="3" t="s">
        <v>146</v>
      </c>
      <c r="M881" s="2">
        <f>IF(J881="1000+", 1000, (LEFT(J881,FIND("-",J881)-1)+RIGHT(J881,LEN(J881)-FIND("-",J881)))/2)</f>
        <v>30</v>
      </c>
      <c r="N881" s="2">
        <f>ROUND(E881 * 0.7+F881 * 0.2+G881 * 0.1,2)</f>
        <v>59.2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62</v>
      </c>
      <c r="P881" s="2">
        <f>E881 - O881</f>
        <v>-1</v>
      </c>
      <c r="Q881" s="2">
        <f>ROUND(
  SIGN(P881)*
  IF(ABS(P881)&lt;=10,ABS(P881)*0.5,
     IF(ABS(P881)&lt;=15,5+(ABS(P881)-10)*(1.67/5),
        6.67+(ABS(P881)-15)*0.333)),
2)</f>
        <v>-0.5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58.7</v>
      </c>
      <c r="D882" s="2" t="s">
        <v>1356</v>
      </c>
      <c r="E882" s="7">
        <v>65</v>
      </c>
      <c r="F882" s="7">
        <v>62</v>
      </c>
      <c r="G882" s="2">
        <v>58</v>
      </c>
      <c r="H882" s="2" t="s">
        <v>1257</v>
      </c>
      <c r="I882" s="2" t="s">
        <v>1276</v>
      </c>
      <c r="J882" s="3" t="s">
        <v>1301</v>
      </c>
      <c r="M882" s="2">
        <f>IF(J882="1000+", 1000, (LEFT(J882,FIND("-",J882)-1)+RIGHT(J882,LEN(J882)-FIND("-",J882)))/2)</f>
        <v>115</v>
      </c>
      <c r="N882" s="2">
        <f>ROUND(E882 * 0.7+F882 * 0.2+G882 * 0.1,2)</f>
        <v>63.7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75</v>
      </c>
      <c r="P882" s="2">
        <f>E882 - O882</f>
        <v>-10</v>
      </c>
      <c r="Q882" s="2">
        <f>ROUND(
  SIGN(P882)*
  IF(ABS(P882)&lt;=10,ABS(P882)*0.5,
     IF(ABS(P882)&lt;=15,5+(ABS(P882)-10)*(1.67/5),
        6.67+(ABS(P882)-15)*0.333)),
2)</f>
        <v>-5</v>
      </c>
    </row>
    <row r="883" spans="1:17" ht="34.5" customHeight="1" x14ac:dyDescent="0.3">
      <c r="B883" s="2">
        <v>882</v>
      </c>
      <c r="C883" s="13">
        <f>ROUND(MAX(MIN(N883 + Q883, 100), 0), 2)</f>
        <v>58.6</v>
      </c>
      <c r="D883" s="2" t="s">
        <v>832</v>
      </c>
      <c r="E883" s="7">
        <v>65</v>
      </c>
      <c r="F883" s="2">
        <v>50</v>
      </c>
      <c r="G883" s="2">
        <v>56</v>
      </c>
      <c r="H883" s="2" t="s">
        <v>197</v>
      </c>
      <c r="I883" s="2" t="s">
        <v>298</v>
      </c>
      <c r="J883" s="3" t="s">
        <v>18</v>
      </c>
      <c r="M883" s="2">
        <f>IF(J883="1000+", 1000, (LEFT(J883,FIND("-",J883)-1)+RIGHT(J883,LEN(J883)-FIND("-",J883)))/2)</f>
        <v>75</v>
      </c>
      <c r="N883" s="2">
        <f>ROUND(E883 * 0.7+F883 * 0.2+G883 * 0.1,2)</f>
        <v>61.1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70</v>
      </c>
      <c r="P883" s="2">
        <f>E883 - O883</f>
        <v>-5</v>
      </c>
      <c r="Q883" s="2">
        <f>ROUND(
  SIGN(P883)*
  IF(ABS(P883)&lt;=10,ABS(P883)*0.5,
     IF(ABS(P883)&lt;=15,5+(ABS(P883)-10)*(1.67/5),
        6.67+(ABS(P883)-15)*0.333)),
2)</f>
        <v>-2.5</v>
      </c>
    </row>
    <row r="884" spans="1:17" ht="34.5" customHeight="1" x14ac:dyDescent="0.3">
      <c r="B884" s="2">
        <v>883</v>
      </c>
      <c r="C884" s="13">
        <f>ROUND(MAX(MIN(N884 + Q884, 100), 0), 2)</f>
        <v>58.6</v>
      </c>
      <c r="D884" s="2" t="s">
        <v>844</v>
      </c>
      <c r="E884" s="7">
        <v>62</v>
      </c>
      <c r="F884" s="2">
        <v>55</v>
      </c>
      <c r="G884" s="2">
        <v>42</v>
      </c>
      <c r="H884" s="2" t="s">
        <v>452</v>
      </c>
      <c r="I884" s="2" t="s">
        <v>218</v>
      </c>
      <c r="J884" s="3" t="s">
        <v>146</v>
      </c>
      <c r="M884" s="2">
        <f>IF(J884="1000+", 1000, (LEFT(J884,FIND("-",J884)-1)+RIGHT(J884,LEN(J884)-FIND("-",J884)))/2)</f>
        <v>30</v>
      </c>
      <c r="N884" s="2">
        <f>ROUND(E884 * 0.7+F884 * 0.2+G884 * 0.1,2)</f>
        <v>58.6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62</v>
      </c>
      <c r="P884" s="2">
        <f>E884 - O884</f>
        <v>0</v>
      </c>
      <c r="Q884" s="2">
        <f>ROUND(
  SIGN(P884)*
  IF(ABS(P884)&lt;=10,ABS(P884)*0.5,
     IF(ABS(P884)&lt;=15,5+(ABS(P884)-10)*(1.67/5),
        6.67+(ABS(P884)-15)*0.333)),
2)</f>
        <v>0</v>
      </c>
    </row>
    <row r="885" spans="1:17" ht="34.5" customHeight="1" x14ac:dyDescent="0.3">
      <c r="A885" s="2">
        <v>2026</v>
      </c>
      <c r="B885" s="2">
        <v>884</v>
      </c>
      <c r="C885" s="13">
        <f>ROUND(MAX(MIN(N885 + Q885, 100), 0), 2)</f>
        <v>58.6</v>
      </c>
      <c r="D885" s="11" t="s">
        <v>1314</v>
      </c>
      <c r="E885" s="7">
        <v>61</v>
      </c>
      <c r="F885" s="2">
        <v>56</v>
      </c>
      <c r="G885" s="2">
        <v>42</v>
      </c>
      <c r="H885" s="11" t="s">
        <v>1256</v>
      </c>
      <c r="I885" s="2" t="s">
        <v>36</v>
      </c>
      <c r="J885" s="3" t="s">
        <v>132</v>
      </c>
      <c r="M885" s="2">
        <f>IF(J885="1000+", 1000, (LEFT(J885,FIND("-",J885)-1)+RIGHT(J885,LEN(J885)-FIND("-",J885)))/2)</f>
        <v>20</v>
      </c>
      <c r="N885" s="2">
        <f>ROUND(E885 * 0.7+F885 * 0.2+G885 * 0.1,2)</f>
        <v>58.1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60</v>
      </c>
      <c r="P885" s="2">
        <f>E885 - O885</f>
        <v>1</v>
      </c>
      <c r="Q885" s="2">
        <f>ROUND(
  SIGN(P885)*
  IF(ABS(P885)&lt;=10,ABS(P885)*0.5,
     IF(ABS(P885)&lt;=15,5+(ABS(P885)-10)*(1.67/5),
        6.67+(ABS(P885)-15)*0.333)),
2)</f>
        <v>0.5</v>
      </c>
    </row>
    <row r="886" spans="1:17" ht="34.5" customHeight="1" x14ac:dyDescent="0.3">
      <c r="B886" s="2">
        <v>885</v>
      </c>
      <c r="C886" s="13">
        <f>ROUND(MAX(MIN(N886 + Q886, 100), 0), 2)</f>
        <v>58.6</v>
      </c>
      <c r="D886" s="2" t="s">
        <v>778</v>
      </c>
      <c r="E886" s="7">
        <v>62</v>
      </c>
      <c r="F886" s="7">
        <v>64</v>
      </c>
      <c r="G886" s="7">
        <v>64</v>
      </c>
      <c r="H886" s="2" t="s">
        <v>48</v>
      </c>
      <c r="I886" s="2" t="s">
        <v>17</v>
      </c>
      <c r="J886" s="3" t="s">
        <v>18</v>
      </c>
      <c r="M886" s="2">
        <f>IF(J886="1000+", 1000, (LEFT(J886,FIND("-",J886)-1)+RIGHT(J886,LEN(J886)-FIND("-",J886)))/2)</f>
        <v>75</v>
      </c>
      <c r="N886" s="2">
        <f>ROUND(E886 * 0.7+F886 * 0.2+G886 * 0.1,2)</f>
        <v>62.6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70</v>
      </c>
      <c r="P886" s="2">
        <f>E886 - O886</f>
        <v>-8</v>
      </c>
      <c r="Q886" s="2">
        <f>ROUND(
  SIGN(P886)*
  IF(ABS(P886)&lt;=10,ABS(P886)*0.5,
     IF(ABS(P886)&lt;=15,5+(ABS(P886)-10)*(1.67/5),
        6.67+(ABS(P886)-15)*0.333)),
2)</f>
        <v>-4</v>
      </c>
    </row>
    <row r="887" spans="1:17" ht="34.5" customHeight="1" x14ac:dyDescent="0.3">
      <c r="B887" s="2">
        <v>886</v>
      </c>
      <c r="C887" s="13">
        <f>ROUND(MAX(MIN(N887 + Q887, 100), 0), 2)</f>
        <v>58.53</v>
      </c>
      <c r="D887" s="2" t="s">
        <v>772</v>
      </c>
      <c r="E887" s="7">
        <v>69</v>
      </c>
      <c r="F887" s="7">
        <v>63</v>
      </c>
      <c r="G887" s="7">
        <v>63</v>
      </c>
      <c r="H887" s="2" t="s">
        <v>533</v>
      </c>
      <c r="I887" s="2" t="s">
        <v>513</v>
      </c>
      <c r="J887" s="3" t="s">
        <v>42</v>
      </c>
      <c r="K887" s="2" t="s">
        <v>773</v>
      </c>
      <c r="M887" s="2">
        <f>IF(J887="1000+", 1000, (LEFT(J887,FIND("-",J887)-1)+RIGHT(J887,LEN(J887)-FIND("-",J887)))/2)</f>
        <v>600</v>
      </c>
      <c r="N887" s="2">
        <f>ROUND(E887 * 0.7+F887 * 0.2+G887 * 0.1,2)</f>
        <v>67.2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90</v>
      </c>
      <c r="P887" s="2">
        <f>E887 - O887</f>
        <v>-21</v>
      </c>
      <c r="Q887" s="2">
        <f>ROUND(
  SIGN(P887)*
  IF(ABS(P887)&lt;=10,ABS(P887)*0.5,
     IF(ABS(P887)&lt;=15,5+(ABS(P887)-10)*(1.67/5),
        6.67+(ABS(P887)-15)*0.333)),
2)</f>
        <v>-8.67</v>
      </c>
    </row>
    <row r="888" spans="1:17" ht="34.5" customHeight="1" x14ac:dyDescent="0.3">
      <c r="B888" s="2">
        <v>887</v>
      </c>
      <c r="C888" s="13">
        <f>ROUND(MAX(MIN(N888 + Q888, 100), 0), 2)</f>
        <v>58.53</v>
      </c>
      <c r="D888" s="2" t="s">
        <v>777</v>
      </c>
      <c r="E888" s="7">
        <v>66</v>
      </c>
      <c r="F888" s="5">
        <v>75</v>
      </c>
      <c r="G888" s="7">
        <v>60</v>
      </c>
      <c r="H888" s="2" t="s">
        <v>85</v>
      </c>
      <c r="I888" s="2" t="s">
        <v>27</v>
      </c>
      <c r="J888" s="3" t="s">
        <v>65</v>
      </c>
      <c r="M888" s="2">
        <f>IF(J888="1000+", 1000, (LEFT(J888,FIND("-",J888)-1)+RIGHT(J888,LEN(J888)-FIND("-",J888)))/2)</f>
        <v>250</v>
      </c>
      <c r="N888" s="2">
        <f>ROUND(E888 * 0.7+F888 * 0.2+G888 * 0.1,2)</f>
        <v>67.2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87</v>
      </c>
      <c r="P888" s="2">
        <f>E888 - O888</f>
        <v>-21</v>
      </c>
      <c r="Q888" s="2">
        <f>ROUND(
  SIGN(P888)*
  IF(ABS(P888)&lt;=10,ABS(P888)*0.5,
     IF(ABS(P888)&lt;=15,5+(ABS(P888)-10)*(1.67/5),
        6.67+(ABS(P888)-15)*0.333)),
2)</f>
        <v>-8.67</v>
      </c>
    </row>
    <row r="889" spans="1:17" ht="34.5" customHeight="1" x14ac:dyDescent="0.3">
      <c r="B889" s="2">
        <v>888</v>
      </c>
      <c r="C889" s="13">
        <f>ROUND(MAX(MIN(N889 + Q889, 100), 0), 2)</f>
        <v>58.5</v>
      </c>
      <c r="D889" s="2" t="s">
        <v>574</v>
      </c>
      <c r="E889" s="7">
        <v>61</v>
      </c>
      <c r="F889" s="6">
        <v>89</v>
      </c>
      <c r="G889" s="7">
        <v>60</v>
      </c>
      <c r="H889" s="2" t="s">
        <v>297</v>
      </c>
      <c r="I889" s="2" t="s">
        <v>27</v>
      </c>
      <c r="J889" s="3" t="s">
        <v>88</v>
      </c>
      <c r="M889" s="2">
        <f>IF(J889="1000+", 1000, (LEFT(J889,FIND("-",J889)-1)+RIGHT(J889,LEN(J889)-FIND("-",J889)))/2)</f>
        <v>150</v>
      </c>
      <c r="N889" s="2">
        <f>ROUND(E889 * 0.7+F889 * 0.2+G889 * 0.1,2)</f>
        <v>66.5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80</v>
      </c>
      <c r="P889" s="2">
        <f>E889 - O889</f>
        <v>-19</v>
      </c>
      <c r="Q889" s="2">
        <f>ROUND(
  SIGN(P889)*
  IF(ABS(P889)&lt;=10,ABS(P889)*0.5,
     IF(ABS(P889)&lt;=15,5+(ABS(P889)-10)*(1.67/5),
        6.67+(ABS(P889)-15)*0.333)),
2)</f>
        <v>-8</v>
      </c>
    </row>
    <row r="890" spans="1:17" ht="34.5" customHeight="1" x14ac:dyDescent="0.3">
      <c r="B890" s="2">
        <v>889</v>
      </c>
      <c r="C890" s="13">
        <f>ROUND(MAX(MIN(N890 + Q890, 100), 0), 2)</f>
        <v>58.46</v>
      </c>
      <c r="D890" s="2" t="s">
        <v>799</v>
      </c>
      <c r="E890" s="5">
        <v>70</v>
      </c>
      <c r="F890" s="2">
        <v>48</v>
      </c>
      <c r="G890" s="5">
        <v>72</v>
      </c>
      <c r="H890" s="2" t="s">
        <v>48</v>
      </c>
      <c r="I890" s="2" t="s">
        <v>41</v>
      </c>
      <c r="J890" s="3" t="s">
        <v>65</v>
      </c>
      <c r="K890" s="2" t="s">
        <v>800</v>
      </c>
      <c r="M890" s="2">
        <f>IF(J890="1000+", 1000, (LEFT(J890,FIND("-",J890)-1)+RIGHT(J890,LEN(J890)-FIND("-",J890)))/2)</f>
        <v>250</v>
      </c>
      <c r="N890" s="2">
        <f>ROUND(E890 * 0.7+F890 * 0.2+G890 * 0.1,2)</f>
        <v>65.8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87</v>
      </c>
      <c r="P890" s="2">
        <f>E890 - O890</f>
        <v>-17</v>
      </c>
      <c r="Q890" s="2">
        <f>ROUND(
  SIGN(P890)*
  IF(ABS(P890)&lt;=10,ABS(P890)*0.5,
     IF(ABS(P890)&lt;=15,5+(ABS(P890)-10)*(1.67/5),
        6.67+(ABS(P890)-15)*0.333)),
2)</f>
        <v>-7.34</v>
      </c>
    </row>
    <row r="891" spans="1:17" ht="34.5" customHeight="1" x14ac:dyDescent="0.3">
      <c r="B891" s="2">
        <v>890</v>
      </c>
      <c r="C891" s="13">
        <f>ROUND(MAX(MIN(N891 + Q891, 100), 0), 2)</f>
        <v>58.43</v>
      </c>
      <c r="D891" s="2" t="s">
        <v>731</v>
      </c>
      <c r="E891" s="7">
        <v>63</v>
      </c>
      <c r="F891" s="6">
        <v>80</v>
      </c>
      <c r="G891" s="6">
        <v>80</v>
      </c>
      <c r="H891" s="2" t="s">
        <v>40</v>
      </c>
      <c r="I891" s="2" t="s">
        <v>273</v>
      </c>
      <c r="J891" s="3" t="s">
        <v>65</v>
      </c>
      <c r="M891" s="2">
        <f>IF(J891="1000+", 1000, (LEFT(J891,FIND("-",J891)-1)+RIGHT(J891,LEN(J891)-FIND("-",J891)))/2)</f>
        <v>250</v>
      </c>
      <c r="N891" s="2">
        <f>ROUND(E891 * 0.7+F891 * 0.2+G891 * 0.1,2)</f>
        <v>68.099999999999994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87</v>
      </c>
      <c r="P891" s="2">
        <f>E891 - O891</f>
        <v>-24</v>
      </c>
      <c r="Q891" s="2">
        <f>ROUND(
  SIGN(P891)*
  IF(ABS(P891)&lt;=10,ABS(P891)*0.5,
     IF(ABS(P891)&lt;=15,5+(ABS(P891)-10)*(1.67/5),
        6.67+(ABS(P891)-15)*0.333)),
2)</f>
        <v>-9.67</v>
      </c>
    </row>
    <row r="892" spans="1:17" ht="34.5" customHeight="1" x14ac:dyDescent="0.3">
      <c r="B892" s="2">
        <v>891</v>
      </c>
      <c r="C892" s="13">
        <f>ROUND(MAX(MIN(N892 + Q892, 100), 0), 2)</f>
        <v>58.4</v>
      </c>
      <c r="D892" s="2" t="s">
        <v>821</v>
      </c>
      <c r="E892" s="7">
        <v>62</v>
      </c>
      <c r="F892" s="2">
        <v>55</v>
      </c>
      <c r="G892" s="2">
        <v>55</v>
      </c>
      <c r="H892" s="2" t="s">
        <v>48</v>
      </c>
      <c r="I892" s="2" t="s">
        <v>218</v>
      </c>
      <c r="J892" s="3" t="s">
        <v>32</v>
      </c>
      <c r="M892" s="2">
        <f>IF(J892="1000+", 1000, (LEFT(J892,FIND("-",J892)-1)+RIGHT(J892,LEN(J892)-FIND("-",J892)))/2)</f>
        <v>45</v>
      </c>
      <c r="N892" s="2">
        <f>ROUND(E892 * 0.7+F892 * 0.2+G892 * 0.1,2)</f>
        <v>59.9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65</v>
      </c>
      <c r="P892" s="2">
        <f>E892 - O892</f>
        <v>-3</v>
      </c>
      <c r="Q892" s="2">
        <f>ROUND(
  SIGN(P892)*
  IF(ABS(P892)&lt;=10,ABS(P892)*0.5,
     IF(ABS(P892)&lt;=15,5+(ABS(P892)-10)*(1.67/5),
        6.67+(ABS(P892)-15)*0.333)),
2)</f>
        <v>-1.5</v>
      </c>
    </row>
    <row r="893" spans="1:17" ht="34.5" customHeight="1" x14ac:dyDescent="0.3">
      <c r="A893" s="2">
        <v>2026</v>
      </c>
      <c r="B893" s="2">
        <v>892</v>
      </c>
      <c r="C893" s="13">
        <f>ROUND(MAX(MIN(N893 + Q893, 100), 0), 2)</f>
        <v>58.4</v>
      </c>
      <c r="D893" s="2" t="s">
        <v>1740</v>
      </c>
      <c r="E893" s="7">
        <v>64</v>
      </c>
      <c r="F893" s="7">
        <v>61</v>
      </c>
      <c r="G893" s="2">
        <v>54</v>
      </c>
      <c r="H893" s="2" t="s">
        <v>1723</v>
      </c>
      <c r="I893" s="2" t="s">
        <v>1741</v>
      </c>
      <c r="J893" s="3" t="s">
        <v>1733</v>
      </c>
      <c r="M893" s="2">
        <f>IF(J893="1000+", 1000, (LEFT(J893,FIND("-",J893)-1)+RIGHT(J893,LEN(J893)-FIND("-",J893)))/2)</f>
        <v>105</v>
      </c>
      <c r="N893" s="2">
        <f>ROUND(E893 * 0.7+F893 * 0.2+G893 * 0.1,2)</f>
        <v>62.4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72</v>
      </c>
      <c r="P893" s="2">
        <f>E893 - O893</f>
        <v>-8</v>
      </c>
      <c r="Q893" s="2">
        <f>ROUND(
  SIGN(P893)*
  IF(ABS(P893)&lt;=10,ABS(P893)*0.5,
     IF(ABS(P893)&lt;=15,5+(ABS(P893)-10)*(1.67/5),
        6.67+(ABS(P893)-15)*0.333)),
2)</f>
        <v>-4</v>
      </c>
    </row>
    <row r="894" spans="1:17" ht="34.5" customHeight="1" x14ac:dyDescent="0.3">
      <c r="A894" s="2">
        <v>2026</v>
      </c>
      <c r="B894" s="2">
        <v>893</v>
      </c>
      <c r="C894" s="13">
        <f>ROUND(MAX(MIN(N894 + Q894, 100), 0), 2)</f>
        <v>58.4</v>
      </c>
      <c r="D894" s="2" t="s">
        <v>1551</v>
      </c>
      <c r="E894" s="2">
        <v>58</v>
      </c>
      <c r="F894" s="7">
        <v>62</v>
      </c>
      <c r="G894" s="2">
        <v>39</v>
      </c>
      <c r="H894" s="2" t="s">
        <v>1564</v>
      </c>
      <c r="I894" s="2" t="s">
        <v>36</v>
      </c>
      <c r="J894" s="3" t="s">
        <v>1575</v>
      </c>
      <c r="M894" s="2">
        <f>IF(J894="1000+", 1000, (LEFT(J894,FIND("-",J894)-1)+RIGHT(J894,LEN(J894)-FIND("-",J894)))/2)</f>
        <v>15</v>
      </c>
      <c r="N894" s="2">
        <f>ROUND(E894 * 0.7+F894 * 0.2+G894 * 0.1,2)</f>
        <v>56.9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55</v>
      </c>
      <c r="P894" s="2">
        <f>E894 - O894</f>
        <v>3</v>
      </c>
      <c r="Q894" s="2">
        <f>ROUND(
  SIGN(P894)*
  IF(ABS(P894)&lt;=10,ABS(P894)*0.5,
     IF(ABS(P894)&lt;=15,5+(ABS(P894)-10)*(1.67/5),
        6.67+(ABS(P894)-15)*0.333)),
2)</f>
        <v>1.5</v>
      </c>
    </row>
    <row r="895" spans="1:17" ht="34.5" customHeight="1" x14ac:dyDescent="0.3">
      <c r="B895" s="2">
        <v>894</v>
      </c>
      <c r="C895" s="13">
        <f>ROUND(MAX(MIN(N895 + Q895, 100), 0), 2)</f>
        <v>58.4</v>
      </c>
      <c r="D895" s="2" t="s">
        <v>793</v>
      </c>
      <c r="E895" s="7">
        <v>62</v>
      </c>
      <c r="F895" s="5">
        <v>74</v>
      </c>
      <c r="G895" s="7">
        <v>62</v>
      </c>
      <c r="H895" s="2" t="s">
        <v>135</v>
      </c>
      <c r="I895" s="2" t="s">
        <v>17</v>
      </c>
      <c r="J895" s="3" t="s">
        <v>140</v>
      </c>
      <c r="M895" s="2">
        <f>IF(J895="1000+", 1000, (LEFT(J895,FIND("-",J895)-1)+RIGHT(J895,LEN(J895)-FIND("-",J895)))/2)</f>
        <v>115</v>
      </c>
      <c r="N895" s="2">
        <f>ROUND(E895 * 0.7+F895 * 0.2+G895 * 0.1,2)</f>
        <v>64.400000000000006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75</v>
      </c>
      <c r="P895" s="2">
        <f>E895 - O895</f>
        <v>-13</v>
      </c>
      <c r="Q895" s="2">
        <f>ROUND(
  SIGN(P895)*
  IF(ABS(P895)&lt;=10,ABS(P895)*0.5,
     IF(ABS(P895)&lt;=15,5+(ABS(P895)-10)*(1.67/5),
        6.67+(ABS(P895)-15)*0.333)),
2)</f>
        <v>-6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58.3</v>
      </c>
      <c r="D896" s="2" t="s">
        <v>1791</v>
      </c>
      <c r="E896" s="7">
        <v>64</v>
      </c>
      <c r="F896" s="2">
        <v>55</v>
      </c>
      <c r="G896" s="2">
        <v>45</v>
      </c>
      <c r="H896" s="2" t="s">
        <v>1802</v>
      </c>
      <c r="I896" s="2" t="s">
        <v>1385</v>
      </c>
      <c r="J896" s="3" t="s">
        <v>1302</v>
      </c>
      <c r="M896" s="2">
        <f>IF(J896="1000+", 1000, (LEFT(J896,FIND("-",J896)-1)+RIGHT(J896,LEN(J896)-FIND("-",J896)))/2)</f>
        <v>60</v>
      </c>
      <c r="N896" s="2">
        <f>ROUND(E896 * 0.7+F896 * 0.2+G896 * 0.1,2)</f>
        <v>60.3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68</v>
      </c>
      <c r="P896" s="2">
        <f>E896 - O896</f>
        <v>-4</v>
      </c>
      <c r="Q896" s="2">
        <f>ROUND(
  SIGN(P896)*
  IF(ABS(P896)&lt;=10,ABS(P896)*0.5,
     IF(ABS(P896)&lt;=15,5+(ABS(P896)-10)*(1.67/5),
        6.67+(ABS(P896)-15)*0.333)),
2)</f>
        <v>-2</v>
      </c>
    </row>
    <row r="897" spans="1:17" ht="34.5" customHeight="1" x14ac:dyDescent="0.3">
      <c r="B897" s="2">
        <v>896</v>
      </c>
      <c r="C897" s="13">
        <f>ROUND(MAX(MIN(N897 + Q897, 100), 0), 2)</f>
        <v>58.3</v>
      </c>
      <c r="D897" s="2" t="s">
        <v>764</v>
      </c>
      <c r="E897" s="7">
        <v>60</v>
      </c>
      <c r="F897" s="7">
        <v>68</v>
      </c>
      <c r="G897" s="2">
        <v>52</v>
      </c>
      <c r="H897" s="2" t="s">
        <v>416</v>
      </c>
      <c r="I897" s="2" t="s">
        <v>417</v>
      </c>
      <c r="J897" s="3" t="s">
        <v>32</v>
      </c>
      <c r="M897" s="2">
        <f>IF(J897="1000+", 1000, (LEFT(J897,FIND("-",J897)-1)+RIGHT(J897,LEN(J897)-FIND("-",J897)))/2)</f>
        <v>45</v>
      </c>
      <c r="N897" s="2">
        <f>ROUND(E897 * 0.7+F897 * 0.2+G897 * 0.1,2)</f>
        <v>60.8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65</v>
      </c>
      <c r="P897" s="2">
        <f>E897 - O897</f>
        <v>-5</v>
      </c>
      <c r="Q897" s="2">
        <f>ROUND(
  SIGN(P897)*
  IF(ABS(P897)&lt;=10,ABS(P897)*0.5,
     IF(ABS(P897)&lt;=15,5+(ABS(P897)-10)*(1.67/5),
        6.67+(ABS(P897)-15)*0.333)),
2)</f>
        <v>-2.5</v>
      </c>
    </row>
    <row r="898" spans="1:17" ht="34.5" customHeight="1" x14ac:dyDescent="0.3">
      <c r="B898" s="2">
        <v>897</v>
      </c>
      <c r="C898" s="13">
        <f>ROUND(MAX(MIN(N898 + Q898, 100), 0), 2)</f>
        <v>58.2</v>
      </c>
      <c r="D898" s="2" t="s">
        <v>803</v>
      </c>
      <c r="E898" s="7">
        <v>63</v>
      </c>
      <c r="F898" s="2">
        <v>58</v>
      </c>
      <c r="G898" s="2">
        <v>50</v>
      </c>
      <c r="H898" s="2" t="s">
        <v>163</v>
      </c>
      <c r="I898" s="2" t="s">
        <v>22</v>
      </c>
      <c r="J898" s="3" t="s">
        <v>23</v>
      </c>
      <c r="M898" s="2">
        <f>IF(J898="1000+", 1000, (LEFT(J898,FIND("-",J898)-1)+RIGHT(J898,LEN(J898)-FIND("-",J898)))/2)</f>
        <v>60</v>
      </c>
      <c r="N898" s="2">
        <f>ROUND(E898 * 0.7+F898 * 0.2+G898 * 0.1,2)</f>
        <v>60.7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68</v>
      </c>
      <c r="P898" s="2">
        <f>E898 - O898</f>
        <v>-5</v>
      </c>
      <c r="Q898" s="2">
        <f>ROUND(
  SIGN(P898)*
  IF(ABS(P898)&lt;=10,ABS(P898)*0.5,
     IF(ABS(P898)&lt;=15,5+(ABS(P898)-10)*(1.67/5),
        6.67+(ABS(P898)-15)*0.333)),
2)</f>
        <v>-2.5</v>
      </c>
    </row>
    <row r="899" spans="1:17" ht="34.5" customHeight="1" x14ac:dyDescent="0.3">
      <c r="A899" s="2">
        <v>2026</v>
      </c>
      <c r="B899" s="2">
        <v>898</v>
      </c>
      <c r="C899" s="13">
        <f>ROUND(MAX(MIN(N899 + Q899, 100), 0), 2)</f>
        <v>58.2</v>
      </c>
      <c r="D899" s="2" t="s">
        <v>1371</v>
      </c>
      <c r="E899" s="7">
        <v>62</v>
      </c>
      <c r="F899" s="7">
        <v>60</v>
      </c>
      <c r="G899" s="2">
        <v>58</v>
      </c>
      <c r="H899" s="2" t="s">
        <v>1382</v>
      </c>
      <c r="I899" s="2" t="s">
        <v>1384</v>
      </c>
      <c r="J899" s="3" t="s">
        <v>1393</v>
      </c>
      <c r="M899" s="2">
        <f>IF(J899="1000+", 1000, (LEFT(J899,FIND("-",J899)-1)+RIGHT(J899,LEN(J899)-FIND("-",J899)))/2)</f>
        <v>60</v>
      </c>
      <c r="N899" s="2">
        <f>ROUND(E899 * 0.7+F899 * 0.2+G899 * 0.1,2)</f>
        <v>61.2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68</v>
      </c>
      <c r="P899" s="2">
        <f>E899 - O899</f>
        <v>-6</v>
      </c>
      <c r="Q899" s="2">
        <f>ROUND(
  SIGN(P899)*
  IF(ABS(P899)&lt;=10,ABS(P899)*0.5,
     IF(ABS(P899)&lt;=15,5+(ABS(P899)-10)*(1.67/5),
        6.67+(ABS(P899)-15)*0.333)),
2)</f>
        <v>-3</v>
      </c>
    </row>
    <row r="900" spans="1:17" ht="34.5" customHeight="1" x14ac:dyDescent="0.3">
      <c r="B900" s="2">
        <v>899</v>
      </c>
      <c r="C900" s="13">
        <f>ROUND(MAX(MIN(N900 + Q900, 100), 0), 2)</f>
        <v>58.17</v>
      </c>
      <c r="D900" s="2" t="s">
        <v>898</v>
      </c>
      <c r="E900" s="7">
        <v>64</v>
      </c>
      <c r="F900" s="5">
        <v>75</v>
      </c>
      <c r="G900" s="6">
        <v>87</v>
      </c>
      <c r="H900" s="2" t="s">
        <v>135</v>
      </c>
      <c r="I900" s="2" t="s">
        <v>276</v>
      </c>
      <c r="J900" s="3" t="s">
        <v>42</v>
      </c>
      <c r="M900" s="2">
        <f>IF(J900="1000+", 1000, (LEFT(J900,FIND("-",J900)-1)+RIGHT(J900,LEN(J900)-FIND("-",J900)))/2)</f>
        <v>600</v>
      </c>
      <c r="N900" s="2">
        <f>ROUND(E900 * 0.7+F900 * 0.2+G900 * 0.1,2)</f>
        <v>68.5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90</v>
      </c>
      <c r="P900" s="2">
        <f>E900 - O900</f>
        <v>-26</v>
      </c>
      <c r="Q900" s="2">
        <f>ROUND(
  SIGN(P900)*
  IF(ABS(P900)&lt;=10,ABS(P900)*0.5,
     IF(ABS(P900)&lt;=15,5+(ABS(P900)-10)*(1.67/5),
        6.67+(ABS(P900)-15)*0.333)),
2)</f>
        <v>-10.33</v>
      </c>
    </row>
    <row r="901" spans="1:17" ht="34.5" customHeight="1" x14ac:dyDescent="0.3">
      <c r="B901" s="2">
        <v>900</v>
      </c>
      <c r="C901" s="13">
        <f>ROUND(MAX(MIN(N901 + Q901, 100), 0), 2)</f>
        <v>58.03</v>
      </c>
      <c r="D901" s="2" t="s">
        <v>708</v>
      </c>
      <c r="E901" s="7">
        <v>60</v>
      </c>
      <c r="F901" s="6">
        <v>89</v>
      </c>
      <c r="G901" s="6">
        <v>89</v>
      </c>
      <c r="H901" s="2" t="s">
        <v>610</v>
      </c>
      <c r="I901" s="2" t="s">
        <v>79</v>
      </c>
      <c r="J901" s="3" t="s">
        <v>65</v>
      </c>
      <c r="M901" s="2">
        <f>IF(J901="1000+", 1000, (LEFT(J901,FIND("-",J901)-1)+RIGHT(J901,LEN(J901)-FIND("-",J901)))/2)</f>
        <v>250</v>
      </c>
      <c r="N901" s="2">
        <f>ROUND(E901 * 0.7+F901 * 0.2+G901 * 0.1,2)</f>
        <v>68.7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87</v>
      </c>
      <c r="P901" s="2">
        <f>E901 - O901</f>
        <v>-27</v>
      </c>
      <c r="Q901" s="2">
        <f>ROUND(
  SIGN(P901)*
  IF(ABS(P901)&lt;=10,ABS(P901)*0.5,
     IF(ABS(P901)&lt;=15,5+(ABS(P901)-10)*(1.67/5),
        6.67+(ABS(P901)-15)*0.333)),
2)</f>
        <v>-10.67</v>
      </c>
    </row>
    <row r="902" spans="1:17" ht="34.5" customHeight="1" x14ac:dyDescent="0.3">
      <c r="B902" s="2">
        <v>901</v>
      </c>
      <c r="C902" s="13">
        <f>ROUND(MAX(MIN(N902 + Q902, 100), 0), 2)</f>
        <v>58</v>
      </c>
      <c r="D902" s="2" t="s">
        <v>896</v>
      </c>
      <c r="E902" s="7">
        <v>62</v>
      </c>
      <c r="F902" s="2">
        <v>50</v>
      </c>
      <c r="G902" s="2">
        <v>36</v>
      </c>
      <c r="H902" s="2" t="s">
        <v>104</v>
      </c>
      <c r="I902" s="2" t="s">
        <v>447</v>
      </c>
      <c r="J902" s="3" t="s">
        <v>132</v>
      </c>
      <c r="M902" s="2">
        <f>IF(J902="1000+", 1000, (LEFT(J902,FIND("-",J902)-1)+RIGHT(J902,LEN(J902)-FIND("-",J902)))/2)</f>
        <v>20</v>
      </c>
      <c r="N902" s="2">
        <f>ROUND(E902 * 0.7+F902 * 0.2+G902 * 0.1,2)</f>
        <v>57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60</v>
      </c>
      <c r="P902" s="2">
        <f>E902 - O902</f>
        <v>2</v>
      </c>
      <c r="Q902" s="2">
        <f>ROUND(
  SIGN(P902)*
  IF(ABS(P902)&lt;=10,ABS(P902)*0.5,
     IF(ABS(P902)&lt;=15,5+(ABS(P902)-10)*(1.67/5),
        6.67+(ABS(P902)-15)*0.333)),
2)</f>
        <v>1</v>
      </c>
    </row>
    <row r="903" spans="1:17" ht="34.5" customHeight="1" x14ac:dyDescent="0.3">
      <c r="B903" s="2">
        <v>902</v>
      </c>
      <c r="C903" s="13">
        <f>ROUND(MAX(MIN(N903 + Q903, 100), 0), 2)</f>
        <v>58</v>
      </c>
      <c r="D903" s="2" t="s">
        <v>733</v>
      </c>
      <c r="E903" s="7">
        <v>65</v>
      </c>
      <c r="F903" s="5">
        <v>77</v>
      </c>
      <c r="G903" s="5">
        <v>71</v>
      </c>
      <c r="H903" s="2" t="s">
        <v>533</v>
      </c>
      <c r="I903" s="2" t="s">
        <v>513</v>
      </c>
      <c r="J903" s="3" t="s">
        <v>42</v>
      </c>
      <c r="K903" s="2" t="s">
        <v>734</v>
      </c>
      <c r="M903" s="2">
        <f>IF(J903="1000+", 1000, (LEFT(J903,FIND("-",J903)-1)+RIGHT(J903,LEN(J903)-FIND("-",J903)))/2)</f>
        <v>600</v>
      </c>
      <c r="N903" s="2">
        <f>ROUND(E903 * 0.7+F903 * 0.2+G903 * 0.1,2)</f>
        <v>68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90</v>
      </c>
      <c r="P903" s="2">
        <f>E903 - O903</f>
        <v>-25</v>
      </c>
      <c r="Q903" s="2">
        <f>ROUND(
  SIGN(P903)*
  IF(ABS(P903)&lt;=10,ABS(P903)*0.5,
     IF(ABS(P903)&lt;=15,5+(ABS(P903)-10)*(1.67/5),
        6.67+(ABS(P903)-15)*0.333)),
2)</f>
        <v>-10</v>
      </c>
    </row>
    <row r="904" spans="1:17" ht="34.5" customHeight="1" x14ac:dyDescent="0.3">
      <c r="B904" s="2">
        <v>903</v>
      </c>
      <c r="C904" s="13">
        <f>ROUND(MAX(MIN(N904 + Q904, 100), 0), 2)</f>
        <v>57.93</v>
      </c>
      <c r="D904" s="2" t="s">
        <v>805</v>
      </c>
      <c r="E904" s="7">
        <v>64</v>
      </c>
      <c r="F904" s="7">
        <v>67</v>
      </c>
      <c r="G904" s="5">
        <v>74</v>
      </c>
      <c r="H904" s="2" t="s">
        <v>71</v>
      </c>
      <c r="I904" s="2" t="s">
        <v>228</v>
      </c>
      <c r="J904" s="3" t="s">
        <v>28</v>
      </c>
      <c r="M904" s="2">
        <f>IF(J904="1000+", 1000, (LEFT(J904,FIND("-",J904)-1)+RIGHT(J904,LEN(J904)-FIND("-",J904)))/2)</f>
        <v>200</v>
      </c>
      <c r="N904" s="2">
        <f>ROUND(E904 * 0.7+F904 * 0.2+G904 * 0.1,2)</f>
        <v>65.599999999999994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82</v>
      </c>
      <c r="P904" s="2">
        <f>E904 - O904</f>
        <v>-18</v>
      </c>
      <c r="Q904" s="2">
        <f>ROUND(
  SIGN(P904)*
  IF(ABS(P904)&lt;=10,ABS(P904)*0.5,
     IF(ABS(P904)&lt;=15,5+(ABS(P904)-10)*(1.67/5),
        6.67+(ABS(P904)-15)*0.333)),
2)</f>
        <v>-7.67</v>
      </c>
    </row>
    <row r="905" spans="1:17" ht="34.5" customHeight="1" x14ac:dyDescent="0.3">
      <c r="B905" s="2">
        <v>904</v>
      </c>
      <c r="C905" s="13">
        <f>ROUND(MAX(MIN(N905 + Q905, 100), 0), 2)</f>
        <v>57.9</v>
      </c>
      <c r="D905" s="2" t="s">
        <v>852</v>
      </c>
      <c r="E905" s="7">
        <v>60</v>
      </c>
      <c r="F905" s="2">
        <v>54</v>
      </c>
      <c r="G905" s="2">
        <v>51</v>
      </c>
      <c r="H905" s="2" t="s">
        <v>104</v>
      </c>
      <c r="I905" s="2" t="s">
        <v>36</v>
      </c>
      <c r="J905" s="3" t="s">
        <v>132</v>
      </c>
      <c r="M905" s="2">
        <f>IF(J905="1000+", 1000, (LEFT(J905,FIND("-",J905)-1)+RIGHT(J905,LEN(J905)-FIND("-",J905)))/2)</f>
        <v>20</v>
      </c>
      <c r="N905" s="2">
        <f>ROUND(E905 * 0.7+F905 * 0.2+G905 * 0.1,2)</f>
        <v>57.9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60</v>
      </c>
      <c r="P905" s="2">
        <f>E905 - O905</f>
        <v>0</v>
      </c>
      <c r="Q905" s="2">
        <f>ROUND(
  SIGN(P905)*
  IF(ABS(P905)&lt;=10,ABS(P905)*0.5,
     IF(ABS(P905)&lt;=15,5+(ABS(P905)-10)*(1.67/5),
        6.67+(ABS(P905)-15)*0.333)),
2)</f>
        <v>0</v>
      </c>
    </row>
    <row r="906" spans="1:17" ht="34.5" customHeight="1" x14ac:dyDescent="0.3">
      <c r="B906" s="2">
        <v>905</v>
      </c>
      <c r="C906" s="13">
        <f>ROUND(MAX(MIN(N906 + Q906, 100), 0), 2)</f>
        <v>57.9</v>
      </c>
      <c r="D906" s="2" t="s">
        <v>877</v>
      </c>
      <c r="E906" s="7">
        <v>68</v>
      </c>
      <c r="F906" s="7">
        <v>63</v>
      </c>
      <c r="G906" s="7">
        <v>67</v>
      </c>
      <c r="H906" s="2" t="s">
        <v>379</v>
      </c>
      <c r="I906" s="2" t="s">
        <v>100</v>
      </c>
      <c r="J906" s="3" t="s">
        <v>42</v>
      </c>
      <c r="M906" s="2">
        <f>IF(J906="1000+", 1000, (LEFT(J906,FIND("-",J906)-1)+RIGHT(J906,LEN(J906)-FIND("-",J906)))/2)</f>
        <v>600</v>
      </c>
      <c r="N906" s="2">
        <f>ROUND(E906 * 0.7+F906 * 0.2+G906 * 0.1,2)</f>
        <v>66.900000000000006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90</v>
      </c>
      <c r="P906" s="2">
        <f>E906 - O906</f>
        <v>-22</v>
      </c>
      <c r="Q906" s="2">
        <f>ROUND(
  SIGN(P906)*
  IF(ABS(P906)&lt;=10,ABS(P906)*0.5,
     IF(ABS(P906)&lt;=15,5+(ABS(P906)-10)*(1.67/5),
        6.67+(ABS(P906)-15)*0.333)),
2)</f>
        <v>-9</v>
      </c>
    </row>
    <row r="907" spans="1:17" ht="34.5" customHeight="1" x14ac:dyDescent="0.3">
      <c r="B907" s="2">
        <v>906</v>
      </c>
      <c r="C907" s="13">
        <f>ROUND(MAX(MIN(N907 + Q907, 100), 0), 2)</f>
        <v>57.9</v>
      </c>
      <c r="D907" s="2" t="s">
        <v>820</v>
      </c>
      <c r="E907" s="7">
        <v>63</v>
      </c>
      <c r="F907" s="7">
        <v>60</v>
      </c>
      <c r="G907" s="7">
        <v>63</v>
      </c>
      <c r="H907" s="2" t="s">
        <v>217</v>
      </c>
      <c r="I907" s="2" t="s">
        <v>22</v>
      </c>
      <c r="J907" s="3" t="s">
        <v>122</v>
      </c>
      <c r="M907" s="2">
        <f>IF(J907="1000+", 1000, (LEFT(J907,FIND("-",J907)-1)+RIGHT(J907,LEN(J907)-FIND("-",J907)))/2)</f>
        <v>105</v>
      </c>
      <c r="N907" s="2">
        <f>ROUND(E907 * 0.7+F907 * 0.2+G907 * 0.1,2)</f>
        <v>62.4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72</v>
      </c>
      <c r="P907" s="2">
        <f>E907 - O907</f>
        <v>-9</v>
      </c>
      <c r="Q907" s="2">
        <f>ROUND(
  SIGN(P907)*
  IF(ABS(P907)&lt;=10,ABS(P907)*0.5,
     IF(ABS(P907)&lt;=15,5+(ABS(P907)-10)*(1.67/5),
        6.67+(ABS(P907)-15)*0.333)),
2)</f>
        <v>-4.5</v>
      </c>
    </row>
    <row r="908" spans="1:17" ht="34.5" customHeight="1" x14ac:dyDescent="0.3">
      <c r="B908" s="2">
        <v>907</v>
      </c>
      <c r="C908" s="13">
        <f>ROUND(MAX(MIN(N908 + Q908, 100), 0), 2)</f>
        <v>57.8</v>
      </c>
      <c r="D908" s="2" t="s">
        <v>823</v>
      </c>
      <c r="E908" s="7">
        <v>63</v>
      </c>
      <c r="F908" s="7">
        <v>60</v>
      </c>
      <c r="G908" s="2">
        <v>52</v>
      </c>
      <c r="H908" s="2" t="s">
        <v>48</v>
      </c>
      <c r="I908" s="2" t="s">
        <v>13</v>
      </c>
      <c r="J908" s="3" t="s">
        <v>18</v>
      </c>
      <c r="M908" s="2">
        <f>IF(J908="1000+", 1000, (LEFT(J908,FIND("-",J908)-1)+RIGHT(J908,LEN(J908)-FIND("-",J908)))/2)</f>
        <v>75</v>
      </c>
      <c r="N908" s="2">
        <f>ROUND(E908 * 0.7+F908 * 0.2+G908 * 0.1,2)</f>
        <v>61.3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70</v>
      </c>
      <c r="P908" s="2">
        <f>E908 - O908</f>
        <v>-7</v>
      </c>
      <c r="Q908" s="2">
        <f>ROUND(
  SIGN(P908)*
  IF(ABS(P908)&lt;=10,ABS(P908)*0.5,
     IF(ABS(P908)&lt;=15,5+(ABS(P908)-10)*(1.67/5),
        6.67+(ABS(P908)-15)*0.333)),
2)</f>
        <v>-3.5</v>
      </c>
    </row>
    <row r="909" spans="1:17" ht="34.5" customHeight="1" x14ac:dyDescent="0.3">
      <c r="B909" s="2">
        <v>908</v>
      </c>
      <c r="C909" s="13">
        <f>ROUND(MAX(MIN(N909 + Q909, 100), 0), 2)</f>
        <v>57.8</v>
      </c>
      <c r="D909" s="2" t="s">
        <v>822</v>
      </c>
      <c r="E909" s="7">
        <v>64</v>
      </c>
      <c r="F909" s="7">
        <v>69</v>
      </c>
      <c r="G909" s="7">
        <v>62</v>
      </c>
      <c r="H909" s="2" t="s">
        <v>48</v>
      </c>
      <c r="I909" s="2" t="s">
        <v>177</v>
      </c>
      <c r="J909" s="3" t="s">
        <v>88</v>
      </c>
      <c r="M909" s="2">
        <f>IF(J909="1000+", 1000, (LEFT(J909,FIND("-",J909)-1)+RIGHT(J909,LEN(J909)-FIND("-",J909)))/2)</f>
        <v>150</v>
      </c>
      <c r="N909" s="2">
        <f>ROUND(E909 * 0.7+F909 * 0.2+G909 * 0.1,2)</f>
        <v>64.8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80</v>
      </c>
      <c r="P909" s="2">
        <f>E909 - O909</f>
        <v>-16</v>
      </c>
      <c r="Q909" s="2">
        <f>ROUND(
  SIGN(P909)*
  IF(ABS(P909)&lt;=10,ABS(P909)*0.5,
     IF(ABS(P909)&lt;=15,5+(ABS(P909)-10)*(1.67/5),
        6.67+(ABS(P909)-15)*0.333)),
2)</f>
        <v>-7</v>
      </c>
    </row>
    <row r="910" spans="1:17" ht="34.5" customHeight="1" x14ac:dyDescent="0.3">
      <c r="B910" s="2">
        <v>909</v>
      </c>
      <c r="C910" s="13">
        <f>ROUND(MAX(MIN(N910 + Q910, 100), 0), 2)</f>
        <v>57.76</v>
      </c>
      <c r="D910" s="2" t="s">
        <v>817</v>
      </c>
      <c r="E910" s="7">
        <v>65</v>
      </c>
      <c r="F910" s="7">
        <v>65</v>
      </c>
      <c r="G910" s="7">
        <v>66</v>
      </c>
      <c r="H910" s="2" t="s">
        <v>490</v>
      </c>
      <c r="I910" s="2" t="s">
        <v>535</v>
      </c>
      <c r="J910" s="3" t="s">
        <v>28</v>
      </c>
      <c r="M910" s="2">
        <f>IF(J910="1000+", 1000, (LEFT(J910,FIND("-",J910)-1)+RIGHT(J910,LEN(J910)-FIND("-",J910)))/2)</f>
        <v>200</v>
      </c>
      <c r="N910" s="2">
        <f>ROUND(E910 * 0.7+F910 * 0.2+G910 * 0.1,2)</f>
        <v>65.099999999999994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82</v>
      </c>
      <c r="P910" s="2">
        <f>E910 - O910</f>
        <v>-17</v>
      </c>
      <c r="Q910" s="2">
        <f>ROUND(
  SIGN(P910)*
  IF(ABS(P910)&lt;=10,ABS(P910)*0.5,
     IF(ABS(P910)&lt;=15,5+(ABS(P910)-10)*(1.67/5),
        6.67+(ABS(P910)-15)*0.333)),
2)</f>
        <v>-7.34</v>
      </c>
    </row>
    <row r="911" spans="1:17" ht="34.5" customHeight="1" x14ac:dyDescent="0.3">
      <c r="A911" s="2">
        <v>2026</v>
      </c>
      <c r="B911" s="2">
        <v>910</v>
      </c>
      <c r="C911" s="13">
        <f>ROUND(MAX(MIN(N911 + Q911, 100), 0), 2)</f>
        <v>57.7</v>
      </c>
      <c r="D911" s="11" t="s">
        <v>1281</v>
      </c>
      <c r="E911" s="7">
        <v>61</v>
      </c>
      <c r="F911" s="2">
        <v>55</v>
      </c>
      <c r="G911" s="2">
        <v>35</v>
      </c>
      <c r="H911" s="11" t="s">
        <v>1256</v>
      </c>
      <c r="I911" s="11" t="s">
        <v>1288</v>
      </c>
      <c r="J911" s="19" t="s">
        <v>1261</v>
      </c>
      <c r="M911" s="2">
        <f>IF(J911="1000+", 1000, (LEFT(J911,FIND("-",J911)-1)+RIGHT(J911,LEN(J911)-FIND("-",J911)))/2)</f>
        <v>20</v>
      </c>
      <c r="N911" s="2">
        <f>ROUND(E911 * 0.7+F911 * 0.2+G911 * 0.1,2)</f>
        <v>57.2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60</v>
      </c>
      <c r="P911" s="2">
        <f>E911 - O911</f>
        <v>1</v>
      </c>
      <c r="Q911" s="2">
        <f>ROUND(
  SIGN(P911)*
  IF(ABS(P911)&lt;=10,ABS(P911)*0.5,
     IF(ABS(P911)&lt;=15,5+(ABS(P911)-10)*(1.67/5),
        6.67+(ABS(P911)-15)*0.333)),
2)</f>
        <v>0.5</v>
      </c>
    </row>
    <row r="912" spans="1:17" ht="34.5" customHeight="1" x14ac:dyDescent="0.3">
      <c r="B912" s="2">
        <v>911</v>
      </c>
      <c r="C912" s="13">
        <f>ROUND(MAX(MIN(N912 + Q912, 100), 0), 2)</f>
        <v>57.7</v>
      </c>
      <c r="D912" s="2" t="s">
        <v>855</v>
      </c>
      <c r="E912" s="7">
        <v>62</v>
      </c>
      <c r="F912" s="6">
        <v>85</v>
      </c>
      <c r="G912" s="6">
        <v>83</v>
      </c>
      <c r="H912" s="2" t="s">
        <v>738</v>
      </c>
      <c r="I912" s="2" t="s">
        <v>79</v>
      </c>
      <c r="J912" s="3" t="s">
        <v>42</v>
      </c>
      <c r="M912" s="2">
        <f>IF(J912="1000+", 1000, (LEFT(J912,FIND("-",J912)-1)+RIGHT(J912,LEN(J912)-FIND("-",J912)))/2)</f>
        <v>600</v>
      </c>
      <c r="N912" s="2">
        <f>ROUND(E912 * 0.7+F912 * 0.2+G912 * 0.1,2)</f>
        <v>68.7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90</v>
      </c>
      <c r="P912" s="2">
        <f>E912 - O912</f>
        <v>-28</v>
      </c>
      <c r="Q912" s="2">
        <f>ROUND(
  SIGN(P912)*
  IF(ABS(P912)&lt;=10,ABS(P912)*0.5,
     IF(ABS(P912)&lt;=15,5+(ABS(P912)-10)*(1.67/5),
        6.67+(ABS(P912)-15)*0.333)),
2)</f>
        <v>-11</v>
      </c>
    </row>
    <row r="913" spans="1:17" ht="34.5" customHeight="1" x14ac:dyDescent="0.3">
      <c r="A913" s="2">
        <v>2026</v>
      </c>
      <c r="B913" s="2">
        <v>912</v>
      </c>
      <c r="C913" s="13">
        <f>ROUND(MAX(MIN(N913 + Q913, 100), 0), 2)</f>
        <v>57.7</v>
      </c>
      <c r="D913" s="2" t="s">
        <v>1987</v>
      </c>
      <c r="E913" s="7">
        <v>60</v>
      </c>
      <c r="F913" s="2">
        <v>55</v>
      </c>
      <c r="G913" s="2">
        <v>47</v>
      </c>
      <c r="H913" s="2" t="s">
        <v>1994</v>
      </c>
      <c r="I913" s="2" t="s">
        <v>1259</v>
      </c>
      <c r="J913" s="3" t="s">
        <v>1261</v>
      </c>
      <c r="M913" s="2">
        <f>IF(J913="1000+", 1000, (LEFT(J913,FIND("-",J913)-1)+RIGHT(J913,LEN(J913)-FIND("-",J913)))/2)</f>
        <v>20</v>
      </c>
      <c r="N913" s="2">
        <f>ROUND(E913 * 0.7+F913 * 0.2+G913 * 0.1,2)</f>
        <v>57.7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60</v>
      </c>
      <c r="P913" s="2">
        <f>E913 - O913</f>
        <v>0</v>
      </c>
      <c r="Q913" s="2">
        <f>ROUND(
  SIGN(P913)*
  IF(ABS(P913)&lt;=10,ABS(P913)*0.5,
     IF(ABS(P913)&lt;=15,5+(ABS(P913)-10)*(1.67/5),
        6.67+(ABS(P913)-15)*0.333)),
2)</f>
        <v>0</v>
      </c>
    </row>
    <row r="914" spans="1:17" ht="34.5" customHeight="1" x14ac:dyDescent="0.3">
      <c r="B914" s="2">
        <v>913</v>
      </c>
      <c r="C914" s="13">
        <f>ROUND(MAX(MIN(N914 + Q914, 100), 0), 2)</f>
        <v>57.6</v>
      </c>
      <c r="D914" s="2" t="s">
        <v>846</v>
      </c>
      <c r="E914" s="7">
        <v>64</v>
      </c>
      <c r="F914" s="7">
        <v>60</v>
      </c>
      <c r="G914" s="2">
        <v>48</v>
      </c>
      <c r="H914" s="2" t="s">
        <v>847</v>
      </c>
      <c r="I914" s="2" t="s">
        <v>17</v>
      </c>
      <c r="J914" s="3" t="s">
        <v>122</v>
      </c>
      <c r="M914" s="2">
        <f>IF(J914="1000+", 1000, (LEFT(J914,FIND("-",J914)-1)+RIGHT(J914,LEN(J914)-FIND("-",J914)))/2)</f>
        <v>105</v>
      </c>
      <c r="N914" s="2">
        <f>ROUND(E914 * 0.7+F914 * 0.2+G914 * 0.1,2)</f>
        <v>61.6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72</v>
      </c>
      <c r="P914" s="2">
        <f>E914 - O914</f>
        <v>-8</v>
      </c>
      <c r="Q914" s="2">
        <f>ROUND(
  SIGN(P914)*
  IF(ABS(P914)&lt;=10,ABS(P914)*0.5,
     IF(ABS(P914)&lt;=15,5+(ABS(P914)-10)*(1.67/5),
        6.67+(ABS(P914)-15)*0.333)),
2)</f>
        <v>-4</v>
      </c>
    </row>
    <row r="915" spans="1:17" ht="34.5" customHeight="1" x14ac:dyDescent="0.3">
      <c r="B915" s="2">
        <v>914</v>
      </c>
      <c r="C915" s="13">
        <f>ROUND(MAX(MIN(N915 + Q915, 100), 0), 2)</f>
        <v>57.6</v>
      </c>
      <c r="D915" s="2" t="s">
        <v>815</v>
      </c>
      <c r="E915" s="7">
        <v>62</v>
      </c>
      <c r="F915" s="7">
        <v>65</v>
      </c>
      <c r="G915" s="5">
        <v>72</v>
      </c>
      <c r="H915" s="2" t="s">
        <v>48</v>
      </c>
      <c r="I915" s="2" t="s">
        <v>17</v>
      </c>
      <c r="J915" s="3" t="s">
        <v>140</v>
      </c>
      <c r="M915" s="2">
        <f>IF(J915="1000+", 1000, (LEFT(J915,FIND("-",J915)-1)+RIGHT(J915,LEN(J915)-FIND("-",J915)))/2)</f>
        <v>115</v>
      </c>
      <c r="N915" s="2">
        <f>ROUND(E915 * 0.7+F915 * 0.2+G915 * 0.1,2)</f>
        <v>63.6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75</v>
      </c>
      <c r="P915" s="2">
        <f>E915 - O915</f>
        <v>-13</v>
      </c>
      <c r="Q915" s="2">
        <f>ROUND(
  SIGN(P915)*
  IF(ABS(P915)&lt;=10,ABS(P915)*0.5,
     IF(ABS(P915)&lt;=15,5+(ABS(P915)-10)*(1.67/5),
        6.67+(ABS(P915)-15)*0.333)),
2)</f>
        <v>-6</v>
      </c>
    </row>
    <row r="916" spans="1:17" ht="34.5" customHeight="1" x14ac:dyDescent="0.3">
      <c r="B916" s="2">
        <v>915</v>
      </c>
      <c r="C916" s="13">
        <f>ROUND(MAX(MIN(N916 + Q916, 100), 0), 2)</f>
        <v>57.6</v>
      </c>
      <c r="D916" s="2" t="s">
        <v>786</v>
      </c>
      <c r="E916" s="7">
        <v>60</v>
      </c>
      <c r="F916" s="7">
        <v>67</v>
      </c>
      <c r="G916" s="5">
        <v>72</v>
      </c>
      <c r="H916" s="2" t="s">
        <v>104</v>
      </c>
      <c r="I916" s="2" t="s">
        <v>157</v>
      </c>
      <c r="J916" s="3" t="s">
        <v>18</v>
      </c>
      <c r="M916" s="2">
        <f>IF(J916="1000+", 1000, (LEFT(J916,FIND("-",J916)-1)+RIGHT(J916,LEN(J916)-FIND("-",J916)))/2)</f>
        <v>75</v>
      </c>
      <c r="N916" s="2">
        <f>ROUND(E916 * 0.7+F916 * 0.2+G916 * 0.1,2)</f>
        <v>62.6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70</v>
      </c>
      <c r="P916" s="2">
        <f>E916 - O916</f>
        <v>-10</v>
      </c>
      <c r="Q916" s="2">
        <f>ROUND(
  SIGN(P916)*
  IF(ABS(P916)&lt;=10,ABS(P916)*0.5,
     IF(ABS(P916)&lt;=15,5+(ABS(P916)-10)*(1.67/5),
        6.67+(ABS(P916)-15)*0.333)),
2)</f>
        <v>-5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57.6</v>
      </c>
      <c r="D917" s="2" t="s">
        <v>1917</v>
      </c>
      <c r="E917" s="7">
        <v>64</v>
      </c>
      <c r="F917" s="2">
        <v>56</v>
      </c>
      <c r="G917" s="2">
        <v>56</v>
      </c>
      <c r="H917" s="2" t="s">
        <v>1256</v>
      </c>
      <c r="I917" s="2" t="s">
        <v>1352</v>
      </c>
      <c r="J917" s="3" t="s">
        <v>1279</v>
      </c>
      <c r="M917" s="2">
        <f>IF(J917="1000+", 1000, (LEFT(J917,FIND("-",J917)-1)+RIGHT(J917,LEN(J917)-FIND("-",J917)))/2)</f>
        <v>105</v>
      </c>
      <c r="N917" s="2">
        <f>ROUND(E917 * 0.7+F917 * 0.2+G917 * 0.1,2)</f>
        <v>61.6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72</v>
      </c>
      <c r="P917" s="2">
        <f>E917 - O917</f>
        <v>-8</v>
      </c>
      <c r="Q917" s="2">
        <f>ROUND(
  SIGN(P917)*
  IF(ABS(P917)&lt;=10,ABS(P917)*0.5,
     IF(ABS(P917)&lt;=15,5+(ABS(P917)-10)*(1.67/5),
        6.67+(ABS(P917)-15)*0.333)),
2)</f>
        <v>-4</v>
      </c>
    </row>
    <row r="918" spans="1:17" ht="34.5" customHeight="1" x14ac:dyDescent="0.3">
      <c r="B918" s="2">
        <v>917</v>
      </c>
      <c r="C918" s="13">
        <f>ROUND(MAX(MIN(N918 + Q918, 100), 0), 2)</f>
        <v>57.57</v>
      </c>
      <c r="D918" s="2" t="s">
        <v>811</v>
      </c>
      <c r="E918" s="7">
        <v>61</v>
      </c>
      <c r="F918" s="7">
        <v>67</v>
      </c>
      <c r="G918" s="7">
        <v>68</v>
      </c>
      <c r="H918" s="2" t="s">
        <v>31</v>
      </c>
      <c r="I918" s="2" t="s">
        <v>165</v>
      </c>
      <c r="J918" s="3" t="s">
        <v>122</v>
      </c>
      <c r="M918" s="2">
        <f>IF(J918="1000+", 1000, (LEFT(J918,FIND("-",J918)-1)+RIGHT(J918,LEN(J918)-FIND("-",J918)))/2)</f>
        <v>105</v>
      </c>
      <c r="N918" s="2">
        <f>ROUND(E918 * 0.7+F918 * 0.2+G918 * 0.1,2)</f>
        <v>62.9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72</v>
      </c>
      <c r="P918" s="2">
        <f>E918 - O918</f>
        <v>-11</v>
      </c>
      <c r="Q918" s="2">
        <f>ROUND(
  SIGN(P918)*
  IF(ABS(P918)&lt;=10,ABS(P918)*0.5,
     IF(ABS(P918)&lt;=15,5+(ABS(P918)-10)*(1.67/5),
        6.67+(ABS(P918)-15)*0.333)),
2)</f>
        <v>-5.33</v>
      </c>
    </row>
    <row r="919" spans="1:17" ht="34.5" customHeight="1" x14ac:dyDescent="0.3">
      <c r="B919" s="2">
        <v>918</v>
      </c>
      <c r="C919" s="13">
        <f>ROUND(MAX(MIN(N919 + Q919, 100), 0), 2)</f>
        <v>57.56</v>
      </c>
      <c r="D919" s="2" t="s">
        <v>834</v>
      </c>
      <c r="E919" s="7">
        <v>65</v>
      </c>
      <c r="F919" s="7">
        <v>64</v>
      </c>
      <c r="G919" s="7">
        <v>66</v>
      </c>
      <c r="H919" s="2" t="s">
        <v>396</v>
      </c>
      <c r="I919" s="2" t="s">
        <v>835</v>
      </c>
      <c r="J919" s="3" t="s">
        <v>28</v>
      </c>
      <c r="M919" s="2">
        <f>IF(J919="1000+", 1000, (LEFT(J919,FIND("-",J919)-1)+RIGHT(J919,LEN(J919)-FIND("-",J919)))/2)</f>
        <v>200</v>
      </c>
      <c r="N919" s="2">
        <f>ROUND(E919 * 0.7+F919 * 0.2+G919 * 0.1,2)</f>
        <v>64.900000000000006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82</v>
      </c>
      <c r="P919" s="2">
        <f>E919 - O919</f>
        <v>-17</v>
      </c>
      <c r="Q919" s="2">
        <f>ROUND(
  SIGN(P919)*
  IF(ABS(P919)&lt;=10,ABS(P919)*0.5,
     IF(ABS(P919)&lt;=15,5+(ABS(P919)-10)*(1.67/5),
        6.67+(ABS(P919)-15)*0.333)),
2)</f>
        <v>-7.34</v>
      </c>
    </row>
    <row r="920" spans="1:17" ht="34.5" customHeight="1" x14ac:dyDescent="0.3">
      <c r="B920" s="2">
        <v>919</v>
      </c>
      <c r="C920" s="13">
        <f>ROUND(MAX(MIN(N920 + Q920, 100), 0), 2)</f>
        <v>57.4</v>
      </c>
      <c r="D920" s="2" t="s">
        <v>872</v>
      </c>
      <c r="E920" s="7">
        <v>62</v>
      </c>
      <c r="F920" s="2">
        <v>46</v>
      </c>
      <c r="G920" s="2">
        <v>48</v>
      </c>
      <c r="H920" s="2" t="s">
        <v>16</v>
      </c>
      <c r="I920" s="2" t="s">
        <v>72</v>
      </c>
      <c r="J920" s="3" t="s">
        <v>146</v>
      </c>
      <c r="M920" s="2">
        <f>IF(J920="1000+", 1000, (LEFT(J920,FIND("-",J920)-1)+RIGHT(J920,LEN(J920)-FIND("-",J920)))/2)</f>
        <v>30</v>
      </c>
      <c r="N920" s="2">
        <f>ROUND(E920 * 0.7+F920 * 0.2+G920 * 0.1,2)</f>
        <v>57.4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62</v>
      </c>
      <c r="P920" s="2">
        <f>E920 - O920</f>
        <v>0</v>
      </c>
      <c r="Q920" s="2">
        <f>ROUND(
  SIGN(P920)*
  IF(ABS(P920)&lt;=10,ABS(P920)*0.5,
     IF(ABS(P920)&lt;=15,5+(ABS(P920)-10)*(1.67/5),
        6.67+(ABS(P920)-15)*0.333)),
2)</f>
        <v>0</v>
      </c>
    </row>
    <row r="921" spans="1:17" ht="34.5" customHeight="1" x14ac:dyDescent="0.3">
      <c r="B921" s="2">
        <v>920</v>
      </c>
      <c r="C921" s="13">
        <f>ROUND(MAX(MIN(N921 + Q921, 100), 0), 2)</f>
        <v>57.4</v>
      </c>
      <c r="D921" s="2" t="s">
        <v>762</v>
      </c>
      <c r="E921" s="7">
        <v>62</v>
      </c>
      <c r="F921" s="6">
        <v>82</v>
      </c>
      <c r="G921" s="5">
        <v>76</v>
      </c>
      <c r="H921" s="2" t="s">
        <v>16</v>
      </c>
      <c r="I921" s="2" t="s">
        <v>17</v>
      </c>
      <c r="J921" s="3" t="s">
        <v>65</v>
      </c>
      <c r="M921" s="2">
        <f>IF(J921="1000+", 1000, (LEFT(J921,FIND("-",J921)-1)+RIGHT(J921,LEN(J921)-FIND("-",J921)))/2)</f>
        <v>250</v>
      </c>
      <c r="N921" s="2">
        <f>ROUND(E921 * 0.7+F921 * 0.2+G921 * 0.1,2)</f>
        <v>67.400000000000006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87</v>
      </c>
      <c r="P921" s="2">
        <f>E921 - O921</f>
        <v>-25</v>
      </c>
      <c r="Q921" s="2">
        <f>ROUND(
  SIGN(P921)*
  IF(ABS(P921)&lt;=10,ABS(P921)*0.5,
     IF(ABS(P921)&lt;=15,5+(ABS(P921)-10)*(1.67/5),
        6.67+(ABS(P921)-15)*0.333)),
2)</f>
        <v>-10</v>
      </c>
    </row>
    <row r="922" spans="1:17" ht="34.5" customHeight="1" x14ac:dyDescent="0.3">
      <c r="B922" s="2">
        <v>921</v>
      </c>
      <c r="C922" s="13">
        <f>ROUND(MAX(MIN(N922 + Q922, 100), 0), 2)</f>
        <v>57.4</v>
      </c>
      <c r="D922" s="2" t="s">
        <v>1905</v>
      </c>
      <c r="E922" s="2">
        <v>59</v>
      </c>
      <c r="F922" s="5">
        <v>77</v>
      </c>
      <c r="G922" s="5">
        <v>77</v>
      </c>
      <c r="H922" s="2" t="s">
        <v>31</v>
      </c>
      <c r="I922" s="2" t="s">
        <v>1906</v>
      </c>
      <c r="J922" s="3" t="s">
        <v>140</v>
      </c>
      <c r="M922" s="2">
        <f>IF(J922="1000+", 1000, (LEFT(J922,FIND("-",J922)-1)+RIGHT(J922,LEN(J922)-FIND("-",J922)))/2)</f>
        <v>115</v>
      </c>
      <c r="N922" s="2">
        <f>ROUND(E922 * 0.7+F922 * 0.2+G922 * 0.1,2)</f>
        <v>64.400000000000006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75</v>
      </c>
      <c r="P922" s="2">
        <f>E922 - O922</f>
        <v>-16</v>
      </c>
      <c r="Q922" s="2">
        <f>ROUND(
  SIGN(P922)*
  IF(ABS(P922)&lt;=10,ABS(P922)*0.5,
     IF(ABS(P922)&lt;=15,5+(ABS(P922)-10)*(1.67/5),
        6.67+(ABS(P922)-15)*0.333)),
2)</f>
        <v>-7</v>
      </c>
    </row>
    <row r="923" spans="1:17" ht="34.5" customHeight="1" x14ac:dyDescent="0.3">
      <c r="A923" s="2">
        <v>2026</v>
      </c>
      <c r="B923" s="2">
        <v>922</v>
      </c>
      <c r="C923" s="13">
        <f>ROUND(MAX(MIN(N923 + Q923, 100), 0), 2)</f>
        <v>57.37</v>
      </c>
      <c r="D923" s="2" t="s">
        <v>1834</v>
      </c>
      <c r="E923" s="7">
        <v>61</v>
      </c>
      <c r="F923" s="7">
        <v>64</v>
      </c>
      <c r="G923" s="5">
        <v>72</v>
      </c>
      <c r="H923" s="2" t="s">
        <v>1256</v>
      </c>
      <c r="I923" s="2" t="s">
        <v>1804</v>
      </c>
      <c r="J923" s="3" t="s">
        <v>1279</v>
      </c>
      <c r="M923" s="2">
        <f>IF(J923="1000+", 1000, (LEFT(J923,FIND("-",J923)-1)+RIGHT(J923,LEN(J923)-FIND("-",J923)))/2)</f>
        <v>105</v>
      </c>
      <c r="N923" s="2">
        <f>ROUND(E923 * 0.7+F923 * 0.2+G923 * 0.1,2)</f>
        <v>62.7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72</v>
      </c>
      <c r="P923" s="2">
        <f>E923 - O923</f>
        <v>-11</v>
      </c>
      <c r="Q923" s="2">
        <f>ROUND(
  SIGN(P923)*
  IF(ABS(P923)&lt;=10,ABS(P923)*0.5,
     IF(ABS(P923)&lt;=15,5+(ABS(P923)-10)*(1.67/5),
        6.67+(ABS(P923)-15)*0.333)),
2)</f>
        <v>-5.33</v>
      </c>
    </row>
    <row r="924" spans="1:17" ht="34.5" customHeight="1" x14ac:dyDescent="0.3">
      <c r="B924" s="2">
        <v>923</v>
      </c>
      <c r="C924" s="13">
        <f>ROUND(MAX(MIN(N924 + Q924, 100), 0), 2)</f>
        <v>57.36</v>
      </c>
      <c r="D924" s="2" t="s">
        <v>812</v>
      </c>
      <c r="E924" s="7">
        <v>65</v>
      </c>
      <c r="F924" s="7">
        <v>67</v>
      </c>
      <c r="G924" s="7">
        <v>68</v>
      </c>
      <c r="H924" s="2" t="s">
        <v>174</v>
      </c>
      <c r="I924" s="2" t="s">
        <v>17</v>
      </c>
      <c r="J924" s="3" t="s">
        <v>14</v>
      </c>
      <c r="M924" s="2">
        <f>IF(J924="1000+", 1000, (LEFT(J924,FIND("-",J924)-1)+RIGHT(J924,LEN(J924)-FIND("-",J924)))/2)</f>
        <v>225</v>
      </c>
      <c r="N924" s="2">
        <f>ROUND(E924 * 0.7+F924 * 0.2+G924 * 0.1,2)</f>
        <v>65.7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85</v>
      </c>
      <c r="P924" s="2">
        <f>E924 - O924</f>
        <v>-20</v>
      </c>
      <c r="Q924" s="2">
        <f>ROUND(
  SIGN(P924)*
  IF(ABS(P924)&lt;=10,ABS(P924)*0.5,
     IF(ABS(P924)&lt;=15,5+(ABS(P924)-10)*(1.67/5),
        6.67+(ABS(P924)-15)*0.333)),
2)</f>
        <v>-8.34</v>
      </c>
    </row>
    <row r="925" spans="1:17" ht="34.5" customHeight="1" x14ac:dyDescent="0.3">
      <c r="A925" s="2">
        <v>2026</v>
      </c>
      <c r="B925" s="2">
        <v>924</v>
      </c>
      <c r="C925" s="13">
        <f>ROUND(MAX(MIN(N925 + Q925, 100), 0), 2)</f>
        <v>57.3</v>
      </c>
      <c r="D925" s="11" t="s">
        <v>1250</v>
      </c>
      <c r="E925" s="7">
        <v>61</v>
      </c>
      <c r="F925" s="2">
        <v>55</v>
      </c>
      <c r="G925" s="2">
        <v>56</v>
      </c>
      <c r="H925" s="11" t="s">
        <v>1257</v>
      </c>
      <c r="I925" s="11" t="s">
        <v>1259</v>
      </c>
      <c r="J925" s="19" t="s">
        <v>1262</v>
      </c>
      <c r="M925" s="2">
        <f>IF(J925="1000+", 1000, (LEFT(J925,FIND("-",J925)-1)+RIGHT(J925,LEN(J925)-FIND("-",J925)))/2)</f>
        <v>45</v>
      </c>
      <c r="N925" s="2">
        <f>ROUND(E925 * 0.7+F925 * 0.2+G925 * 0.1,2)</f>
        <v>59.3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65</v>
      </c>
      <c r="P925" s="2">
        <f>E925 - O925</f>
        <v>-4</v>
      </c>
      <c r="Q925" s="2">
        <f>ROUND(
  SIGN(P925)*
  IF(ABS(P925)&lt;=10,ABS(P925)*0.5,
     IF(ABS(P925)&lt;=15,5+(ABS(P925)-10)*(1.67/5),
        6.67+(ABS(P925)-15)*0.333)),
2)</f>
        <v>-2</v>
      </c>
    </row>
    <row r="926" spans="1:17" ht="34.5" customHeight="1" x14ac:dyDescent="0.3">
      <c r="B926" s="2">
        <v>925</v>
      </c>
      <c r="C926" s="13">
        <f>ROUND(MAX(MIN(N926 + Q926, 100), 0), 2)</f>
        <v>57.3</v>
      </c>
      <c r="D926" s="2" t="s">
        <v>795</v>
      </c>
      <c r="E926" s="7">
        <v>61</v>
      </c>
      <c r="F926" s="7">
        <v>64</v>
      </c>
      <c r="G926" s="2">
        <v>53</v>
      </c>
      <c r="H926" s="2" t="s">
        <v>796</v>
      </c>
      <c r="I926" s="2" t="s">
        <v>22</v>
      </c>
      <c r="J926" s="3" t="s">
        <v>23</v>
      </c>
      <c r="M926" s="2">
        <f>IF(J926="1000+", 1000, (LEFT(J926,FIND("-",J926)-1)+RIGHT(J926,LEN(J926)-FIND("-",J926)))/2)</f>
        <v>60</v>
      </c>
      <c r="N926" s="2">
        <f>ROUND(E926 * 0.7+F926 * 0.2+G926 * 0.1,2)</f>
        <v>60.8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68</v>
      </c>
      <c r="P926" s="2">
        <f>E926 - O926</f>
        <v>-7</v>
      </c>
      <c r="Q926" s="2">
        <f>ROUND(
  SIGN(P926)*
  IF(ABS(P926)&lt;=10,ABS(P926)*0.5,
     IF(ABS(P926)&lt;=15,5+(ABS(P926)-10)*(1.67/5),
        6.67+(ABS(P926)-15)*0.333)),
2)</f>
        <v>-3.5</v>
      </c>
    </row>
    <row r="927" spans="1:17" ht="34.5" customHeight="1" x14ac:dyDescent="0.3">
      <c r="B927" s="2">
        <v>926</v>
      </c>
      <c r="C927" s="13">
        <f>ROUND(MAX(MIN(N927 + Q927, 100), 0), 2)</f>
        <v>57.3</v>
      </c>
      <c r="D927" s="2" t="s">
        <v>829</v>
      </c>
      <c r="E927" s="7">
        <v>62</v>
      </c>
      <c r="F927" s="7">
        <v>63</v>
      </c>
      <c r="G927" s="7">
        <v>63</v>
      </c>
      <c r="H927" s="2" t="s">
        <v>694</v>
      </c>
      <c r="I927" s="2" t="s">
        <v>17</v>
      </c>
      <c r="J927" s="3" t="s">
        <v>122</v>
      </c>
      <c r="M927" s="2">
        <f>IF(J927="1000+", 1000, (LEFT(J927,FIND("-",J927)-1)+RIGHT(J927,LEN(J927)-FIND("-",J927)))/2)</f>
        <v>105</v>
      </c>
      <c r="N927" s="2">
        <f>ROUND(E927 * 0.7+F927 * 0.2+G927 * 0.1,2)</f>
        <v>62.3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72</v>
      </c>
      <c r="P927" s="2">
        <f>E927 - O927</f>
        <v>-10</v>
      </c>
      <c r="Q927" s="2">
        <f>ROUND(
  SIGN(P927)*
  IF(ABS(P927)&lt;=10,ABS(P927)*0.5,
     IF(ABS(P927)&lt;=15,5+(ABS(P927)-10)*(1.67/5),
        6.67+(ABS(P927)-15)*0.333)),
2)</f>
        <v>-5</v>
      </c>
    </row>
    <row r="928" spans="1:17" ht="34.5" customHeight="1" x14ac:dyDescent="0.3">
      <c r="B928" s="2">
        <v>927</v>
      </c>
      <c r="C928" s="13">
        <f>ROUND(MAX(MIN(N928 + Q928, 100), 0), 2)</f>
        <v>57.1</v>
      </c>
      <c r="D928" s="2" t="s">
        <v>868</v>
      </c>
      <c r="E928" s="7">
        <v>66</v>
      </c>
      <c r="F928" s="7">
        <v>61</v>
      </c>
      <c r="G928" s="2">
        <v>32</v>
      </c>
      <c r="H928" s="2" t="s">
        <v>396</v>
      </c>
      <c r="I928" s="2" t="s">
        <v>513</v>
      </c>
      <c r="J928" s="3" t="s">
        <v>140</v>
      </c>
      <c r="M928" s="2">
        <f>IF(J928="1000+", 1000, (LEFT(J928,FIND("-",J928)-1)+RIGHT(J928,LEN(J928)-FIND("-",J928)))/2)</f>
        <v>115</v>
      </c>
      <c r="N928" s="2">
        <f>ROUND(E928 * 0.7+F928 * 0.2+G928 * 0.1,2)</f>
        <v>61.6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75</v>
      </c>
      <c r="P928" s="2">
        <f>E928 - O928</f>
        <v>-9</v>
      </c>
      <c r="Q928" s="2">
        <f>ROUND(
  SIGN(P928)*
  IF(ABS(P928)&lt;=10,ABS(P928)*0.5,
     IF(ABS(P928)&lt;=15,5+(ABS(P928)-10)*(1.67/5),
        6.67+(ABS(P928)-15)*0.333)),
2)</f>
        <v>-4.5</v>
      </c>
    </row>
    <row r="929" spans="1:17" ht="34.5" customHeight="1" x14ac:dyDescent="0.3">
      <c r="A929" s="2">
        <v>2026</v>
      </c>
      <c r="B929" s="2">
        <v>928</v>
      </c>
      <c r="C929" s="13">
        <f>ROUND(MAX(MIN(N929 + Q929, 100), 0), 2)</f>
        <v>57.1</v>
      </c>
      <c r="D929" s="2" t="s">
        <v>1686</v>
      </c>
      <c r="E929" s="7">
        <v>60</v>
      </c>
      <c r="F929" s="2">
        <v>55</v>
      </c>
      <c r="G929" s="2">
        <v>51</v>
      </c>
      <c r="H929" s="2" t="s">
        <v>1694</v>
      </c>
      <c r="I929" s="2" t="s">
        <v>1696</v>
      </c>
      <c r="J929" s="3" t="s">
        <v>1700</v>
      </c>
      <c r="M929" s="2">
        <f>IF(J929="1000+", 1000, (LEFT(J929,FIND("-",J929)-1)+RIGHT(J929,LEN(J929)-FIND("-",J929)))/2)</f>
        <v>30</v>
      </c>
      <c r="N929" s="2">
        <f>ROUND(E929 * 0.7+F929 * 0.2+G929 * 0.1,2)</f>
        <v>58.1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62</v>
      </c>
      <c r="P929" s="2">
        <f>E929 - O929</f>
        <v>-2</v>
      </c>
      <c r="Q929" s="2">
        <f>ROUND(
  SIGN(P929)*
  IF(ABS(P929)&lt;=10,ABS(P929)*0.5,
     IF(ABS(P929)&lt;=15,5+(ABS(P929)-10)*(1.67/5),
        6.67+(ABS(P929)-15)*0.333)),
2)</f>
        <v>-1</v>
      </c>
    </row>
    <row r="930" spans="1:17" ht="34.5" customHeight="1" x14ac:dyDescent="0.3">
      <c r="B930" s="2">
        <v>929</v>
      </c>
      <c r="C930" s="13">
        <f>ROUND(MAX(MIN(N930 + Q930, 100), 0), 2)</f>
        <v>57.1</v>
      </c>
      <c r="D930" s="2" t="s">
        <v>906</v>
      </c>
      <c r="E930" s="7">
        <v>68</v>
      </c>
      <c r="F930" s="7">
        <v>60</v>
      </c>
      <c r="G930" s="7">
        <v>65</v>
      </c>
      <c r="H930" s="2" t="s">
        <v>240</v>
      </c>
      <c r="I930" s="2" t="s">
        <v>298</v>
      </c>
      <c r="J930" s="3" t="s">
        <v>42</v>
      </c>
      <c r="M930" s="2">
        <f>IF(J930="1000+", 1000, (LEFT(J930,FIND("-",J930)-1)+RIGHT(J930,LEN(J930)-FIND("-",J930)))/2)</f>
        <v>600</v>
      </c>
      <c r="N930" s="2">
        <f>ROUND(E930 * 0.7+F930 * 0.2+G930 * 0.1,2)</f>
        <v>66.099999999999994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90</v>
      </c>
      <c r="P930" s="2">
        <f>E930 - O930</f>
        <v>-22</v>
      </c>
      <c r="Q930" s="2">
        <f>ROUND(
  SIGN(P930)*
  IF(ABS(P930)&lt;=10,ABS(P930)*0.5,
     IF(ABS(P930)&lt;=15,5+(ABS(P930)-10)*(1.67/5),
        6.67+(ABS(P930)-15)*0.333)),
2)</f>
        <v>-9</v>
      </c>
    </row>
    <row r="931" spans="1:17" ht="34.5" customHeight="1" x14ac:dyDescent="0.3">
      <c r="A931" s="2">
        <v>2026</v>
      </c>
      <c r="B931" s="2">
        <v>930</v>
      </c>
      <c r="C931" s="13">
        <f>ROUND(MAX(MIN(N931 + Q931, 100), 0), 2)</f>
        <v>57.1</v>
      </c>
      <c r="D931" s="11" t="s">
        <v>1332</v>
      </c>
      <c r="E931" s="7">
        <v>63</v>
      </c>
      <c r="F931" s="2">
        <v>56</v>
      </c>
      <c r="G931" s="7">
        <v>63</v>
      </c>
      <c r="H931" s="11" t="s">
        <v>1257</v>
      </c>
      <c r="I931" s="11" t="s">
        <v>1300</v>
      </c>
      <c r="J931" s="19" t="s">
        <v>1279</v>
      </c>
      <c r="M931" s="2">
        <f>IF(J931="1000+", 1000, (LEFT(J931,FIND("-",J931)-1)+RIGHT(J931,LEN(J931)-FIND("-",J931)))/2)</f>
        <v>105</v>
      </c>
      <c r="N931" s="2">
        <f>ROUND(E931 * 0.7+F931 * 0.2+G931 * 0.1,2)</f>
        <v>61.6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72</v>
      </c>
      <c r="P931" s="2">
        <f>E931 - O931</f>
        <v>-9</v>
      </c>
      <c r="Q931" s="2">
        <f>ROUND(
  SIGN(P931)*
  IF(ABS(P931)&lt;=10,ABS(P931)*0.5,
     IF(ABS(P931)&lt;=15,5+(ABS(P931)-10)*(1.67/5),
        6.67+(ABS(P931)-15)*0.333)),
2)</f>
        <v>-4.5</v>
      </c>
    </row>
    <row r="932" spans="1:17" ht="34.5" customHeight="1" x14ac:dyDescent="0.3">
      <c r="B932" s="2">
        <v>931</v>
      </c>
      <c r="C932" s="13">
        <f>ROUND(MAX(MIN(N932 + Q932, 100), 0), 2)</f>
        <v>57.03</v>
      </c>
      <c r="D932" s="2" t="s">
        <v>856</v>
      </c>
      <c r="E932" s="7">
        <v>63</v>
      </c>
      <c r="F932" s="5">
        <v>79</v>
      </c>
      <c r="G932" s="5">
        <v>78</v>
      </c>
      <c r="H932" s="2" t="s">
        <v>104</v>
      </c>
      <c r="I932" s="2" t="s">
        <v>100</v>
      </c>
      <c r="J932" s="3" t="s">
        <v>42</v>
      </c>
      <c r="M932" s="2">
        <f>IF(J932="1000+", 1000, (LEFT(J932,FIND("-",J932)-1)+RIGHT(J932,LEN(J932)-FIND("-",J932)))/2)</f>
        <v>600</v>
      </c>
      <c r="N932" s="2">
        <f>ROUND(E932 * 0.7+F932 * 0.2+G932 * 0.1,2)</f>
        <v>67.7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90</v>
      </c>
      <c r="P932" s="2">
        <f>E932 - O932</f>
        <v>-27</v>
      </c>
      <c r="Q932" s="2">
        <f>ROUND(
  SIGN(P932)*
  IF(ABS(P932)&lt;=10,ABS(P932)*0.5,
     IF(ABS(P932)&lt;=15,5+(ABS(P932)-10)*(1.67/5),
        6.67+(ABS(P932)-15)*0.333)),
2)</f>
        <v>-10.67</v>
      </c>
    </row>
    <row r="933" spans="1:17" ht="34.5" customHeight="1" x14ac:dyDescent="0.3">
      <c r="B933" s="2">
        <v>932</v>
      </c>
      <c r="C933" s="13">
        <f>ROUND(MAX(MIN(N933 + Q933, 100), 0), 2)</f>
        <v>57</v>
      </c>
      <c r="D933" s="2" t="s">
        <v>1046</v>
      </c>
      <c r="E933" s="7">
        <v>60</v>
      </c>
      <c r="F933" s="2">
        <v>54</v>
      </c>
      <c r="G933" s="2">
        <v>52</v>
      </c>
      <c r="H933" s="2" t="s">
        <v>48</v>
      </c>
      <c r="I933" s="2" t="s">
        <v>72</v>
      </c>
      <c r="J933" s="3" t="s">
        <v>146</v>
      </c>
      <c r="M933" s="2">
        <f>IF(J933="1000+", 1000, (LEFT(J933,FIND("-",J933)-1)+RIGHT(J933,LEN(J933)-FIND("-",J933)))/2)</f>
        <v>30</v>
      </c>
      <c r="N933" s="2">
        <f>ROUND(E933 * 0.7+F933 * 0.2+G933 * 0.1,2)</f>
        <v>58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62</v>
      </c>
      <c r="P933" s="2">
        <f>E933 - O933</f>
        <v>-2</v>
      </c>
      <c r="Q933" s="2">
        <f>ROUND(
  SIGN(P933)*
  IF(ABS(P933)&lt;=10,ABS(P933)*0.5,
     IF(ABS(P933)&lt;=15,5+(ABS(P933)-10)*(1.67/5),
        6.67+(ABS(P933)-15)*0.333)),
2)</f>
        <v>-1</v>
      </c>
    </row>
    <row r="934" spans="1:17" ht="34.5" customHeight="1" x14ac:dyDescent="0.3">
      <c r="A934" s="2">
        <v>2026</v>
      </c>
      <c r="B934" s="2">
        <v>933</v>
      </c>
      <c r="C934" s="13">
        <f>ROUND(MAX(MIN(N934 + Q934, 100), 0), 2)</f>
        <v>57</v>
      </c>
      <c r="D934" s="2" t="s">
        <v>1246</v>
      </c>
      <c r="E934" s="7">
        <v>60</v>
      </c>
      <c r="F934" s="2">
        <v>55</v>
      </c>
      <c r="G934" s="2">
        <v>40</v>
      </c>
      <c r="H934" s="2" t="s">
        <v>48</v>
      </c>
      <c r="I934" s="2" t="s">
        <v>36</v>
      </c>
      <c r="J934" s="3" t="s">
        <v>132</v>
      </c>
      <c r="M934" s="2">
        <f>IF(J934="1000+", 1000, (LEFT(J934,FIND("-",J934)-1)+RIGHT(J934,LEN(J934)-FIND("-",J934)))/2)</f>
        <v>20</v>
      </c>
      <c r="N934" s="2">
        <f>ROUND(E934 * 0.7+F934 * 0.2+G934 * 0.1,2)</f>
        <v>57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60</v>
      </c>
      <c r="P934" s="2">
        <f>E934 - O934</f>
        <v>0</v>
      </c>
      <c r="Q934" s="2">
        <f>ROUND(
  SIGN(P934)*
  IF(ABS(P934)&lt;=10,ABS(P934)*0.5,
     IF(ABS(P934)&lt;=15,5+(ABS(P934)-10)*(1.67/5),
        6.67+(ABS(P934)-15)*0.333)),
2)</f>
        <v>0</v>
      </c>
    </row>
    <row r="935" spans="1:17" ht="34.5" customHeight="1" x14ac:dyDescent="0.3">
      <c r="A935" s="2">
        <v>2026</v>
      </c>
      <c r="B935" s="2">
        <v>934</v>
      </c>
      <c r="C935" s="13">
        <f>ROUND(MAX(MIN(N935 + Q935, 100), 0), 2)</f>
        <v>57</v>
      </c>
      <c r="D935" s="2" t="s">
        <v>1669</v>
      </c>
      <c r="E935" s="7">
        <v>60</v>
      </c>
      <c r="F935" s="7">
        <v>66</v>
      </c>
      <c r="G935" s="7">
        <v>68</v>
      </c>
      <c r="H935" s="2" t="s">
        <v>1676</v>
      </c>
      <c r="I935" s="2" t="s">
        <v>1679</v>
      </c>
      <c r="J935" s="3" t="s">
        <v>18</v>
      </c>
      <c r="M935" s="2">
        <f>IF(J935="1000+", 1000, (LEFT(J935,FIND("-",J935)-1)+RIGHT(J935,LEN(J935)-FIND("-",J935)))/2)</f>
        <v>75</v>
      </c>
      <c r="N935" s="2">
        <f>ROUND(E935 * 0.7+F935 * 0.2+G935 * 0.1,2)</f>
        <v>62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70</v>
      </c>
      <c r="P935" s="2">
        <f>E935 - O935</f>
        <v>-10</v>
      </c>
      <c r="Q935" s="2">
        <f>ROUND(
  SIGN(P935)*
  IF(ABS(P935)&lt;=10,ABS(P935)*0.5,
     IF(ABS(P935)&lt;=15,5+(ABS(P935)-10)*(1.67/5),
        6.67+(ABS(P935)-15)*0.333)),
2)</f>
        <v>-5</v>
      </c>
    </row>
    <row r="936" spans="1:17" ht="34.5" customHeight="1" x14ac:dyDescent="0.3">
      <c r="B936" s="2">
        <v>935</v>
      </c>
      <c r="C936" s="13">
        <f>ROUND(MAX(MIN(N936 + Q936, 100), 0), 2)</f>
        <v>56.96</v>
      </c>
      <c r="D936" s="2" t="s">
        <v>828</v>
      </c>
      <c r="E936" s="7">
        <v>61</v>
      </c>
      <c r="F936" s="7">
        <v>67</v>
      </c>
      <c r="G936" s="5">
        <v>72</v>
      </c>
      <c r="H936" s="2" t="s">
        <v>31</v>
      </c>
      <c r="I936" s="2" t="s">
        <v>165</v>
      </c>
      <c r="J936" s="3" t="s">
        <v>140</v>
      </c>
      <c r="M936" s="2">
        <f>IF(J936="1000+", 1000, (LEFT(J936,FIND("-",J936)-1)+RIGHT(J936,LEN(J936)-FIND("-",J936)))/2)</f>
        <v>115</v>
      </c>
      <c r="N936" s="2">
        <f>ROUND(E936 * 0.7+F936 * 0.2+G936 * 0.1,2)</f>
        <v>63.3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75</v>
      </c>
      <c r="P936" s="2">
        <f>E936 - O936</f>
        <v>-14</v>
      </c>
      <c r="Q936" s="2">
        <f>ROUND(
  SIGN(P936)*
  IF(ABS(P936)&lt;=10,ABS(P936)*0.5,
     IF(ABS(P936)&lt;=15,5+(ABS(P936)-10)*(1.67/5),
        6.67+(ABS(P936)-15)*0.333)),
2)</f>
        <v>-6.34</v>
      </c>
    </row>
    <row r="937" spans="1:17" ht="34.5" customHeight="1" x14ac:dyDescent="0.3">
      <c r="B937" s="2">
        <v>936</v>
      </c>
      <c r="C937" s="13">
        <f>ROUND(MAX(MIN(N937 + Q937, 100), 0), 2)</f>
        <v>56.9</v>
      </c>
      <c r="D937" s="2" t="s">
        <v>971</v>
      </c>
      <c r="E937" s="2">
        <v>57</v>
      </c>
      <c r="F937" s="2">
        <v>50</v>
      </c>
      <c r="G937" s="2">
        <v>35</v>
      </c>
      <c r="H937" s="2" t="s">
        <v>104</v>
      </c>
      <c r="I937" s="2" t="s">
        <v>447</v>
      </c>
      <c r="J937" s="3" t="s">
        <v>92</v>
      </c>
      <c r="M937" s="2">
        <f>IF(J937="1000+", 1000, (LEFT(J937,FIND("-",J937)-1)+RIGHT(J937,LEN(J937)-FIND("-",J937)))/2)</f>
        <v>12.5</v>
      </c>
      <c r="N937" s="2">
        <f>ROUND(E937 * 0.7+F937 * 0.2+G937 * 0.1,2)</f>
        <v>53.4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50</v>
      </c>
      <c r="P937" s="2">
        <f>E937 - O937</f>
        <v>7</v>
      </c>
      <c r="Q937" s="2">
        <f>ROUND(
  SIGN(P937)*
  IF(ABS(P937)&lt;=10,ABS(P937)*0.5,
     IF(ABS(P937)&lt;=15,5+(ABS(P937)-10)*(1.67/5),
        6.67+(ABS(P937)-15)*0.333)),
2)</f>
        <v>3.5</v>
      </c>
    </row>
    <row r="938" spans="1:17" ht="34.5" customHeight="1" x14ac:dyDescent="0.3">
      <c r="B938" s="2">
        <v>937</v>
      </c>
      <c r="C938" s="13">
        <f>ROUND(MAX(MIN(N938 + Q938, 100), 0), 2)</f>
        <v>56.9</v>
      </c>
      <c r="D938" s="2" t="s">
        <v>900</v>
      </c>
      <c r="E938" s="2">
        <v>58</v>
      </c>
      <c r="F938" s="2">
        <v>50</v>
      </c>
      <c r="G938" s="2">
        <v>48</v>
      </c>
      <c r="H938" s="2" t="s">
        <v>31</v>
      </c>
      <c r="I938" s="2" t="s">
        <v>447</v>
      </c>
      <c r="J938" s="3" t="s">
        <v>37</v>
      </c>
      <c r="M938" s="2">
        <f>IF(J938="1000+", 1000, (LEFT(J938,FIND("-",J938)-1)+RIGHT(J938,LEN(J938)-FIND("-",J938)))/2)</f>
        <v>15</v>
      </c>
      <c r="N938" s="2">
        <f>ROUND(E938 * 0.7+F938 * 0.2+G938 * 0.1,2)</f>
        <v>55.4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55</v>
      </c>
      <c r="P938" s="2">
        <f>E938 - O938</f>
        <v>3</v>
      </c>
      <c r="Q938" s="2">
        <f>ROUND(
  SIGN(P938)*
  IF(ABS(P938)&lt;=10,ABS(P938)*0.5,
     IF(ABS(P938)&lt;=15,5+(ABS(P938)-10)*(1.67/5),
        6.67+(ABS(P938)-15)*0.333)),
2)</f>
        <v>1.5</v>
      </c>
    </row>
    <row r="939" spans="1:17" ht="34.5" customHeight="1" x14ac:dyDescent="0.3">
      <c r="B939" s="2">
        <v>938</v>
      </c>
      <c r="C939" s="13">
        <f>ROUND(MAX(MIN(N939 + Q939, 100), 0), 2)</f>
        <v>56.8</v>
      </c>
      <c r="D939" s="2" t="s">
        <v>827</v>
      </c>
      <c r="E939" s="7">
        <v>61</v>
      </c>
      <c r="F939" s="2">
        <v>58</v>
      </c>
      <c r="G939" s="5">
        <v>70</v>
      </c>
      <c r="H939" s="2" t="s">
        <v>31</v>
      </c>
      <c r="I939" s="2" t="s">
        <v>22</v>
      </c>
      <c r="J939" s="3" t="s">
        <v>18</v>
      </c>
      <c r="M939" s="2">
        <f>IF(J939="1000+", 1000, (LEFT(J939,FIND("-",J939)-1)+RIGHT(J939,LEN(J939)-FIND("-",J939)))/2)</f>
        <v>75</v>
      </c>
      <c r="N939" s="2">
        <f>ROUND(E939 * 0.7+F939 * 0.2+G939 * 0.1,2)</f>
        <v>61.3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70</v>
      </c>
      <c r="P939" s="2">
        <f>E939 - O939</f>
        <v>-9</v>
      </c>
      <c r="Q939" s="2">
        <f>ROUND(
  SIGN(P939)*
  IF(ABS(P939)&lt;=10,ABS(P939)*0.5,
     IF(ABS(P939)&lt;=15,5+(ABS(P939)-10)*(1.67/5),
        6.67+(ABS(P939)-15)*0.333)),
2)</f>
        <v>-4.5</v>
      </c>
    </row>
    <row r="940" spans="1:17" ht="34.5" customHeight="1" x14ac:dyDescent="0.3">
      <c r="B940" s="2">
        <v>939</v>
      </c>
      <c r="C940" s="13">
        <f>ROUND(MAX(MIN(N940 + Q940, 100), 0), 2)</f>
        <v>56.6</v>
      </c>
      <c r="D940" s="2" t="s">
        <v>860</v>
      </c>
      <c r="E940" s="7">
        <v>63</v>
      </c>
      <c r="F940" s="2">
        <v>55</v>
      </c>
      <c r="G940" s="2">
        <v>50</v>
      </c>
      <c r="H940" s="2" t="s">
        <v>217</v>
      </c>
      <c r="I940" s="2" t="s">
        <v>22</v>
      </c>
      <c r="J940" s="3" t="s">
        <v>18</v>
      </c>
      <c r="M940" s="2">
        <f>IF(J940="1000+", 1000, (LEFT(J940,FIND("-",J940)-1)+RIGHT(J940,LEN(J940)-FIND("-",J940)))/2)</f>
        <v>75</v>
      </c>
      <c r="N940" s="2">
        <f>ROUND(E940 * 0.7+F940 * 0.2+G940 * 0.1,2)</f>
        <v>60.1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70</v>
      </c>
      <c r="P940" s="2">
        <f>E940 - O940</f>
        <v>-7</v>
      </c>
      <c r="Q940" s="2">
        <f>ROUND(
  SIGN(P940)*
  IF(ABS(P940)&lt;=10,ABS(P940)*0.5,
     IF(ABS(P940)&lt;=15,5+(ABS(P940)-10)*(1.67/5),
        6.67+(ABS(P940)-15)*0.333)),
2)</f>
        <v>-3.5</v>
      </c>
    </row>
    <row r="941" spans="1:17" ht="34.5" customHeight="1" x14ac:dyDescent="0.3">
      <c r="A941" s="2">
        <v>2026</v>
      </c>
      <c r="B941" s="2">
        <v>940</v>
      </c>
      <c r="C941" s="13">
        <f>ROUND(MAX(MIN(N941 + Q941, 100), 0), 2)</f>
        <v>56.6</v>
      </c>
      <c r="D941" s="2" t="s">
        <v>1881</v>
      </c>
      <c r="E941" s="2">
        <v>58</v>
      </c>
      <c r="F941" s="7">
        <v>64</v>
      </c>
      <c r="G941" s="7">
        <v>67</v>
      </c>
      <c r="H941" s="2" t="s">
        <v>1896</v>
      </c>
      <c r="I941" s="2" t="s">
        <v>1258</v>
      </c>
      <c r="J941" s="3" t="s">
        <v>1262</v>
      </c>
      <c r="M941" s="2">
        <f>IF(J941="1000+", 1000, (LEFT(J941,FIND("-",J941)-1)+RIGHT(J941,LEN(J941)-FIND("-",J941)))/2)</f>
        <v>45</v>
      </c>
      <c r="N941" s="2">
        <f>ROUND(E941 * 0.7+F941 * 0.2+G941 * 0.1,2)</f>
        <v>60.1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65</v>
      </c>
      <c r="P941" s="2">
        <f>E941 - O941</f>
        <v>-7</v>
      </c>
      <c r="Q941" s="2">
        <f>ROUND(
  SIGN(P941)*
  IF(ABS(P941)&lt;=10,ABS(P941)*0.5,
     IF(ABS(P941)&lt;=15,5+(ABS(P941)-10)*(1.67/5),
        6.67+(ABS(P941)-15)*0.333)),
2)</f>
        <v>-3.5</v>
      </c>
    </row>
    <row r="942" spans="1:17" ht="34.5" customHeight="1" x14ac:dyDescent="0.3">
      <c r="B942" s="2">
        <v>941</v>
      </c>
      <c r="C942" s="13">
        <f>ROUND(MAX(MIN(N942 + Q942, 100), 0), 2)</f>
        <v>56.5</v>
      </c>
      <c r="D942" s="2" t="s">
        <v>864</v>
      </c>
      <c r="E942" s="2">
        <v>58</v>
      </c>
      <c r="F942" s="2">
        <v>57</v>
      </c>
      <c r="G942" s="2">
        <v>55</v>
      </c>
      <c r="H942" s="2" t="s">
        <v>31</v>
      </c>
      <c r="I942" s="2" t="s">
        <v>447</v>
      </c>
      <c r="J942" s="3" t="s">
        <v>132</v>
      </c>
      <c r="M942" s="2">
        <f>IF(J942="1000+", 1000, (LEFT(J942,FIND("-",J942)-1)+RIGHT(J942,LEN(J942)-FIND("-",J942)))/2)</f>
        <v>20</v>
      </c>
      <c r="N942" s="2">
        <f>ROUND(E942 * 0.7+F942 * 0.2+G942 * 0.1,2)</f>
        <v>57.5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60</v>
      </c>
      <c r="P942" s="2">
        <f>E942 - O942</f>
        <v>-2</v>
      </c>
      <c r="Q942" s="2">
        <f>ROUND(
  SIGN(P942)*
  IF(ABS(P942)&lt;=10,ABS(P942)*0.5,
     IF(ABS(P942)&lt;=15,5+(ABS(P942)-10)*(1.67/5),
        6.67+(ABS(P942)-15)*0.333)),
2)</f>
        <v>-1</v>
      </c>
    </row>
    <row r="943" spans="1:17" ht="34.5" customHeight="1" x14ac:dyDescent="0.3">
      <c r="B943" s="2">
        <v>942</v>
      </c>
      <c r="C943" s="13">
        <f>ROUND(MAX(MIN(N943 + Q943, 100), 0), 2)</f>
        <v>56.5</v>
      </c>
      <c r="D943" s="2" t="s">
        <v>818</v>
      </c>
      <c r="E943" s="7">
        <v>62</v>
      </c>
      <c r="F943" s="7">
        <v>60</v>
      </c>
      <c r="G943" s="7">
        <v>61</v>
      </c>
      <c r="H943" s="2" t="s">
        <v>462</v>
      </c>
      <c r="I943" s="2" t="s">
        <v>68</v>
      </c>
      <c r="J943" s="3" t="s">
        <v>122</v>
      </c>
      <c r="K943" s="2" t="s">
        <v>819</v>
      </c>
      <c r="M943" s="2">
        <f>IF(J943="1000+", 1000, (LEFT(J943,FIND("-",J943)-1)+RIGHT(J943,LEN(J943)-FIND("-",J943)))/2)</f>
        <v>105</v>
      </c>
      <c r="N943" s="2">
        <f>ROUND(E943 * 0.7+F943 * 0.2+G943 * 0.1,2)</f>
        <v>61.5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72</v>
      </c>
      <c r="P943" s="2">
        <f>E943 - O943</f>
        <v>-10</v>
      </c>
      <c r="Q943" s="2">
        <f>ROUND(
  SIGN(P943)*
  IF(ABS(P943)&lt;=10,ABS(P943)*0.5,
     IF(ABS(P943)&lt;=15,5+(ABS(P943)-10)*(1.67/5),
        6.67+(ABS(P943)-15)*0.333)),
2)</f>
        <v>-5</v>
      </c>
    </row>
    <row r="944" spans="1:17" ht="34.5" customHeight="1" x14ac:dyDescent="0.3">
      <c r="B944" s="2">
        <v>943</v>
      </c>
      <c r="C944" s="13">
        <f>ROUND(MAX(MIN(N944 + Q944, 100), 0), 2)</f>
        <v>56.4</v>
      </c>
      <c r="D944" s="2" t="s">
        <v>874</v>
      </c>
      <c r="E944" s="7">
        <v>64</v>
      </c>
      <c r="F944" s="2">
        <v>50</v>
      </c>
      <c r="G944" s="2">
        <v>56</v>
      </c>
      <c r="H944" s="2" t="s">
        <v>71</v>
      </c>
      <c r="I944" s="2" t="s">
        <v>72</v>
      </c>
      <c r="J944" s="3" t="s">
        <v>122</v>
      </c>
      <c r="M944" s="2">
        <f>IF(J944="1000+", 1000, (LEFT(J944,FIND("-",J944)-1)+RIGHT(J944,LEN(J944)-FIND("-",J944)))/2)</f>
        <v>105</v>
      </c>
      <c r="N944" s="2">
        <f>ROUND(E944 * 0.7+F944 * 0.2+G944 * 0.1,2)</f>
        <v>60.4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72</v>
      </c>
      <c r="P944" s="2">
        <f>E944 - O944</f>
        <v>-8</v>
      </c>
      <c r="Q944" s="2">
        <f>ROUND(
  SIGN(P944)*
  IF(ABS(P944)&lt;=10,ABS(P944)*0.5,
     IF(ABS(P944)&lt;=15,5+(ABS(P944)-10)*(1.67/5),
        6.67+(ABS(P944)-15)*0.333)),
2)</f>
        <v>-4</v>
      </c>
    </row>
    <row r="945" spans="1:17" ht="34.5" customHeight="1" x14ac:dyDescent="0.3">
      <c r="B945" s="2">
        <v>944</v>
      </c>
      <c r="C945" s="13">
        <f>ROUND(MAX(MIN(N945 + Q945, 100), 0), 2)</f>
        <v>56.4</v>
      </c>
      <c r="D945" s="2" t="s">
        <v>875</v>
      </c>
      <c r="E945" s="7">
        <v>60</v>
      </c>
      <c r="F945" s="2">
        <v>53</v>
      </c>
      <c r="G945" s="2">
        <v>48</v>
      </c>
      <c r="H945" s="2" t="s">
        <v>104</v>
      </c>
      <c r="I945" s="2" t="s">
        <v>447</v>
      </c>
      <c r="J945" s="3" t="s">
        <v>146</v>
      </c>
      <c r="M945" s="2">
        <f>IF(J945="1000+", 1000, (LEFT(J945,FIND("-",J945)-1)+RIGHT(J945,LEN(J945)-FIND("-",J945)))/2)</f>
        <v>30</v>
      </c>
      <c r="N945" s="2">
        <f>ROUND(E945 * 0.7+F945 * 0.2+G945 * 0.1,2)</f>
        <v>57.4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62</v>
      </c>
      <c r="P945" s="2">
        <f>E945 - O945</f>
        <v>-2</v>
      </c>
      <c r="Q945" s="2">
        <f>ROUND(
  SIGN(P945)*
  IF(ABS(P945)&lt;=10,ABS(P945)*0.5,
     IF(ABS(P945)&lt;=15,5+(ABS(P945)-10)*(1.67/5),
        6.67+(ABS(P945)-15)*0.333)),
2)</f>
        <v>-1</v>
      </c>
    </row>
    <row r="946" spans="1:17" ht="34.5" customHeight="1" x14ac:dyDescent="0.3">
      <c r="B946" s="2">
        <v>945</v>
      </c>
      <c r="C946" s="13">
        <f>ROUND(MAX(MIN(N946 + Q946, 100), 0), 2)</f>
        <v>56.4</v>
      </c>
      <c r="D946" s="2" t="s">
        <v>865</v>
      </c>
      <c r="E946" s="7">
        <v>68</v>
      </c>
      <c r="F946" s="7">
        <v>63</v>
      </c>
      <c r="G946" s="2">
        <v>52</v>
      </c>
      <c r="H946" s="2" t="s">
        <v>174</v>
      </c>
      <c r="I946" s="2" t="s">
        <v>100</v>
      </c>
      <c r="J946" s="3" t="s">
        <v>42</v>
      </c>
      <c r="M946" s="2">
        <f>IF(J946="1000+", 1000, (LEFT(J946,FIND("-",J946)-1)+RIGHT(J946,LEN(J946)-FIND("-",J946)))/2)</f>
        <v>600</v>
      </c>
      <c r="N946" s="2">
        <f>ROUND(E946 * 0.7+F946 * 0.2+G946 * 0.1,2)</f>
        <v>65.400000000000006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90</v>
      </c>
      <c r="P946" s="2">
        <f>E946 - O946</f>
        <v>-22</v>
      </c>
      <c r="Q946" s="2">
        <f>ROUND(
  SIGN(P946)*
  IF(ABS(P946)&lt;=10,ABS(P946)*0.5,
     IF(ABS(P946)&lt;=15,5+(ABS(P946)-10)*(1.67/5),
        6.67+(ABS(P946)-15)*0.333)),
2)</f>
        <v>-9</v>
      </c>
    </row>
    <row r="947" spans="1:17" ht="34.5" customHeight="1" x14ac:dyDescent="0.3">
      <c r="A947" s="2">
        <v>2026</v>
      </c>
      <c r="B947" s="2">
        <v>946</v>
      </c>
      <c r="C947" s="13">
        <f>ROUND(MAX(MIN(N947 + Q947, 100), 0), 2)</f>
        <v>56.4</v>
      </c>
      <c r="D947" s="2" t="s">
        <v>1580</v>
      </c>
      <c r="E947" s="2">
        <v>58</v>
      </c>
      <c r="F947" s="2">
        <v>58</v>
      </c>
      <c r="G947" s="2">
        <v>52</v>
      </c>
      <c r="H947" s="2" t="s">
        <v>1587</v>
      </c>
      <c r="I947" s="2" t="s">
        <v>36</v>
      </c>
      <c r="J947" s="3" t="s">
        <v>1596</v>
      </c>
      <c r="M947" s="2">
        <f>IF(J947="1000+", 1000, (LEFT(J947,FIND("-",J947)-1)+RIGHT(J947,LEN(J947)-FIND("-",J947)))/2)</f>
        <v>20</v>
      </c>
      <c r="N947" s="2">
        <f>ROUND(E947 * 0.7+F947 * 0.2+G947 * 0.1,2)</f>
        <v>57.4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60</v>
      </c>
      <c r="P947" s="2">
        <f>E947 - O947</f>
        <v>-2</v>
      </c>
      <c r="Q947" s="2">
        <f>ROUND(
  SIGN(P947)*
  IF(ABS(P947)&lt;=10,ABS(P947)*0.5,
     IF(ABS(P947)&lt;=15,5+(ABS(P947)-10)*(1.67/5),
        6.67+(ABS(P947)-15)*0.333)),
2)</f>
        <v>-1</v>
      </c>
    </row>
    <row r="948" spans="1:17" ht="34.5" customHeight="1" x14ac:dyDescent="0.3">
      <c r="A948" s="2">
        <v>2026</v>
      </c>
      <c r="B948" s="2">
        <v>947</v>
      </c>
      <c r="C948" s="13">
        <f>ROUND(MAX(MIN(N948 + Q948, 100), 0), 2)</f>
        <v>56.4</v>
      </c>
      <c r="D948" s="2" t="s">
        <v>1668</v>
      </c>
      <c r="E948" s="7">
        <v>61</v>
      </c>
      <c r="F948" s="7">
        <v>62</v>
      </c>
      <c r="G948" s="2">
        <v>58</v>
      </c>
      <c r="H948" s="2" t="s">
        <v>1676</v>
      </c>
      <c r="I948" s="2" t="s">
        <v>1678</v>
      </c>
      <c r="J948" s="3" t="s">
        <v>18</v>
      </c>
      <c r="M948" s="2">
        <f>IF(J948="1000+", 1000, (LEFT(J948,FIND("-",J948)-1)+RIGHT(J948,LEN(J948)-FIND("-",J948)))/2)</f>
        <v>75</v>
      </c>
      <c r="N948" s="2">
        <f>ROUND(E948 * 0.7+F948 * 0.2+G948 * 0.1,2)</f>
        <v>60.9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70</v>
      </c>
      <c r="P948" s="2">
        <f>E948 - O948</f>
        <v>-9</v>
      </c>
      <c r="Q948" s="2">
        <f>ROUND(
  SIGN(P948)*
  IF(ABS(P948)&lt;=10,ABS(P948)*0.5,
     IF(ABS(P948)&lt;=15,5+(ABS(P948)-10)*(1.67/5),
        6.67+(ABS(P948)-15)*0.333)),
2)</f>
        <v>-4.5</v>
      </c>
    </row>
    <row r="949" spans="1:17" ht="34.5" customHeight="1" x14ac:dyDescent="0.3">
      <c r="B949" s="2">
        <v>948</v>
      </c>
      <c r="C949" s="13">
        <f>ROUND(MAX(MIN(N949 + Q949, 100), 0), 2)</f>
        <v>56.3</v>
      </c>
      <c r="D949" s="2" t="s">
        <v>882</v>
      </c>
      <c r="E949" s="7">
        <v>62</v>
      </c>
      <c r="F949" s="2">
        <v>53</v>
      </c>
      <c r="G949" s="2">
        <v>53</v>
      </c>
      <c r="H949" s="2" t="s">
        <v>163</v>
      </c>
      <c r="I949" s="2" t="s">
        <v>22</v>
      </c>
      <c r="J949" s="3" t="s">
        <v>23</v>
      </c>
      <c r="M949" s="2">
        <f>IF(J949="1000+", 1000, (LEFT(J949,FIND("-",J949)-1)+RIGHT(J949,LEN(J949)-FIND("-",J949)))/2)</f>
        <v>60</v>
      </c>
      <c r="N949" s="2">
        <f>ROUND(E949 * 0.7+F949 * 0.2+G949 * 0.1,2)</f>
        <v>59.3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68</v>
      </c>
      <c r="P949" s="2">
        <f>E949 - O949</f>
        <v>-6</v>
      </c>
      <c r="Q949" s="2">
        <f>ROUND(
  SIGN(P949)*
  IF(ABS(P949)&lt;=10,ABS(P949)*0.5,
     IF(ABS(P949)&lt;=15,5+(ABS(P949)-10)*(1.67/5),
        6.67+(ABS(P949)-15)*0.333)),
2)</f>
        <v>-3</v>
      </c>
    </row>
    <row r="950" spans="1:17" ht="34.5" customHeight="1" x14ac:dyDescent="0.3">
      <c r="B950" s="2">
        <v>949</v>
      </c>
      <c r="C950" s="13">
        <f>ROUND(MAX(MIN(N950 + Q950, 100), 0), 2)</f>
        <v>56.23</v>
      </c>
      <c r="D950" s="2" t="s">
        <v>853</v>
      </c>
      <c r="E950" s="7">
        <v>64</v>
      </c>
      <c r="F950" s="7">
        <v>60</v>
      </c>
      <c r="G950" s="6">
        <v>81</v>
      </c>
      <c r="H950" s="2" t="s">
        <v>71</v>
      </c>
      <c r="I950" s="2" t="s">
        <v>79</v>
      </c>
      <c r="J950" s="3" t="s">
        <v>14</v>
      </c>
      <c r="M950" s="2">
        <f>IF(J950="1000+", 1000, (LEFT(J950,FIND("-",J950)-1)+RIGHT(J950,LEN(J950)-FIND("-",J950)))/2)</f>
        <v>225</v>
      </c>
      <c r="N950" s="2">
        <f>ROUND(E950 * 0.7+F950 * 0.2+G950 * 0.1,2)</f>
        <v>64.900000000000006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85</v>
      </c>
      <c r="P950" s="2">
        <f>E950 - O950</f>
        <v>-21</v>
      </c>
      <c r="Q950" s="2">
        <f>ROUND(
  SIGN(P950)*
  IF(ABS(P950)&lt;=10,ABS(P950)*0.5,
     IF(ABS(P950)&lt;=15,5+(ABS(P950)-10)*(1.67/5),
        6.67+(ABS(P950)-15)*0.333)),
2)</f>
        <v>-8.67</v>
      </c>
    </row>
    <row r="951" spans="1:17" ht="34.5" customHeight="1" x14ac:dyDescent="0.3">
      <c r="B951" s="2">
        <v>950</v>
      </c>
      <c r="C951" s="13">
        <f>ROUND(MAX(MIN(N951 + Q951, 100), 0), 2)</f>
        <v>56.16</v>
      </c>
      <c r="D951" s="2" t="s">
        <v>863</v>
      </c>
      <c r="E951" s="7">
        <v>63</v>
      </c>
      <c r="F951" s="7">
        <v>65</v>
      </c>
      <c r="G951" s="7">
        <v>64</v>
      </c>
      <c r="H951" s="2" t="s">
        <v>649</v>
      </c>
      <c r="I951" s="2" t="s">
        <v>535</v>
      </c>
      <c r="J951" s="3" t="s">
        <v>88</v>
      </c>
      <c r="M951" s="2">
        <f>IF(J951="1000+", 1000, (LEFT(J951,FIND("-",J951)-1)+RIGHT(J951,LEN(J951)-FIND("-",J951)))/2)</f>
        <v>150</v>
      </c>
      <c r="N951" s="2">
        <f>ROUND(E951 * 0.7+F951 * 0.2+G951 * 0.1,2)</f>
        <v>63.5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80</v>
      </c>
      <c r="P951" s="2">
        <f>E951 - O951</f>
        <v>-17</v>
      </c>
      <c r="Q951" s="2">
        <f>ROUND(
  SIGN(P951)*
  IF(ABS(P951)&lt;=10,ABS(P951)*0.5,
     IF(ABS(P951)&lt;=15,5+(ABS(P951)-10)*(1.67/5),
        6.67+(ABS(P951)-15)*0.333)),
2)</f>
        <v>-7.34</v>
      </c>
    </row>
    <row r="952" spans="1:17" ht="34.5" customHeight="1" x14ac:dyDescent="0.3">
      <c r="B952" s="2">
        <v>951</v>
      </c>
      <c r="C952" s="13">
        <f>ROUND(MAX(MIN(N952 + Q952, 100), 0), 2)</f>
        <v>56.16</v>
      </c>
      <c r="D952" s="2" t="s">
        <v>850</v>
      </c>
      <c r="E952" s="7">
        <v>62</v>
      </c>
      <c r="F952" s="7">
        <v>68</v>
      </c>
      <c r="G952" s="5">
        <v>75</v>
      </c>
      <c r="H952" s="2" t="s">
        <v>53</v>
      </c>
      <c r="I952" s="2" t="s">
        <v>79</v>
      </c>
      <c r="J952" s="3" t="s">
        <v>28</v>
      </c>
      <c r="M952" s="2">
        <f>IF(J952="1000+", 1000, (LEFT(J952,FIND("-",J952)-1)+RIGHT(J952,LEN(J952)-FIND("-",J952)))/2)</f>
        <v>200</v>
      </c>
      <c r="N952" s="2">
        <f>ROUND(E952 * 0.7+F952 * 0.2+G952 * 0.1,2)</f>
        <v>64.5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82</v>
      </c>
      <c r="P952" s="2">
        <f>E952 - O952</f>
        <v>-20</v>
      </c>
      <c r="Q952" s="2">
        <f>ROUND(
  SIGN(P952)*
  IF(ABS(P952)&lt;=10,ABS(P952)*0.5,
     IF(ABS(P952)&lt;=15,5+(ABS(P952)-10)*(1.67/5),
        6.67+(ABS(P952)-15)*0.333)),
2)</f>
        <v>-8.34</v>
      </c>
    </row>
    <row r="953" spans="1:17" ht="34.5" customHeight="1" x14ac:dyDescent="0.3">
      <c r="B953" s="2">
        <v>952</v>
      </c>
      <c r="C953" s="13">
        <f>ROUND(MAX(MIN(N953 + Q953, 100), 0), 2)</f>
        <v>56.13</v>
      </c>
      <c r="D953" s="2" t="s">
        <v>854</v>
      </c>
      <c r="E953" s="7">
        <v>62</v>
      </c>
      <c r="F953" s="7">
        <v>68</v>
      </c>
      <c r="G953" s="7">
        <v>68</v>
      </c>
      <c r="H953" s="2" t="s">
        <v>174</v>
      </c>
      <c r="I953" s="2" t="s">
        <v>100</v>
      </c>
      <c r="J953" s="3" t="s">
        <v>88</v>
      </c>
      <c r="M953" s="2">
        <f>IF(J953="1000+", 1000, (LEFT(J953,FIND("-",J953)-1)+RIGHT(J953,LEN(J953)-FIND("-",J953)))/2)</f>
        <v>150</v>
      </c>
      <c r="N953" s="2">
        <f>ROUND(E953 * 0.7+F953 * 0.2+G953 * 0.1,2)</f>
        <v>63.8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80</v>
      </c>
      <c r="P953" s="2">
        <f>E953 - O953</f>
        <v>-18</v>
      </c>
      <c r="Q953" s="2">
        <f>ROUND(
  SIGN(P953)*
  IF(ABS(P953)&lt;=10,ABS(P953)*0.5,
     IF(ABS(P953)&lt;=15,5+(ABS(P953)-10)*(1.67/5),
        6.67+(ABS(P953)-15)*0.333)),
2)</f>
        <v>-7.67</v>
      </c>
    </row>
    <row r="954" spans="1:17" ht="34.5" customHeight="1" x14ac:dyDescent="0.3">
      <c r="B954" s="2">
        <v>953</v>
      </c>
      <c r="C954" s="13">
        <f>ROUND(MAX(MIN(N954 + Q954, 100), 0), 2)</f>
        <v>56.1</v>
      </c>
      <c r="D954" s="2" t="s">
        <v>893</v>
      </c>
      <c r="E954" s="7">
        <v>62</v>
      </c>
      <c r="F954" s="2">
        <v>50</v>
      </c>
      <c r="G954" s="2">
        <v>42</v>
      </c>
      <c r="H954" s="2" t="s">
        <v>171</v>
      </c>
      <c r="I954" s="2" t="s">
        <v>72</v>
      </c>
      <c r="J954" s="3" t="s">
        <v>32</v>
      </c>
      <c r="M954" s="2">
        <f>IF(J954="1000+", 1000, (LEFT(J954,FIND("-",J954)-1)+RIGHT(J954,LEN(J954)-FIND("-",J954)))/2)</f>
        <v>45</v>
      </c>
      <c r="N954" s="2">
        <f>ROUND(E954 * 0.7+F954 * 0.2+G954 * 0.1,2)</f>
        <v>57.6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65</v>
      </c>
      <c r="P954" s="2">
        <f>E954 - O954</f>
        <v>-3</v>
      </c>
      <c r="Q954" s="2">
        <f>ROUND(
  SIGN(P954)*
  IF(ABS(P954)&lt;=10,ABS(P954)*0.5,
     IF(ABS(P954)&lt;=15,5+(ABS(P954)-10)*(1.67/5),
        6.67+(ABS(P954)-15)*0.333)),
2)</f>
        <v>-1.5</v>
      </c>
    </row>
    <row r="955" spans="1:17" ht="34.5" customHeight="1" x14ac:dyDescent="0.3">
      <c r="A955" s="2">
        <v>2026</v>
      </c>
      <c r="B955" s="2">
        <v>954</v>
      </c>
      <c r="C955" s="13">
        <f>ROUND(MAX(MIN(N955 + Q955, 100), 0), 2)</f>
        <v>56.1</v>
      </c>
      <c r="D955" s="11" t="s">
        <v>1249</v>
      </c>
      <c r="E955" s="2">
        <v>59</v>
      </c>
      <c r="F955" s="2">
        <v>59</v>
      </c>
      <c r="G955" s="2">
        <v>35</v>
      </c>
      <c r="H955" s="11" t="s">
        <v>1256</v>
      </c>
      <c r="I955" s="2" t="s">
        <v>36</v>
      </c>
      <c r="J955" s="19" t="s">
        <v>1261</v>
      </c>
      <c r="M955" s="2">
        <f>IF(J955="1000+", 1000, (LEFT(J955,FIND("-",J955)-1)+RIGHT(J955,LEN(J955)-FIND("-",J955)))/2)</f>
        <v>20</v>
      </c>
      <c r="N955" s="2">
        <f>ROUND(E955 * 0.7+F955 * 0.2+G955 * 0.1,2)</f>
        <v>56.6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60</v>
      </c>
      <c r="P955" s="2">
        <f>E955 - O955</f>
        <v>-1</v>
      </c>
      <c r="Q955" s="2">
        <f>ROUND(
  SIGN(P955)*
  IF(ABS(P955)&lt;=10,ABS(P955)*0.5,
     IF(ABS(P955)&lt;=15,5+(ABS(P955)-10)*(1.67/5),
        6.67+(ABS(P955)-15)*0.333)),
2)</f>
        <v>-0.5</v>
      </c>
    </row>
    <row r="956" spans="1:17" ht="34.5" customHeight="1" x14ac:dyDescent="0.3">
      <c r="B956" s="2">
        <v>955</v>
      </c>
      <c r="C956" s="13">
        <f>ROUND(MAX(MIN(N956 + Q956, 100), 0), 2)</f>
        <v>56.1</v>
      </c>
      <c r="D956" s="2" t="s">
        <v>857</v>
      </c>
      <c r="E956" s="7">
        <v>62</v>
      </c>
      <c r="F956" s="7">
        <v>63</v>
      </c>
      <c r="G956" s="7">
        <v>61</v>
      </c>
      <c r="H956" s="2" t="s">
        <v>48</v>
      </c>
      <c r="I956" s="2" t="s">
        <v>858</v>
      </c>
      <c r="J956" s="3" t="s">
        <v>140</v>
      </c>
      <c r="M956" s="2">
        <f>IF(J956="1000+", 1000, (LEFT(J956,FIND("-",J956)-1)+RIGHT(J956,LEN(J956)-FIND("-",J956)))/2)</f>
        <v>115</v>
      </c>
      <c r="N956" s="2">
        <f>ROUND(E956 * 0.7+F956 * 0.2+G956 * 0.1,2)</f>
        <v>62.1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75</v>
      </c>
      <c r="P956" s="2">
        <f>E956 - O956</f>
        <v>-13</v>
      </c>
      <c r="Q956" s="2">
        <f>ROUND(
  SIGN(P956)*
  IF(ABS(P956)&lt;=10,ABS(P956)*0.5,
     IF(ABS(P956)&lt;=15,5+(ABS(P956)-10)*(1.67/5),
        6.67+(ABS(P956)-15)*0.333)),
2)</f>
        <v>-6</v>
      </c>
    </row>
    <row r="957" spans="1:17" ht="34.5" customHeight="1" x14ac:dyDescent="0.3">
      <c r="B957" s="2">
        <v>956</v>
      </c>
      <c r="C957" s="13">
        <f>ROUND(MAX(MIN(N957 + Q957, 100), 0), 2)</f>
        <v>56.06</v>
      </c>
      <c r="D957" s="2" t="s">
        <v>838</v>
      </c>
      <c r="E957" s="7">
        <v>63</v>
      </c>
      <c r="F957" s="7">
        <v>65</v>
      </c>
      <c r="G957" s="7">
        <v>63</v>
      </c>
      <c r="H957" s="2" t="s">
        <v>71</v>
      </c>
      <c r="I957" s="2" t="s">
        <v>637</v>
      </c>
      <c r="J957" s="3" t="s">
        <v>88</v>
      </c>
      <c r="K957" s="2" t="s">
        <v>839</v>
      </c>
      <c r="M957" s="2">
        <f>IF(J957="1000+", 1000, (LEFT(J957,FIND("-",J957)-1)+RIGHT(J957,LEN(J957)-FIND("-",J957)))/2)</f>
        <v>150</v>
      </c>
      <c r="N957" s="2">
        <f>ROUND(E957 * 0.7+F957 * 0.2+G957 * 0.1,2)</f>
        <v>63.4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80</v>
      </c>
      <c r="P957" s="2">
        <f>E957 - O957</f>
        <v>-17</v>
      </c>
      <c r="Q957" s="2">
        <f>ROUND(
  SIGN(P957)*
  IF(ABS(P957)&lt;=10,ABS(P957)*0.5,
     IF(ABS(P957)&lt;=15,5+(ABS(P957)-10)*(1.67/5),
        6.67+(ABS(P957)-15)*0.333)),
2)</f>
        <v>-7.34</v>
      </c>
    </row>
    <row r="958" spans="1:17" ht="34.5" customHeight="1" x14ac:dyDescent="0.3">
      <c r="B958" s="2">
        <v>957</v>
      </c>
      <c r="C958" s="13">
        <f>ROUND(MAX(MIN(N958 + Q958, 100), 0), 2)</f>
        <v>55.97</v>
      </c>
      <c r="D958" s="2" t="s">
        <v>840</v>
      </c>
      <c r="E958" s="7">
        <v>64</v>
      </c>
      <c r="F958" s="5">
        <v>70</v>
      </c>
      <c r="G958" s="7">
        <v>65</v>
      </c>
      <c r="H958" s="2" t="s">
        <v>71</v>
      </c>
      <c r="I958" s="2" t="s">
        <v>637</v>
      </c>
      <c r="J958" s="3" t="s">
        <v>65</v>
      </c>
      <c r="M958" s="2">
        <f>IF(J958="1000+", 1000, (LEFT(J958,FIND("-",J958)-1)+RIGHT(J958,LEN(J958)-FIND("-",J958)))/2)</f>
        <v>250</v>
      </c>
      <c r="N958" s="2">
        <f>ROUND(E958 * 0.7+F958 * 0.2+G958 * 0.1,2)</f>
        <v>65.3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87</v>
      </c>
      <c r="P958" s="2">
        <f>E958 - O958</f>
        <v>-23</v>
      </c>
      <c r="Q958" s="2">
        <f>ROUND(
  SIGN(P958)*
  IF(ABS(P958)&lt;=10,ABS(P958)*0.5,
     IF(ABS(P958)&lt;=15,5+(ABS(P958)-10)*(1.67/5),
        6.67+(ABS(P958)-15)*0.333)),
2)</f>
        <v>-9.33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55.93</v>
      </c>
      <c r="D959" s="2" t="s">
        <v>1819</v>
      </c>
      <c r="E959" s="7">
        <v>64</v>
      </c>
      <c r="F959" s="7">
        <v>63</v>
      </c>
      <c r="G959" s="7">
        <v>62</v>
      </c>
      <c r="H959" s="2" t="s">
        <v>1256</v>
      </c>
      <c r="I959" s="2" t="s">
        <v>1727</v>
      </c>
      <c r="J959" s="3" t="s">
        <v>1265</v>
      </c>
      <c r="M959" s="2">
        <f>IF(J959="1000+", 1000, (LEFT(J959,FIND("-",J959)-1)+RIGHT(J959,LEN(J959)-FIND("-",J959)))/2)</f>
        <v>200</v>
      </c>
      <c r="N959" s="2">
        <f>ROUND(E959 * 0.7+F959 * 0.2+G959 * 0.1,2)</f>
        <v>63.6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82</v>
      </c>
      <c r="P959" s="2">
        <f>E959 - O959</f>
        <v>-18</v>
      </c>
      <c r="Q959" s="2">
        <f>ROUND(
  SIGN(P959)*
  IF(ABS(P959)&lt;=10,ABS(P959)*0.5,
     IF(ABS(P959)&lt;=15,5+(ABS(P959)-10)*(1.67/5),
        6.67+(ABS(P959)-15)*0.333)),
2)</f>
        <v>-7.67</v>
      </c>
    </row>
    <row r="960" spans="1:17" ht="34.5" customHeight="1" x14ac:dyDescent="0.3">
      <c r="A960" s="2">
        <v>2026</v>
      </c>
      <c r="B960" s="2">
        <v>959</v>
      </c>
      <c r="C960" s="13">
        <f>ROUND(MAX(MIN(N960 + Q960, 100), 0), 2)</f>
        <v>55.9</v>
      </c>
      <c r="D960" s="11" t="s">
        <v>1329</v>
      </c>
      <c r="E960" s="7">
        <v>62</v>
      </c>
      <c r="F960" s="2">
        <v>55</v>
      </c>
      <c r="G960" s="2">
        <v>45</v>
      </c>
      <c r="H960" s="11" t="s">
        <v>1333</v>
      </c>
      <c r="I960" s="11" t="s">
        <v>1300</v>
      </c>
      <c r="J960" s="19" t="s">
        <v>1302</v>
      </c>
      <c r="M960" s="2">
        <f>IF(J960="1000+", 1000, (LEFT(J960,FIND("-",J960)-1)+RIGHT(J960,LEN(J960)-FIND("-",J960)))/2)</f>
        <v>60</v>
      </c>
      <c r="N960" s="2">
        <f>ROUND(E960 * 0.7+F960 * 0.2+G960 * 0.1,2)</f>
        <v>58.9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68</v>
      </c>
      <c r="P960" s="2">
        <f>E960 - O960</f>
        <v>-6</v>
      </c>
      <c r="Q960" s="2">
        <f>ROUND(
  SIGN(P960)*
  IF(ABS(P960)&lt;=10,ABS(P960)*0.5,
     IF(ABS(P960)&lt;=15,5+(ABS(P960)-10)*(1.67/5),
        6.67+(ABS(P960)-15)*0.333)),
2)</f>
        <v>-3</v>
      </c>
    </row>
    <row r="961" spans="1:17" ht="34.5" customHeight="1" x14ac:dyDescent="0.3">
      <c r="B961" s="2">
        <v>960</v>
      </c>
      <c r="C961" s="13">
        <f>ROUND(MAX(MIN(N961 + Q961, 100), 0), 2)</f>
        <v>55.8</v>
      </c>
      <c r="D961" s="2" t="s">
        <v>866</v>
      </c>
      <c r="E961" s="2">
        <v>58</v>
      </c>
      <c r="F961" s="7">
        <v>60</v>
      </c>
      <c r="G961" s="2">
        <v>52</v>
      </c>
      <c r="H961" s="2" t="s">
        <v>48</v>
      </c>
      <c r="I961" s="2" t="s">
        <v>72</v>
      </c>
      <c r="J961" s="3" t="s">
        <v>146</v>
      </c>
      <c r="M961" s="2">
        <f>IF(J961="1000+", 1000, (LEFT(J961,FIND("-",J961)-1)+RIGHT(J961,LEN(J961)-FIND("-",J961)))/2)</f>
        <v>30</v>
      </c>
      <c r="N961" s="2">
        <f>ROUND(E961 * 0.7+F961 * 0.2+G961 * 0.1,2)</f>
        <v>57.8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62</v>
      </c>
      <c r="P961" s="2">
        <f>E961 - O961</f>
        <v>-4</v>
      </c>
      <c r="Q961" s="2">
        <f>ROUND(
  SIGN(P961)*
  IF(ABS(P961)&lt;=10,ABS(P961)*0.5,
     IF(ABS(P961)&lt;=15,5+(ABS(P961)-10)*(1.67/5),
        6.67+(ABS(P961)-15)*0.333)),
2)</f>
        <v>-2</v>
      </c>
    </row>
    <row r="962" spans="1:17" ht="34.5" customHeight="1" x14ac:dyDescent="0.3">
      <c r="A962" s="2">
        <v>2026</v>
      </c>
      <c r="B962" s="2">
        <v>961</v>
      </c>
      <c r="C962" s="13">
        <f>ROUND(MAX(MIN(N962 + Q962, 100), 0), 2)</f>
        <v>55.7</v>
      </c>
      <c r="D962" s="2" t="s">
        <v>1782</v>
      </c>
      <c r="E962" s="7">
        <v>61</v>
      </c>
      <c r="F962" s="7">
        <v>61</v>
      </c>
      <c r="G962" s="2">
        <v>53</v>
      </c>
      <c r="H962" s="2" t="s">
        <v>1256</v>
      </c>
      <c r="I962" s="2" t="s">
        <v>1258</v>
      </c>
      <c r="J962" s="3" t="s">
        <v>1264</v>
      </c>
      <c r="M962" s="2">
        <f>IF(J962="1000+", 1000, (LEFT(J962,FIND("-",J962)-1)+RIGHT(J962,LEN(J962)-FIND("-",J962)))/2)</f>
        <v>75</v>
      </c>
      <c r="N962" s="2">
        <f>ROUND(E962 * 0.7+F962 * 0.2+G962 * 0.1,2)</f>
        <v>60.2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70</v>
      </c>
      <c r="P962" s="2">
        <f>E962 - O962</f>
        <v>-9</v>
      </c>
      <c r="Q962" s="2">
        <f>ROUND(
  SIGN(P962)*
  IF(ABS(P962)&lt;=10,ABS(P962)*0.5,
     IF(ABS(P962)&lt;=15,5+(ABS(P962)-10)*(1.67/5),
        6.67+(ABS(P962)-15)*0.333)),
2)</f>
        <v>-4.5</v>
      </c>
    </row>
    <row r="963" spans="1:17" ht="34.5" customHeight="1" x14ac:dyDescent="0.3">
      <c r="A963" s="2">
        <v>2026</v>
      </c>
      <c r="B963" s="2">
        <v>962</v>
      </c>
      <c r="C963" s="13">
        <f>ROUND(MAX(MIN(N963 + Q963, 100), 0), 2)</f>
        <v>55.7</v>
      </c>
      <c r="D963" s="2" t="s">
        <v>1976</v>
      </c>
      <c r="E963" s="2">
        <v>53</v>
      </c>
      <c r="F963" s="2">
        <v>57</v>
      </c>
      <c r="G963" s="2">
        <v>57</v>
      </c>
      <c r="H963" s="2" t="s">
        <v>1993</v>
      </c>
      <c r="I963" s="2" t="s">
        <v>36</v>
      </c>
      <c r="J963" s="3" t="s">
        <v>1574</v>
      </c>
      <c r="M963" s="2">
        <f>IF(J963="1000+", 1000, (LEFT(J963,FIND("-",J963)-1)+RIGHT(J963,LEN(J963)-FIND("-",J963)))/2)</f>
        <v>12.5</v>
      </c>
      <c r="N963" s="2">
        <f>ROUND(E963 * 0.7+F963 * 0.2+G963 * 0.1,2)</f>
        <v>54.2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50</v>
      </c>
      <c r="P963" s="2">
        <f>E963 - O963</f>
        <v>3</v>
      </c>
      <c r="Q963" s="2">
        <f>ROUND(
  SIGN(P963)*
  IF(ABS(P963)&lt;=10,ABS(P963)*0.5,
     IF(ABS(P963)&lt;=15,5+(ABS(P963)-10)*(1.67/5),
        6.67+(ABS(P963)-15)*0.333)),
2)</f>
        <v>1.5</v>
      </c>
    </row>
    <row r="964" spans="1:17" ht="34.5" customHeight="1" x14ac:dyDescent="0.3">
      <c r="B964" s="2">
        <v>963</v>
      </c>
      <c r="C964" s="13">
        <f>ROUND(MAX(MIN(N964 + Q964, 100), 0), 2)</f>
        <v>55.67</v>
      </c>
      <c r="D964" s="2" t="s">
        <v>759</v>
      </c>
      <c r="E964" s="2">
        <v>57</v>
      </c>
      <c r="F964" s="6">
        <v>87</v>
      </c>
      <c r="G964" s="5">
        <v>77</v>
      </c>
      <c r="H964" s="2" t="s">
        <v>135</v>
      </c>
      <c r="I964" s="2" t="s">
        <v>276</v>
      </c>
      <c r="J964" s="3" t="s">
        <v>88</v>
      </c>
      <c r="M964" s="2">
        <f>IF(J964="1000+", 1000, (LEFT(J964,FIND("-",J964)-1)+RIGHT(J964,LEN(J964)-FIND("-",J964)))/2)</f>
        <v>150</v>
      </c>
      <c r="N964" s="2">
        <f>ROUND(E964 * 0.7+F964 * 0.2+G964 * 0.1,2)</f>
        <v>65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80</v>
      </c>
      <c r="P964" s="2">
        <f>E964 - O964</f>
        <v>-23</v>
      </c>
      <c r="Q964" s="2">
        <f>ROUND(
  SIGN(P964)*
  IF(ABS(P964)&lt;=10,ABS(P964)*0.5,
     IF(ABS(P964)&lt;=15,5+(ABS(P964)-10)*(1.67/5),
        6.67+(ABS(P964)-15)*0.333)),
2)</f>
        <v>-9.33</v>
      </c>
    </row>
    <row r="965" spans="1:17" ht="34.5" customHeight="1" x14ac:dyDescent="0.3">
      <c r="B965" s="2">
        <v>964</v>
      </c>
      <c r="C965" s="13">
        <f>ROUND(MAX(MIN(N965 + Q965, 100), 0), 2)</f>
        <v>55.67</v>
      </c>
      <c r="D965" s="2" t="s">
        <v>916</v>
      </c>
      <c r="E965" s="7">
        <v>60</v>
      </c>
      <c r="F965" s="4">
        <v>93</v>
      </c>
      <c r="G965" s="6">
        <v>84</v>
      </c>
      <c r="H965" s="2" t="s">
        <v>78</v>
      </c>
      <c r="I965" s="2" t="s">
        <v>79</v>
      </c>
      <c r="J965" s="3" t="s">
        <v>50</v>
      </c>
      <c r="M965" s="2">
        <f>IF(J965="1000+", 1000, (LEFT(J965,FIND("-",J965)-1)+RIGHT(J965,LEN(J965)-FIND("-",J965)))/2)</f>
        <v>1000</v>
      </c>
      <c r="N965" s="2">
        <f>ROUND(E965 * 0.7+F965 * 0.2+G965 * 0.1,2)</f>
        <v>69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95</v>
      </c>
      <c r="P965" s="2">
        <f>E965 - O965</f>
        <v>-35</v>
      </c>
      <c r="Q965" s="2">
        <f>ROUND(
  SIGN(P965)*
  IF(ABS(P965)&lt;=10,ABS(P965)*0.5,
     IF(ABS(P965)&lt;=15,5+(ABS(P965)-10)*(1.67/5),
        6.67+(ABS(P965)-15)*0.333)),
2)</f>
        <v>-13.33</v>
      </c>
    </row>
    <row r="966" spans="1:17" ht="34.5" customHeight="1" x14ac:dyDescent="0.3">
      <c r="B966" s="2">
        <v>965</v>
      </c>
      <c r="C966" s="13">
        <f>ROUND(MAX(MIN(N966 + Q966, 100), 0), 2)</f>
        <v>55.6</v>
      </c>
      <c r="D966" s="2" t="s">
        <v>988</v>
      </c>
      <c r="E966" s="2">
        <v>56</v>
      </c>
      <c r="F966" s="2">
        <v>50</v>
      </c>
      <c r="G966" s="2">
        <v>34</v>
      </c>
      <c r="H966" s="2" t="s">
        <v>104</v>
      </c>
      <c r="I966" s="2" t="s">
        <v>447</v>
      </c>
      <c r="J966" s="3" t="s">
        <v>92</v>
      </c>
      <c r="M966" s="2">
        <f>IF(J966="1000+", 1000, (LEFT(J966,FIND("-",J966)-1)+RIGHT(J966,LEN(J966)-FIND("-",J966)))/2)</f>
        <v>12.5</v>
      </c>
      <c r="N966" s="2">
        <f>ROUND(E966 * 0.7+F966 * 0.2+G966 * 0.1,2)</f>
        <v>52.6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50</v>
      </c>
      <c r="P966" s="2">
        <f>E966 - O966</f>
        <v>6</v>
      </c>
      <c r="Q966" s="2">
        <f>ROUND(
  SIGN(P966)*
  IF(ABS(P966)&lt;=10,ABS(P966)*0.5,
     IF(ABS(P966)&lt;=15,5+(ABS(P966)-10)*(1.67/5),
        6.67+(ABS(P966)-15)*0.333)),
2)</f>
        <v>3</v>
      </c>
    </row>
    <row r="967" spans="1:17" ht="34.5" customHeight="1" x14ac:dyDescent="0.3">
      <c r="A967" s="2">
        <v>2026</v>
      </c>
      <c r="B967" s="2">
        <v>966</v>
      </c>
      <c r="C967" s="13">
        <f>ROUND(MAX(MIN(N967 + Q967, 100), 0), 2)</f>
        <v>55.6</v>
      </c>
      <c r="D967" s="11" t="s">
        <v>1284</v>
      </c>
      <c r="E967" s="2">
        <v>57</v>
      </c>
      <c r="F967" s="7">
        <v>60</v>
      </c>
      <c r="G967" s="2">
        <v>52</v>
      </c>
      <c r="H967" s="11" t="s">
        <v>1256</v>
      </c>
      <c r="I967" s="11" t="s">
        <v>1288</v>
      </c>
      <c r="J967" s="19" t="s">
        <v>1261</v>
      </c>
      <c r="M967" s="2">
        <f>IF(J967="1000+", 1000, (LEFT(J967,FIND("-",J967)-1)+RIGHT(J967,LEN(J967)-FIND("-",J967)))/2)</f>
        <v>20</v>
      </c>
      <c r="N967" s="2">
        <f>ROUND(E967 * 0.7+F967 * 0.2+G967 * 0.1,2)</f>
        <v>57.1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60</v>
      </c>
      <c r="P967" s="2">
        <f>E967 - O967</f>
        <v>-3</v>
      </c>
      <c r="Q967" s="2">
        <f>ROUND(
  SIGN(P967)*
  IF(ABS(P967)&lt;=10,ABS(P967)*0.5,
     IF(ABS(P967)&lt;=15,5+(ABS(P967)-10)*(1.67/5),
        6.67+(ABS(P967)-15)*0.333)),
2)</f>
        <v>-1.5</v>
      </c>
    </row>
    <row r="968" spans="1:17" ht="34.5" customHeight="1" x14ac:dyDescent="0.3">
      <c r="B968" s="2">
        <v>967</v>
      </c>
      <c r="C968" s="13">
        <f>ROUND(MAX(MIN(N968 + Q968, 100), 0), 2)</f>
        <v>55.56</v>
      </c>
      <c r="D968" s="2" t="s">
        <v>878</v>
      </c>
      <c r="E968" s="7">
        <v>63</v>
      </c>
      <c r="F968" s="7">
        <v>66</v>
      </c>
      <c r="G968" s="2">
        <v>56</v>
      </c>
      <c r="H968" s="2" t="s">
        <v>48</v>
      </c>
      <c r="I968" s="2" t="s">
        <v>100</v>
      </c>
      <c r="J968" s="3" t="s">
        <v>88</v>
      </c>
      <c r="M968" s="2">
        <f>IF(J968="1000+", 1000, (LEFT(J968,FIND("-",J968)-1)+RIGHT(J968,LEN(J968)-FIND("-",J968)))/2)</f>
        <v>150</v>
      </c>
      <c r="N968" s="2">
        <f>ROUND(E968 * 0.7+F968 * 0.2+G968 * 0.1,2)</f>
        <v>62.9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80</v>
      </c>
      <c r="P968" s="2">
        <f>E968 - O968</f>
        <v>-17</v>
      </c>
      <c r="Q968" s="2">
        <f>ROUND(
  SIGN(P968)*
  IF(ABS(P968)&lt;=10,ABS(P968)*0.5,
     IF(ABS(P968)&lt;=15,5+(ABS(P968)-10)*(1.67/5),
        6.67+(ABS(P968)-15)*0.333)),
2)</f>
        <v>-7.34</v>
      </c>
    </row>
    <row r="969" spans="1:17" ht="34.5" customHeight="1" x14ac:dyDescent="0.3">
      <c r="A969" s="2">
        <v>2026</v>
      </c>
      <c r="B969" s="2">
        <v>968</v>
      </c>
      <c r="C969" s="13">
        <f>ROUND(MAX(MIN(N969 + Q969, 100), 0), 2)</f>
        <v>55.5</v>
      </c>
      <c r="D969" s="2" t="s">
        <v>1985</v>
      </c>
      <c r="E969" s="7">
        <v>60</v>
      </c>
      <c r="F969" s="7">
        <v>62</v>
      </c>
      <c r="G969" s="2">
        <v>51</v>
      </c>
      <c r="H969" s="2" t="s">
        <v>1994</v>
      </c>
      <c r="I969" s="2" t="s">
        <v>1258</v>
      </c>
      <c r="J969" s="3" t="s">
        <v>1302</v>
      </c>
      <c r="M969" s="2">
        <f>IF(J969="1000+", 1000, (LEFT(J969,FIND("-",J969)-1)+RIGHT(J969,LEN(J969)-FIND("-",J969)))/2)</f>
        <v>60</v>
      </c>
      <c r="N969" s="2">
        <f>ROUND(E969 * 0.7+F969 * 0.2+G969 * 0.1,2)</f>
        <v>59.5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68</v>
      </c>
      <c r="P969" s="2">
        <f>E969 - O969</f>
        <v>-8</v>
      </c>
      <c r="Q969" s="2">
        <f>ROUND(
  SIGN(P969)*
  IF(ABS(P969)&lt;=10,ABS(P969)*0.5,
     IF(ABS(P969)&lt;=15,5+(ABS(P969)-10)*(1.67/5),
        6.67+(ABS(P969)-15)*0.333)),
2)</f>
        <v>-4</v>
      </c>
    </row>
    <row r="970" spans="1:17" ht="34.5" customHeight="1" x14ac:dyDescent="0.3">
      <c r="B970" s="2">
        <v>969</v>
      </c>
      <c r="C970" s="13">
        <f>ROUND(MAX(MIN(N970 + Q970, 100), 0), 2)</f>
        <v>55.46</v>
      </c>
      <c r="D970" s="2" t="s">
        <v>881</v>
      </c>
      <c r="E970" s="7">
        <v>63</v>
      </c>
      <c r="F970" s="7">
        <v>61</v>
      </c>
      <c r="G970" s="7">
        <v>65</v>
      </c>
      <c r="H970" s="2" t="s">
        <v>61</v>
      </c>
      <c r="I970" s="2" t="s">
        <v>22</v>
      </c>
      <c r="J970" s="3" t="s">
        <v>88</v>
      </c>
      <c r="M970" s="2">
        <f>IF(J970="1000+", 1000, (LEFT(J970,FIND("-",J970)-1)+RIGHT(J970,LEN(J970)-FIND("-",J970)))/2)</f>
        <v>150</v>
      </c>
      <c r="N970" s="2">
        <f>ROUND(E970 * 0.7+F970 * 0.2+G970 * 0.1,2)</f>
        <v>62.8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80</v>
      </c>
      <c r="P970" s="2">
        <f>E970 - O970</f>
        <v>-17</v>
      </c>
      <c r="Q970" s="2">
        <f>ROUND(
  SIGN(P970)*
  IF(ABS(P970)&lt;=10,ABS(P970)*0.5,
     IF(ABS(P970)&lt;=15,5+(ABS(P970)-10)*(1.67/5),
        6.67+(ABS(P970)-15)*0.333)),
2)</f>
        <v>-7.34</v>
      </c>
    </row>
    <row r="971" spans="1:17" ht="34.5" customHeight="1" x14ac:dyDescent="0.3">
      <c r="B971" s="2">
        <v>970</v>
      </c>
      <c r="C971" s="13">
        <f>ROUND(MAX(MIN(N971 + Q971, 100), 0), 2)</f>
        <v>55.43</v>
      </c>
      <c r="D971" s="2" t="s">
        <v>869</v>
      </c>
      <c r="E971" s="7">
        <v>62</v>
      </c>
      <c r="F971" s="7">
        <v>65</v>
      </c>
      <c r="G971" s="7">
        <v>67</v>
      </c>
      <c r="H971" s="2" t="s">
        <v>75</v>
      </c>
      <c r="I971" s="2" t="s">
        <v>41</v>
      </c>
      <c r="J971" s="3" t="s">
        <v>88</v>
      </c>
      <c r="M971" s="2">
        <f>IF(J971="1000+", 1000, (LEFT(J971,FIND("-",J971)-1)+RIGHT(J971,LEN(J971)-FIND("-",J971)))/2)</f>
        <v>150</v>
      </c>
      <c r="N971" s="2">
        <f>ROUND(E971 * 0.7+F971 * 0.2+G971 * 0.1,2)</f>
        <v>63.1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80</v>
      </c>
      <c r="P971" s="2">
        <f>E971 - O971</f>
        <v>-18</v>
      </c>
      <c r="Q971" s="2">
        <f>ROUND(
  SIGN(P971)*
  IF(ABS(P971)&lt;=10,ABS(P971)*0.5,
     IF(ABS(P971)&lt;=15,5+(ABS(P971)-10)*(1.67/5),
        6.67+(ABS(P971)-15)*0.333)),
2)</f>
        <v>-7.67</v>
      </c>
    </row>
    <row r="972" spans="1:17" ht="34.5" customHeight="1" x14ac:dyDescent="0.3">
      <c r="B972" s="2">
        <v>971</v>
      </c>
      <c r="C972" s="13">
        <f>ROUND(MAX(MIN(N972 + Q972, 100), 0), 2)</f>
        <v>55.4</v>
      </c>
      <c r="D972" s="2" t="s">
        <v>908</v>
      </c>
      <c r="E972" s="7">
        <v>60</v>
      </c>
      <c r="F972" s="2">
        <v>45</v>
      </c>
      <c r="G972" s="2">
        <v>54</v>
      </c>
      <c r="H972" s="2" t="s">
        <v>64</v>
      </c>
      <c r="I972" s="2" t="s">
        <v>36</v>
      </c>
      <c r="J972" s="3" t="s">
        <v>146</v>
      </c>
      <c r="M972" s="2">
        <f>IF(J972="1000+", 1000, (LEFT(J972,FIND("-",J972)-1)+RIGHT(J972,LEN(J972)-FIND("-",J972)))/2)</f>
        <v>30</v>
      </c>
      <c r="N972" s="2">
        <f>ROUND(E972 * 0.7+F972 * 0.2+G972 * 0.1,2)</f>
        <v>56.4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62</v>
      </c>
      <c r="P972" s="2">
        <f>E972 - O972</f>
        <v>-2</v>
      </c>
      <c r="Q972" s="2">
        <f>ROUND(
  SIGN(P972)*
  IF(ABS(P972)&lt;=10,ABS(P972)*0.5,
     IF(ABS(P972)&lt;=15,5+(ABS(P972)-10)*(1.67/5),
        6.67+(ABS(P972)-15)*0.333)),
2)</f>
        <v>-1</v>
      </c>
    </row>
    <row r="973" spans="1:17" ht="34.5" customHeight="1" x14ac:dyDescent="0.3">
      <c r="B973" s="2">
        <v>972</v>
      </c>
      <c r="C973" s="13">
        <f>ROUND(MAX(MIN(N973 + Q973, 100), 0), 2)</f>
        <v>55.4</v>
      </c>
      <c r="D973" s="2" t="s">
        <v>876</v>
      </c>
      <c r="E973" s="7">
        <v>62</v>
      </c>
      <c r="F973" s="2">
        <v>55</v>
      </c>
      <c r="G973" s="5">
        <v>70</v>
      </c>
      <c r="H973" s="2" t="s">
        <v>346</v>
      </c>
      <c r="I973" s="2" t="s">
        <v>79</v>
      </c>
      <c r="J973" s="3" t="s">
        <v>140</v>
      </c>
      <c r="M973" s="2">
        <f>IF(J973="1000+", 1000, (LEFT(J973,FIND("-",J973)-1)+RIGHT(J973,LEN(J973)-FIND("-",J973)))/2)</f>
        <v>115</v>
      </c>
      <c r="N973" s="2">
        <f>ROUND(E973 * 0.7+F973 * 0.2+G973 * 0.1,2)</f>
        <v>61.4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75</v>
      </c>
      <c r="P973" s="2">
        <f>E973 - O973</f>
        <v>-13</v>
      </c>
      <c r="Q973" s="2">
        <f>ROUND(
  SIGN(P973)*
  IF(ABS(P973)&lt;=10,ABS(P973)*0.5,
     IF(ABS(P973)&lt;=15,5+(ABS(P973)-10)*(1.67/5),
        6.67+(ABS(P973)-15)*0.333)),
2)</f>
        <v>-6</v>
      </c>
    </row>
    <row r="974" spans="1:17" ht="34.5" customHeight="1" x14ac:dyDescent="0.3">
      <c r="B974" s="2">
        <v>973</v>
      </c>
      <c r="C974" s="13">
        <f>ROUND(MAX(MIN(N974 + Q974, 100), 0), 2)</f>
        <v>55.3</v>
      </c>
      <c r="D974" s="2" t="s">
        <v>960</v>
      </c>
      <c r="E974" s="2">
        <v>57</v>
      </c>
      <c r="F974" s="2">
        <v>52</v>
      </c>
      <c r="G974" s="2">
        <v>40</v>
      </c>
      <c r="H974" s="2" t="s">
        <v>104</v>
      </c>
      <c r="I974" s="2" t="s">
        <v>36</v>
      </c>
      <c r="J974" s="3" t="s">
        <v>37</v>
      </c>
      <c r="M974" s="2">
        <f>IF(J974="1000+", 1000, (LEFT(J974,FIND("-",J974)-1)+RIGHT(J974,LEN(J974)-FIND("-",J974)))/2)</f>
        <v>15</v>
      </c>
      <c r="N974" s="2">
        <f>ROUND(E974 * 0.7+F974 * 0.2+G974 * 0.1,2)</f>
        <v>54.3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55</v>
      </c>
      <c r="P974" s="2">
        <f>E974 - O974</f>
        <v>2</v>
      </c>
      <c r="Q974" s="2">
        <f>ROUND(
  SIGN(P974)*
  IF(ABS(P974)&lt;=10,ABS(P974)*0.5,
     IF(ABS(P974)&lt;=15,5+(ABS(P974)-10)*(1.67/5),
        6.67+(ABS(P974)-15)*0.333)),
2)</f>
        <v>1</v>
      </c>
    </row>
    <row r="975" spans="1:17" ht="34.5" customHeight="1" x14ac:dyDescent="0.3">
      <c r="B975" s="2">
        <v>974</v>
      </c>
      <c r="C975" s="13">
        <f>ROUND(MAX(MIN(N975 + Q975, 100), 0), 2)</f>
        <v>55.3</v>
      </c>
      <c r="D975" s="2" t="s">
        <v>880</v>
      </c>
      <c r="E975" s="7">
        <v>60</v>
      </c>
      <c r="F975" s="2">
        <v>50</v>
      </c>
      <c r="G975" s="2">
        <v>58</v>
      </c>
      <c r="H975" s="2" t="s">
        <v>31</v>
      </c>
      <c r="I975" s="2" t="s">
        <v>72</v>
      </c>
      <c r="J975" s="3" t="s">
        <v>32</v>
      </c>
      <c r="M975" s="2">
        <f>IF(J975="1000+", 1000, (LEFT(J975,FIND("-",J975)-1)+RIGHT(J975,LEN(J975)-FIND("-",J975)))/2)</f>
        <v>45</v>
      </c>
      <c r="N975" s="2">
        <f>ROUND(E975 * 0.7+F975 * 0.2+G975 * 0.1,2)</f>
        <v>57.8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65</v>
      </c>
      <c r="P975" s="2">
        <f>E975 - O975</f>
        <v>-5</v>
      </c>
      <c r="Q975" s="2">
        <f>ROUND(
  SIGN(P975)*
  IF(ABS(P975)&lt;=10,ABS(P975)*0.5,
     IF(ABS(P975)&lt;=15,5+(ABS(P975)-10)*(1.67/5),
        6.67+(ABS(P975)-15)*0.333)),
2)</f>
        <v>-2.5</v>
      </c>
    </row>
    <row r="976" spans="1:17" ht="34.5" customHeight="1" x14ac:dyDescent="0.3">
      <c r="A976" s="2">
        <v>2026</v>
      </c>
      <c r="B976" s="2">
        <v>975</v>
      </c>
      <c r="C976" s="13">
        <f>ROUND(MAX(MIN(N976 + Q976, 100), 0), 2)</f>
        <v>55.3</v>
      </c>
      <c r="D976" s="2" t="s">
        <v>948</v>
      </c>
      <c r="E976" s="7">
        <v>65</v>
      </c>
      <c r="F976" s="7">
        <v>60</v>
      </c>
      <c r="G976" s="5">
        <v>78</v>
      </c>
      <c r="H976" s="2" t="s">
        <v>45</v>
      </c>
      <c r="I976" s="2" t="s">
        <v>13</v>
      </c>
      <c r="J976" s="3" t="s">
        <v>42</v>
      </c>
      <c r="M976" s="2">
        <f>IF(J976="1000+", 1000, (LEFT(J976,FIND("-",J976)-1)+RIGHT(J976,LEN(J976)-FIND("-",J976)))/2)</f>
        <v>600</v>
      </c>
      <c r="N976" s="2">
        <f>ROUND(E976 * 0.7+F976 * 0.2+G976 * 0.1,2)</f>
        <v>65.3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90</v>
      </c>
      <c r="P976" s="2">
        <f>E976 - O976</f>
        <v>-25</v>
      </c>
      <c r="Q976" s="2">
        <f>ROUND(
  SIGN(P976)*
  IF(ABS(P976)&lt;=10,ABS(P976)*0.5,
     IF(ABS(P976)&lt;=15,5+(ABS(P976)-10)*(1.67/5),
        6.67+(ABS(P976)-15)*0.333)),
2)</f>
        <v>-10</v>
      </c>
    </row>
    <row r="977" spans="1:17" ht="34.5" customHeight="1" x14ac:dyDescent="0.3">
      <c r="B977" s="2">
        <v>976</v>
      </c>
      <c r="C977" s="13">
        <f>ROUND(MAX(MIN(N977 + Q977, 100), 0), 2)</f>
        <v>55.3</v>
      </c>
      <c r="D977" s="2" t="s">
        <v>938</v>
      </c>
      <c r="E977" s="7">
        <v>65</v>
      </c>
      <c r="F977" s="7">
        <v>63</v>
      </c>
      <c r="G977" s="5">
        <v>72</v>
      </c>
      <c r="H977" s="2" t="s">
        <v>324</v>
      </c>
      <c r="I977" s="2" t="s">
        <v>325</v>
      </c>
      <c r="J977" s="3" t="s">
        <v>42</v>
      </c>
      <c r="M977" s="2">
        <f>IF(J977="1000+", 1000, (LEFT(J977,FIND("-",J977)-1)+RIGHT(J977,LEN(J977)-FIND("-",J977)))/2)</f>
        <v>600</v>
      </c>
      <c r="N977" s="2">
        <f>ROUND(E977 * 0.7+F977 * 0.2+G977 * 0.1,2)</f>
        <v>65.3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90</v>
      </c>
      <c r="P977" s="2">
        <f>E977 - O977</f>
        <v>-25</v>
      </c>
      <c r="Q977" s="2">
        <f>ROUND(
  SIGN(P977)*
  IF(ABS(P977)&lt;=10,ABS(P977)*0.5,
     IF(ABS(P977)&lt;=15,5+(ABS(P977)-10)*(1.67/5),
        6.67+(ABS(P977)-15)*0.333)),
2)</f>
        <v>-10</v>
      </c>
    </row>
    <row r="978" spans="1:17" ht="34.5" customHeight="1" x14ac:dyDescent="0.3">
      <c r="B978" s="2">
        <v>977</v>
      </c>
      <c r="C978" s="13">
        <f>ROUND(MAX(MIN(N978 + Q978, 100), 0), 2)</f>
        <v>55.27</v>
      </c>
      <c r="D978" s="2" t="s">
        <v>891</v>
      </c>
      <c r="E978" s="7">
        <v>64</v>
      </c>
      <c r="F978" s="5">
        <v>77</v>
      </c>
      <c r="G978" s="2">
        <v>54</v>
      </c>
      <c r="H978" s="2" t="s">
        <v>31</v>
      </c>
      <c r="I978" s="2" t="s">
        <v>177</v>
      </c>
      <c r="J978" s="3" t="s">
        <v>42</v>
      </c>
      <c r="M978" s="2">
        <f>IF(J978="1000+", 1000, (LEFT(J978,FIND("-",J978)-1)+RIGHT(J978,LEN(J978)-FIND("-",J978)))/2)</f>
        <v>600</v>
      </c>
      <c r="N978" s="2">
        <f>ROUND(E978 * 0.7+F978 * 0.2+G978 * 0.1,2)</f>
        <v>65.599999999999994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90</v>
      </c>
      <c r="P978" s="2">
        <f>E978 - O978</f>
        <v>-26</v>
      </c>
      <c r="Q978" s="2">
        <f>ROUND(
  SIGN(P978)*
  IF(ABS(P978)&lt;=10,ABS(P978)*0.5,
     IF(ABS(P978)&lt;=15,5+(ABS(P978)-10)*(1.67/5),
        6.67+(ABS(P978)-15)*0.333)),
2)</f>
        <v>-10.33</v>
      </c>
    </row>
    <row r="979" spans="1:17" ht="34.5" customHeight="1" x14ac:dyDescent="0.3">
      <c r="B979" s="2">
        <v>978</v>
      </c>
      <c r="C979" s="13">
        <f>ROUND(MAX(MIN(N979 + Q979, 100), 0), 2)</f>
        <v>55.03</v>
      </c>
      <c r="D979" s="2" t="s">
        <v>903</v>
      </c>
      <c r="E979" s="7">
        <v>63</v>
      </c>
      <c r="F979" s="2">
        <v>57</v>
      </c>
      <c r="G979" s="2">
        <v>52</v>
      </c>
      <c r="H979" s="2" t="s">
        <v>58</v>
      </c>
      <c r="I979" s="2" t="s">
        <v>49</v>
      </c>
      <c r="J979" s="3" t="s">
        <v>140</v>
      </c>
      <c r="M979" s="2">
        <f>IF(J979="1000+", 1000, (LEFT(J979,FIND("-",J979)-1)+RIGHT(J979,LEN(J979)-FIND("-",J979)))/2)</f>
        <v>115</v>
      </c>
      <c r="N979" s="2">
        <f>ROUND(E979 * 0.7+F979 * 0.2+G979 * 0.1,2)</f>
        <v>60.7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75</v>
      </c>
      <c r="P979" s="2">
        <f>E979 - O979</f>
        <v>-12</v>
      </c>
      <c r="Q979" s="2">
        <f>ROUND(
  SIGN(P979)*
  IF(ABS(P979)&lt;=10,ABS(P979)*0.5,
     IF(ABS(P979)&lt;=15,5+(ABS(P979)-10)*(1.67/5),
        6.67+(ABS(P979)-15)*0.333)),
2)</f>
        <v>-5.67</v>
      </c>
    </row>
    <row r="980" spans="1:17" ht="34.5" customHeight="1" x14ac:dyDescent="0.3">
      <c r="B980" s="2">
        <v>979</v>
      </c>
      <c r="C980" s="13">
        <f>ROUND(MAX(MIN(N980 + Q980, 100), 0), 2)</f>
        <v>55</v>
      </c>
      <c r="D980" s="2" t="s">
        <v>907</v>
      </c>
      <c r="E980" s="7">
        <v>64</v>
      </c>
      <c r="F980" s="2">
        <v>56</v>
      </c>
      <c r="G980" s="7">
        <v>60</v>
      </c>
      <c r="H980" s="2" t="s">
        <v>135</v>
      </c>
      <c r="I980" s="2" t="s">
        <v>276</v>
      </c>
      <c r="J980" s="3" t="s">
        <v>88</v>
      </c>
      <c r="M980" s="2">
        <f>IF(J980="1000+", 1000, (LEFT(J980,FIND("-",J980)-1)+RIGHT(J980,LEN(J980)-FIND("-",J980)))/2)</f>
        <v>150</v>
      </c>
      <c r="N980" s="2">
        <f>ROUND(E980 * 0.7+F980 * 0.2+G980 * 0.1,2)</f>
        <v>62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80</v>
      </c>
      <c r="P980" s="2">
        <f>E980 - O980</f>
        <v>-16</v>
      </c>
      <c r="Q980" s="2">
        <f>ROUND(
  SIGN(P980)*
  IF(ABS(P980)&lt;=10,ABS(P980)*0.5,
     IF(ABS(P980)&lt;=15,5+(ABS(P980)-10)*(1.67/5),
        6.67+(ABS(P980)-15)*0.333)),
2)</f>
        <v>-7</v>
      </c>
    </row>
    <row r="981" spans="1:17" ht="34.5" customHeight="1" x14ac:dyDescent="0.3">
      <c r="A981" s="2">
        <v>2026</v>
      </c>
      <c r="B981" s="2">
        <v>980</v>
      </c>
      <c r="C981" s="13">
        <f>ROUND(MAX(MIN(N981 + Q981, 100), 0), 2)</f>
        <v>55</v>
      </c>
      <c r="D981" s="11" t="s">
        <v>1339</v>
      </c>
      <c r="E981" s="2">
        <v>57</v>
      </c>
      <c r="F981" s="2">
        <v>56</v>
      </c>
      <c r="G981" s="2">
        <v>54</v>
      </c>
      <c r="H981" s="11" t="s">
        <v>1256</v>
      </c>
      <c r="I981" s="2" t="s">
        <v>36</v>
      </c>
      <c r="J981" s="19" t="s">
        <v>1261</v>
      </c>
      <c r="M981" s="2">
        <f>IF(J981="1000+", 1000, (LEFT(J981,FIND("-",J981)-1)+RIGHT(J981,LEN(J981)-FIND("-",J981)))/2)</f>
        <v>20</v>
      </c>
      <c r="N981" s="2">
        <f>ROUND(E981 * 0.7+F981 * 0.2+G981 * 0.1,2)</f>
        <v>56.5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60</v>
      </c>
      <c r="P981" s="2">
        <f>E981 - O981</f>
        <v>-3</v>
      </c>
      <c r="Q981" s="2">
        <f>ROUND(
  SIGN(P981)*
  IF(ABS(P981)&lt;=10,ABS(P981)*0.5,
     IF(ABS(P981)&lt;=15,5+(ABS(P981)-10)*(1.67/5),
        6.67+(ABS(P981)-15)*0.333)),
2)</f>
        <v>-1.5</v>
      </c>
    </row>
    <row r="982" spans="1:17" ht="34.5" customHeight="1" x14ac:dyDescent="0.3">
      <c r="B982" s="2">
        <v>981</v>
      </c>
      <c r="C982" s="13">
        <f>ROUND(MAX(MIN(N982 + Q982, 100), 0), 2)</f>
        <v>54.93</v>
      </c>
      <c r="D982" s="2" t="s">
        <v>845</v>
      </c>
      <c r="E982" s="2">
        <v>57</v>
      </c>
      <c r="F982" s="5">
        <v>75</v>
      </c>
      <c r="G982" s="5">
        <v>77</v>
      </c>
      <c r="H982" s="2" t="s">
        <v>53</v>
      </c>
      <c r="I982" s="2" t="s">
        <v>22</v>
      </c>
      <c r="J982" s="3" t="s">
        <v>140</v>
      </c>
      <c r="M982" s="2">
        <f>IF(J982="1000+", 1000, (LEFT(J982,FIND("-",J982)-1)+RIGHT(J982,LEN(J982)-FIND("-",J982)))/2)</f>
        <v>115</v>
      </c>
      <c r="N982" s="2">
        <f>ROUND(E982 * 0.7+F982 * 0.2+G982 * 0.1,2)</f>
        <v>62.6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75</v>
      </c>
      <c r="P982" s="2">
        <f>E982 - O982</f>
        <v>-18</v>
      </c>
      <c r="Q982" s="2">
        <f>ROUND(
  SIGN(P982)*
  IF(ABS(P982)&lt;=10,ABS(P982)*0.5,
     IF(ABS(P982)&lt;=15,5+(ABS(P982)-10)*(1.67/5),
        6.67+(ABS(P982)-15)*0.333)),
2)</f>
        <v>-7.67</v>
      </c>
    </row>
    <row r="983" spans="1:17" ht="34.5" customHeight="1" x14ac:dyDescent="0.3">
      <c r="B983" s="2">
        <v>982</v>
      </c>
      <c r="C983" s="13">
        <f>ROUND(MAX(MIN(N983 + Q983, 100), 0), 2)</f>
        <v>54.86</v>
      </c>
      <c r="D983" s="2" t="s">
        <v>867</v>
      </c>
      <c r="E983" s="7">
        <v>60</v>
      </c>
      <c r="F983" s="5">
        <v>73</v>
      </c>
      <c r="G983" s="7">
        <v>66</v>
      </c>
      <c r="H983" s="2" t="s">
        <v>379</v>
      </c>
      <c r="I983" s="2" t="s">
        <v>36</v>
      </c>
      <c r="J983" s="3" t="s">
        <v>88</v>
      </c>
      <c r="M983" s="2">
        <f>IF(J983="1000+", 1000, (LEFT(J983,FIND("-",J983)-1)+RIGHT(J983,LEN(J983)-FIND("-",J983)))/2)</f>
        <v>150</v>
      </c>
      <c r="N983" s="2">
        <f>ROUND(E983 * 0.7+F983 * 0.2+G983 * 0.1,2)</f>
        <v>63.2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80</v>
      </c>
      <c r="P983" s="2">
        <f>E983 - O983</f>
        <v>-20</v>
      </c>
      <c r="Q983" s="2">
        <f>ROUND(
  SIGN(P983)*
  IF(ABS(P983)&lt;=10,ABS(P983)*0.5,
     IF(ABS(P983)&lt;=15,5+(ABS(P983)-10)*(1.67/5),
        6.67+(ABS(P983)-15)*0.333)),
2)</f>
        <v>-8.34</v>
      </c>
    </row>
    <row r="984" spans="1:17" ht="34.5" customHeight="1" x14ac:dyDescent="0.3">
      <c r="B984" s="2">
        <v>983</v>
      </c>
      <c r="C984" s="13">
        <f>ROUND(MAX(MIN(N984 + Q984, 100), 0), 2)</f>
        <v>54.73</v>
      </c>
      <c r="D984" s="2" t="s">
        <v>879</v>
      </c>
      <c r="E984" s="7">
        <v>60</v>
      </c>
      <c r="F984" s="7">
        <v>62</v>
      </c>
      <c r="G984" s="7">
        <v>60</v>
      </c>
      <c r="H984" s="2" t="s">
        <v>48</v>
      </c>
      <c r="I984" s="2" t="s">
        <v>332</v>
      </c>
      <c r="J984" s="3" t="s">
        <v>122</v>
      </c>
      <c r="M984" s="2">
        <f>IF(J984="1000+", 1000, (LEFT(J984,FIND("-",J984)-1)+RIGHT(J984,LEN(J984)-FIND("-",J984)))/2)</f>
        <v>105</v>
      </c>
      <c r="N984" s="2">
        <f>ROUND(E984 * 0.7+F984 * 0.2+G984 * 0.1,2)</f>
        <v>60.4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72</v>
      </c>
      <c r="P984" s="2">
        <f>E984 - O984</f>
        <v>-12</v>
      </c>
      <c r="Q984" s="2">
        <f>ROUND(
  SIGN(P984)*
  IF(ABS(P984)&lt;=10,ABS(P984)*0.5,
     IF(ABS(P984)&lt;=15,5+(ABS(P984)-10)*(1.67/5),
        6.67+(ABS(P984)-15)*0.333)),
2)</f>
        <v>-5.67</v>
      </c>
    </row>
    <row r="985" spans="1:17" ht="34.5" customHeight="1" x14ac:dyDescent="0.3">
      <c r="B985" s="2">
        <v>984</v>
      </c>
      <c r="C985" s="13">
        <f>ROUND(MAX(MIN(N985 + Q985, 100), 0), 2)</f>
        <v>54.7</v>
      </c>
      <c r="D985" s="2" t="s">
        <v>925</v>
      </c>
      <c r="E985" s="7">
        <v>62</v>
      </c>
      <c r="F985" s="2">
        <v>50</v>
      </c>
      <c r="G985" s="2">
        <v>43</v>
      </c>
      <c r="H985" s="2" t="s">
        <v>85</v>
      </c>
      <c r="I985" s="2" t="s">
        <v>22</v>
      </c>
      <c r="J985" s="3" t="s">
        <v>23</v>
      </c>
      <c r="M985" s="2">
        <f>IF(J985="1000+", 1000, (LEFT(J985,FIND("-",J985)-1)+RIGHT(J985,LEN(J985)-FIND("-",J985)))/2)</f>
        <v>60</v>
      </c>
      <c r="N985" s="2">
        <f>ROUND(E985 * 0.7+F985 * 0.2+G985 * 0.1,2)</f>
        <v>57.7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68</v>
      </c>
      <c r="P985" s="2">
        <f>E985 - O985</f>
        <v>-6</v>
      </c>
      <c r="Q985" s="2">
        <f>ROUND(
  SIGN(P985)*
  IF(ABS(P985)&lt;=10,ABS(P985)*0.5,
     IF(ABS(P985)&lt;=15,5+(ABS(P985)-10)*(1.67/5),
        6.67+(ABS(P985)-15)*0.333)),
2)</f>
        <v>-3</v>
      </c>
    </row>
    <row r="986" spans="1:17" ht="34.5" customHeight="1" x14ac:dyDescent="0.3">
      <c r="A986" s="2">
        <v>2026</v>
      </c>
      <c r="B986" s="2">
        <v>985</v>
      </c>
      <c r="C986" s="13">
        <f>ROUND(MAX(MIN(N986 + Q986, 100), 0), 2)</f>
        <v>54.7</v>
      </c>
      <c r="D986" s="11" t="s">
        <v>1294</v>
      </c>
      <c r="E986" s="2">
        <v>57</v>
      </c>
      <c r="F986" s="2">
        <v>56</v>
      </c>
      <c r="G986" s="2">
        <v>51</v>
      </c>
      <c r="H986" s="11" t="s">
        <v>1256</v>
      </c>
      <c r="I986" s="11" t="s">
        <v>1288</v>
      </c>
      <c r="J986" s="19" t="s">
        <v>1261</v>
      </c>
      <c r="M986" s="2">
        <f>IF(J986="1000+", 1000, (LEFT(J986,FIND("-",J986)-1)+RIGHT(J986,LEN(J986)-FIND("-",J986)))/2)</f>
        <v>20</v>
      </c>
      <c r="N986" s="2">
        <f>ROUND(E986 * 0.7+F986 * 0.2+G986 * 0.1,2)</f>
        <v>56.2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60</v>
      </c>
      <c r="P986" s="2">
        <f>E986 - O986</f>
        <v>-3</v>
      </c>
      <c r="Q986" s="2">
        <f>ROUND(
  SIGN(P986)*
  IF(ABS(P986)&lt;=10,ABS(P986)*0.5,
     IF(ABS(P986)&lt;=15,5+(ABS(P986)-10)*(1.67/5),
        6.67+(ABS(P986)-15)*0.333)),
2)</f>
        <v>-1.5</v>
      </c>
    </row>
    <row r="987" spans="1:17" ht="34.5" customHeight="1" x14ac:dyDescent="0.3">
      <c r="B987" s="2">
        <v>986</v>
      </c>
      <c r="C987" s="13">
        <f>ROUND(MAX(MIN(N987 + Q987, 100), 0), 2)</f>
        <v>54.66</v>
      </c>
      <c r="D987" s="2" t="s">
        <v>862</v>
      </c>
      <c r="E987" s="2">
        <v>58</v>
      </c>
      <c r="F987" s="7">
        <v>65</v>
      </c>
      <c r="G987" s="5">
        <v>74</v>
      </c>
      <c r="H987" s="2" t="s">
        <v>48</v>
      </c>
      <c r="I987" s="2" t="s">
        <v>49</v>
      </c>
      <c r="J987" s="3" t="s">
        <v>122</v>
      </c>
      <c r="M987" s="2">
        <f>IF(J987="1000+", 1000, (LEFT(J987,FIND("-",J987)-1)+RIGHT(J987,LEN(J987)-FIND("-",J987)))/2)</f>
        <v>105</v>
      </c>
      <c r="N987" s="2">
        <f>ROUND(E987 * 0.7+F987 * 0.2+G987 * 0.1,2)</f>
        <v>61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72</v>
      </c>
      <c r="P987" s="2">
        <f>E987 - O987</f>
        <v>-14</v>
      </c>
      <c r="Q987" s="2">
        <f>ROUND(
  SIGN(P987)*
  IF(ABS(P987)&lt;=10,ABS(P987)*0.5,
     IF(ABS(P987)&lt;=15,5+(ABS(P987)-10)*(1.67/5),
        6.67+(ABS(P987)-15)*0.333)),
2)</f>
        <v>-6.34</v>
      </c>
    </row>
    <row r="988" spans="1:17" ht="34.5" customHeight="1" x14ac:dyDescent="0.3">
      <c r="B988" s="2">
        <v>987</v>
      </c>
      <c r="C988" s="13">
        <f>ROUND(MAX(MIN(N988 + Q988, 100), 0), 2)</f>
        <v>54.6</v>
      </c>
      <c r="D988" s="2" t="s">
        <v>870</v>
      </c>
      <c r="E988" s="2">
        <v>56</v>
      </c>
      <c r="F988" s="7">
        <v>65</v>
      </c>
      <c r="G988" s="2">
        <v>54</v>
      </c>
      <c r="H988" s="2" t="s">
        <v>31</v>
      </c>
      <c r="I988" s="2" t="s">
        <v>36</v>
      </c>
      <c r="J988" s="3" t="s">
        <v>146</v>
      </c>
      <c r="M988" s="2">
        <f>IF(J988="1000+", 1000, (LEFT(J988,FIND("-",J988)-1)+RIGHT(J988,LEN(J988)-FIND("-",J988)))/2)</f>
        <v>30</v>
      </c>
      <c r="N988" s="2">
        <f>ROUND(E988 * 0.7+F988 * 0.2+G988 * 0.1,2)</f>
        <v>57.6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62</v>
      </c>
      <c r="P988" s="2">
        <f>E988 - O988</f>
        <v>-6</v>
      </c>
      <c r="Q988" s="2">
        <f>ROUND(
  SIGN(P988)*
  IF(ABS(P988)&lt;=10,ABS(P988)*0.5,
     IF(ABS(P988)&lt;=15,5+(ABS(P988)-10)*(1.67/5),
        6.67+(ABS(P988)-15)*0.333)),
2)</f>
        <v>-3</v>
      </c>
    </row>
    <row r="989" spans="1:17" ht="34.5" customHeight="1" x14ac:dyDescent="0.3">
      <c r="B989" s="2">
        <v>988</v>
      </c>
      <c r="C989" s="13">
        <f>ROUND(MAX(MIN(N989 + Q989, 100), 0), 2)</f>
        <v>54.56</v>
      </c>
      <c r="D989" s="2" t="s">
        <v>936</v>
      </c>
      <c r="E989" s="7">
        <v>67</v>
      </c>
      <c r="F989" s="2">
        <v>50</v>
      </c>
      <c r="G989" s="7">
        <v>60</v>
      </c>
      <c r="H989" s="2" t="s">
        <v>85</v>
      </c>
      <c r="I989" s="2" t="s">
        <v>27</v>
      </c>
      <c r="J989" s="3" t="s">
        <v>65</v>
      </c>
      <c r="M989" s="2">
        <f>IF(J989="1000+", 1000, (LEFT(J989,FIND("-",J989)-1)+RIGHT(J989,LEN(J989)-FIND("-",J989)))/2)</f>
        <v>250</v>
      </c>
      <c r="N989" s="2">
        <f>ROUND(E989 * 0.7+F989 * 0.2+G989 * 0.1,2)</f>
        <v>62.9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87</v>
      </c>
      <c r="P989" s="2">
        <f>E989 - O989</f>
        <v>-20</v>
      </c>
      <c r="Q989" s="2">
        <f>ROUND(
  SIGN(P989)*
  IF(ABS(P989)&lt;=10,ABS(P989)*0.5,
     IF(ABS(P989)&lt;=15,5+(ABS(P989)-10)*(1.67/5),
        6.67+(ABS(P989)-15)*0.333)),
2)</f>
        <v>-8.34</v>
      </c>
    </row>
    <row r="990" spans="1:17" ht="34.5" customHeight="1" x14ac:dyDescent="0.3">
      <c r="B990" s="2">
        <v>989</v>
      </c>
      <c r="C990" s="13">
        <f>ROUND(MAX(MIN(N990 + Q990, 100), 0), 2)</f>
        <v>54.5</v>
      </c>
      <c r="D990" s="2" t="s">
        <v>933</v>
      </c>
      <c r="E990" s="7">
        <v>60</v>
      </c>
      <c r="F990" s="2">
        <v>42</v>
      </c>
      <c r="G990" s="2">
        <v>51</v>
      </c>
      <c r="H990" s="2" t="s">
        <v>48</v>
      </c>
      <c r="I990" s="2" t="s">
        <v>72</v>
      </c>
      <c r="J990" s="3" t="s">
        <v>146</v>
      </c>
      <c r="M990" s="2">
        <f>IF(J990="1000+", 1000, (LEFT(J990,FIND("-",J990)-1)+RIGHT(J990,LEN(J990)-FIND("-",J990)))/2)</f>
        <v>30</v>
      </c>
      <c r="N990" s="2">
        <f>ROUND(E990 * 0.7+F990 * 0.2+G990 * 0.1,2)</f>
        <v>55.5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62</v>
      </c>
      <c r="P990" s="2">
        <f>E990 - O990</f>
        <v>-2</v>
      </c>
      <c r="Q990" s="2">
        <f>ROUND(
  SIGN(P990)*
  IF(ABS(P990)&lt;=10,ABS(P990)*0.5,
     IF(ABS(P990)&lt;=15,5+(ABS(P990)-10)*(1.67/5),
        6.67+(ABS(P990)-15)*0.333)),
2)</f>
        <v>-1</v>
      </c>
    </row>
    <row r="991" spans="1:17" ht="34.5" customHeight="1" x14ac:dyDescent="0.3">
      <c r="B991" s="2">
        <v>990</v>
      </c>
      <c r="C991" s="13">
        <f>ROUND(MAX(MIN(N991 + Q991, 100), 0), 2)</f>
        <v>54.4</v>
      </c>
      <c r="D991" s="2" t="s">
        <v>969</v>
      </c>
      <c r="E991" s="7">
        <v>65</v>
      </c>
      <c r="F991" s="2">
        <v>52</v>
      </c>
      <c r="G991" s="2">
        <v>35</v>
      </c>
      <c r="H991" s="2" t="s">
        <v>174</v>
      </c>
      <c r="I991" s="2" t="s">
        <v>36</v>
      </c>
      <c r="J991" s="3" t="s">
        <v>140</v>
      </c>
      <c r="M991" s="2">
        <f>IF(J991="1000+", 1000, (LEFT(J991,FIND("-",J991)-1)+RIGHT(J991,LEN(J991)-FIND("-",J991)))/2)</f>
        <v>115</v>
      </c>
      <c r="N991" s="2">
        <f>ROUND(E991 * 0.7+F991 * 0.2+G991 * 0.1,2)</f>
        <v>59.4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75</v>
      </c>
      <c r="P991" s="2">
        <f>E991 - O991</f>
        <v>-10</v>
      </c>
      <c r="Q991" s="2">
        <f>ROUND(
  SIGN(P991)*
  IF(ABS(P991)&lt;=10,ABS(P991)*0.5,
     IF(ABS(P991)&lt;=15,5+(ABS(P991)-10)*(1.67/5),
        6.67+(ABS(P991)-15)*0.333)),
2)</f>
        <v>-5</v>
      </c>
    </row>
    <row r="992" spans="1:17" ht="34.5" customHeight="1" x14ac:dyDescent="0.3">
      <c r="B992" s="2">
        <v>991</v>
      </c>
      <c r="C992" s="13">
        <f>ROUND(MAX(MIN(N992 + Q992, 100), 0), 2)</f>
        <v>54.4</v>
      </c>
      <c r="D992" s="2" t="s">
        <v>909</v>
      </c>
      <c r="E992" s="7">
        <v>60</v>
      </c>
      <c r="F992" s="2">
        <v>57</v>
      </c>
      <c r="G992" s="2">
        <v>35</v>
      </c>
      <c r="H992" s="2" t="s">
        <v>322</v>
      </c>
      <c r="I992" s="2" t="s">
        <v>36</v>
      </c>
      <c r="J992" s="3" t="s">
        <v>32</v>
      </c>
      <c r="M992" s="2">
        <f>IF(J992="1000+", 1000, (LEFT(J992,FIND("-",J992)-1)+RIGHT(J992,LEN(J992)-FIND("-",J992)))/2)</f>
        <v>45</v>
      </c>
      <c r="N992" s="2">
        <f>ROUND(E992 * 0.7+F992 * 0.2+G992 * 0.1,2)</f>
        <v>56.9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65</v>
      </c>
      <c r="P992" s="2">
        <f>E992 - O992</f>
        <v>-5</v>
      </c>
      <c r="Q992" s="2">
        <f>ROUND(
  SIGN(P992)*
  IF(ABS(P992)&lt;=10,ABS(P992)*0.5,
     IF(ABS(P992)&lt;=15,5+(ABS(P992)-10)*(1.67/5),
        6.67+(ABS(P992)-15)*0.333)),
2)</f>
        <v>-2.5</v>
      </c>
    </row>
    <row r="993" spans="1:17" ht="34.5" customHeight="1" x14ac:dyDescent="0.3">
      <c r="A993" s="2">
        <v>2026</v>
      </c>
      <c r="B993" s="2">
        <v>992</v>
      </c>
      <c r="C993" s="13">
        <f>ROUND(MAX(MIN(N993 + Q993, 100), 0), 2)</f>
        <v>54.4</v>
      </c>
      <c r="D993" s="2" t="s">
        <v>1446</v>
      </c>
      <c r="E993" s="7">
        <v>60</v>
      </c>
      <c r="F993" s="2">
        <v>58</v>
      </c>
      <c r="G993" s="2">
        <v>48</v>
      </c>
      <c r="H993" s="2" t="s">
        <v>1443</v>
      </c>
      <c r="I993" s="2" t="s">
        <v>1451</v>
      </c>
      <c r="J993" s="3" t="s">
        <v>1454</v>
      </c>
      <c r="M993" s="2">
        <f>IF(J993="1000+", 1000, (LEFT(J993,FIND("-",J993)-1)+RIGHT(J993,LEN(J993)-FIND("-",J993)))/2)</f>
        <v>60</v>
      </c>
      <c r="N993" s="2">
        <f>ROUND(E993 * 0.7+F993 * 0.2+G993 * 0.1,2)</f>
        <v>58.4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68</v>
      </c>
      <c r="P993" s="2">
        <f>E993 - O993</f>
        <v>-8</v>
      </c>
      <c r="Q993" s="2">
        <f>ROUND(
  SIGN(P993)*
  IF(ABS(P993)&lt;=10,ABS(P993)*0.5,
     IF(ABS(P993)&lt;=15,5+(ABS(P993)-10)*(1.67/5),
        6.67+(ABS(P993)-15)*0.333)),
2)</f>
        <v>-4</v>
      </c>
    </row>
    <row r="994" spans="1:17" ht="34.5" customHeight="1" x14ac:dyDescent="0.3">
      <c r="B994" s="2">
        <v>993</v>
      </c>
      <c r="C994" s="13">
        <f>ROUND(MAX(MIN(N994 + Q994, 100), 0), 2)</f>
        <v>54.4</v>
      </c>
      <c r="D994" s="2" t="s">
        <v>957</v>
      </c>
      <c r="E994" s="7">
        <v>62</v>
      </c>
      <c r="F994" s="4">
        <v>92</v>
      </c>
      <c r="G994" s="2">
        <v>36</v>
      </c>
      <c r="H994" s="2" t="s">
        <v>958</v>
      </c>
      <c r="I994" s="2" t="s">
        <v>79</v>
      </c>
      <c r="J994" s="3" t="s">
        <v>42</v>
      </c>
      <c r="M994" s="2">
        <f>IF(J994="1000+", 1000, (LEFT(J994,FIND("-",J994)-1)+RIGHT(J994,LEN(J994)-FIND("-",J994)))/2)</f>
        <v>600</v>
      </c>
      <c r="N994" s="2">
        <f>ROUND(E994 * 0.7+F994 * 0.2+G994 * 0.1,2)</f>
        <v>65.400000000000006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90</v>
      </c>
      <c r="P994" s="2">
        <f>E994 - O994</f>
        <v>-28</v>
      </c>
      <c r="Q994" s="2">
        <f>ROUND(
  SIGN(P994)*
  IF(ABS(P994)&lt;=10,ABS(P994)*0.5,
     IF(ABS(P994)&lt;=15,5+(ABS(P994)-10)*(1.67/5),
        6.67+(ABS(P994)-15)*0.333)),
2)</f>
        <v>-11</v>
      </c>
    </row>
    <row r="995" spans="1:17" ht="34.5" customHeight="1" x14ac:dyDescent="0.3">
      <c r="B995" s="2">
        <v>994</v>
      </c>
      <c r="C995" s="13">
        <f>ROUND(MAX(MIN(N995 + Q995, 100), 0), 2)</f>
        <v>54.36</v>
      </c>
      <c r="D995" s="2" t="s">
        <v>884</v>
      </c>
      <c r="E995" s="7">
        <v>65</v>
      </c>
      <c r="F995" s="2">
        <v>48</v>
      </c>
      <c r="G995" s="5">
        <v>76</v>
      </c>
      <c r="H995" s="2" t="s">
        <v>605</v>
      </c>
      <c r="I995" s="2" t="s">
        <v>513</v>
      </c>
      <c r="J995" s="3" t="s">
        <v>14</v>
      </c>
      <c r="K995" s="2" t="s">
        <v>885</v>
      </c>
      <c r="M995" s="2">
        <f>IF(J995="1000+", 1000, (LEFT(J995,FIND("-",J995)-1)+RIGHT(J995,LEN(J995)-FIND("-",J995)))/2)</f>
        <v>225</v>
      </c>
      <c r="N995" s="2">
        <f>ROUND(E995 * 0.7+F995 * 0.2+G995 * 0.1,2)</f>
        <v>62.7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85</v>
      </c>
      <c r="P995" s="2">
        <f>E995 - O995</f>
        <v>-20</v>
      </c>
      <c r="Q995" s="2">
        <f>ROUND(
  SIGN(P995)*
  IF(ABS(P995)&lt;=10,ABS(P995)*0.5,
     IF(ABS(P995)&lt;=15,5+(ABS(P995)-10)*(1.67/5),
        6.67+(ABS(P995)-15)*0.333)),
2)</f>
        <v>-8.34</v>
      </c>
    </row>
    <row r="996" spans="1:17" ht="34.5" customHeight="1" x14ac:dyDescent="0.3">
      <c r="B996" s="2">
        <v>995</v>
      </c>
      <c r="C996" s="13">
        <f>ROUND(MAX(MIN(N996 + Q996, 100), 0), 2)</f>
        <v>54.3</v>
      </c>
      <c r="D996" s="2" t="s">
        <v>883</v>
      </c>
      <c r="E996" s="2">
        <v>58</v>
      </c>
      <c r="F996" s="7">
        <v>60</v>
      </c>
      <c r="G996" s="2">
        <v>52</v>
      </c>
      <c r="H996" s="2" t="s">
        <v>610</v>
      </c>
      <c r="I996" s="2" t="s">
        <v>22</v>
      </c>
      <c r="J996" s="3" t="s">
        <v>32</v>
      </c>
      <c r="M996" s="2">
        <f>IF(J996="1000+", 1000, (LEFT(J996,FIND("-",J996)-1)+RIGHT(J996,LEN(J996)-FIND("-",J996)))/2)</f>
        <v>45</v>
      </c>
      <c r="N996" s="2">
        <f>ROUND(E996 * 0.7+F996 * 0.2+G996 * 0.1,2)</f>
        <v>57.8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65</v>
      </c>
      <c r="P996" s="2">
        <f>E996 - O996</f>
        <v>-7</v>
      </c>
      <c r="Q996" s="2">
        <f>ROUND(
  SIGN(P996)*
  IF(ABS(P996)&lt;=10,ABS(P996)*0.5,
     IF(ABS(P996)&lt;=15,5+(ABS(P996)-10)*(1.67/5),
        6.67+(ABS(P996)-15)*0.333)),
2)</f>
        <v>-3.5</v>
      </c>
    </row>
    <row r="997" spans="1:17" ht="34.5" customHeight="1" x14ac:dyDescent="0.3">
      <c r="B997" s="2">
        <v>996</v>
      </c>
      <c r="C997" s="13">
        <f>ROUND(MAX(MIN(N997 + Q997, 100), 0), 2)</f>
        <v>54.2</v>
      </c>
      <c r="D997" s="2" t="s">
        <v>1162</v>
      </c>
      <c r="E997" s="2">
        <v>56</v>
      </c>
      <c r="F997" s="2">
        <v>55</v>
      </c>
      <c r="G997" s="2">
        <v>35</v>
      </c>
      <c r="H997" s="2" t="s">
        <v>48</v>
      </c>
      <c r="I997" s="2" t="s">
        <v>72</v>
      </c>
      <c r="J997" s="3" t="s">
        <v>37</v>
      </c>
      <c r="M997" s="2">
        <f>IF(J997="1000+", 1000, (LEFT(J997,FIND("-",J997)-1)+RIGHT(J997,LEN(J997)-FIND("-",J997)))/2)</f>
        <v>15</v>
      </c>
      <c r="N997" s="2">
        <f>ROUND(E997 * 0.7+F997 * 0.2+G997 * 0.1,2)</f>
        <v>53.7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55</v>
      </c>
      <c r="P997" s="2">
        <f>E997 - O997</f>
        <v>1</v>
      </c>
      <c r="Q997" s="2">
        <f>ROUND(
  SIGN(P997)*
  IF(ABS(P997)&lt;=10,ABS(P997)*0.5,
     IF(ABS(P997)&lt;=15,5+(ABS(P997)-10)*(1.67/5),
        6.67+(ABS(P997)-15)*0.333)),
2)</f>
        <v>0.5</v>
      </c>
    </row>
    <row r="998" spans="1:17" ht="34.5" customHeight="1" x14ac:dyDescent="0.3">
      <c r="B998" s="2">
        <v>997</v>
      </c>
      <c r="C998" s="13">
        <f>ROUND(MAX(MIN(N998 + Q998, 100), 0), 2)</f>
        <v>54.16</v>
      </c>
      <c r="D998" s="2" t="s">
        <v>918</v>
      </c>
      <c r="E998" s="7">
        <v>63</v>
      </c>
      <c r="F998" s="7">
        <v>60</v>
      </c>
      <c r="G998" s="2">
        <v>54</v>
      </c>
      <c r="H998" s="2" t="s">
        <v>261</v>
      </c>
      <c r="I998" s="2" t="s">
        <v>576</v>
      </c>
      <c r="J998" s="3" t="s">
        <v>88</v>
      </c>
      <c r="M998" s="2">
        <f>IF(J998="1000+", 1000, (LEFT(J998,FIND("-",J998)-1)+RIGHT(J998,LEN(J998)-FIND("-",J998)))/2)</f>
        <v>150</v>
      </c>
      <c r="N998" s="2">
        <f>ROUND(E998 * 0.7+F998 * 0.2+G998 * 0.1,2)</f>
        <v>61.5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80</v>
      </c>
      <c r="P998" s="2">
        <f>E998 - O998</f>
        <v>-17</v>
      </c>
      <c r="Q998" s="2">
        <f>ROUND(
  SIGN(P998)*
  IF(ABS(P998)&lt;=10,ABS(P998)*0.5,
     IF(ABS(P998)&lt;=15,5+(ABS(P998)-10)*(1.67/5),
        6.67+(ABS(P998)-15)*0.333)),
2)</f>
        <v>-7.34</v>
      </c>
    </row>
    <row r="999" spans="1:17" ht="34.5" customHeight="1" x14ac:dyDescent="0.3">
      <c r="B999" s="2">
        <v>998</v>
      </c>
      <c r="C999" s="13">
        <f>ROUND(MAX(MIN(N999 + Q999, 100), 0), 2)</f>
        <v>54.1</v>
      </c>
      <c r="D999" s="2" t="s">
        <v>888</v>
      </c>
      <c r="E999" s="2">
        <v>56</v>
      </c>
      <c r="F999" s="2">
        <v>55</v>
      </c>
      <c r="G999" s="7">
        <v>69</v>
      </c>
      <c r="H999" s="2" t="s">
        <v>48</v>
      </c>
      <c r="I999" s="2" t="s">
        <v>298</v>
      </c>
      <c r="J999" s="3" t="s">
        <v>146</v>
      </c>
      <c r="M999" s="2">
        <f>IF(J999="1000+", 1000, (LEFT(J999,FIND("-",J999)-1)+RIGHT(J999,LEN(J999)-FIND("-",J999)))/2)</f>
        <v>30</v>
      </c>
      <c r="N999" s="2">
        <f>ROUND(E999 * 0.7+F999 * 0.2+G999 * 0.1,2)</f>
        <v>57.1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62</v>
      </c>
      <c r="P999" s="2">
        <f>E999 - O999</f>
        <v>-6</v>
      </c>
      <c r="Q999" s="2">
        <f>ROUND(
  SIGN(P999)*
  IF(ABS(P999)&lt;=10,ABS(P999)*0.5,
     IF(ABS(P999)&lt;=15,5+(ABS(P999)-10)*(1.67/5),
        6.67+(ABS(P999)-15)*0.333)),
2)</f>
        <v>-3</v>
      </c>
    </row>
    <row r="1000" spans="1:17" ht="34.5" customHeight="1" x14ac:dyDescent="0.3">
      <c r="B1000" s="2">
        <v>999</v>
      </c>
      <c r="C1000" s="13">
        <f>ROUND(MAX(MIN(N1000 + Q1000, 100), 0), 2)</f>
        <v>54.06</v>
      </c>
      <c r="D1000" s="2" t="s">
        <v>944</v>
      </c>
      <c r="E1000" s="7">
        <v>67</v>
      </c>
      <c r="F1000" s="2">
        <v>58</v>
      </c>
      <c r="G1000" s="2">
        <v>39</v>
      </c>
      <c r="H1000" s="2" t="s">
        <v>605</v>
      </c>
      <c r="I1000" s="2" t="s">
        <v>513</v>
      </c>
      <c r="J1000" s="3" t="s">
        <v>65</v>
      </c>
      <c r="M1000" s="2">
        <f>IF(J1000="1000+", 1000, (LEFT(J1000,FIND("-",J1000)-1)+RIGHT(J1000,LEN(J1000)-FIND("-",J1000)))/2)</f>
        <v>250</v>
      </c>
      <c r="N1000" s="2">
        <f>ROUND(E1000 * 0.7+F1000 * 0.2+G1000 * 0.1,2)</f>
        <v>62.4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87</v>
      </c>
      <c r="P1000" s="2">
        <f>E1000 - O1000</f>
        <v>-20</v>
      </c>
      <c r="Q1000" s="2">
        <f>ROUND(
  SIGN(P1000)*
  IF(ABS(P1000)&lt;=10,ABS(P1000)*0.5,
     IF(ABS(P1000)&lt;=15,5+(ABS(P1000)-10)*(1.67/5),
        6.67+(ABS(P1000)-15)*0.333)),
2)</f>
        <v>-8.34</v>
      </c>
    </row>
    <row r="1001" spans="1:17" ht="34.5" customHeight="1" x14ac:dyDescent="0.3">
      <c r="B1001" s="2">
        <v>1000</v>
      </c>
      <c r="C1001" s="13">
        <f>ROUND(MAX(MIN(N1001 + Q1001, 100), 0), 2)</f>
        <v>54.06</v>
      </c>
      <c r="D1001" s="2" t="s">
        <v>873</v>
      </c>
      <c r="E1001" s="2">
        <v>58</v>
      </c>
      <c r="F1001" s="7">
        <v>65</v>
      </c>
      <c r="G1001" s="7">
        <v>68</v>
      </c>
      <c r="H1001" s="2" t="s">
        <v>31</v>
      </c>
      <c r="I1001" s="2" t="s">
        <v>228</v>
      </c>
      <c r="J1001" s="3" t="s">
        <v>122</v>
      </c>
      <c r="M1001" s="2">
        <f>IF(J1001="1000+", 1000, (LEFT(J1001,FIND("-",J1001)-1)+RIGHT(J1001,LEN(J1001)-FIND("-",J1001)))/2)</f>
        <v>105</v>
      </c>
      <c r="N1001" s="2">
        <f>ROUND(E1001 * 0.7+F1001 * 0.2+G1001 * 0.1,2)</f>
        <v>60.4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72</v>
      </c>
      <c r="P1001" s="2">
        <f>E1001 - O1001</f>
        <v>-14</v>
      </c>
      <c r="Q1001" s="2">
        <f>ROUND(
  SIGN(P1001)*
  IF(ABS(P1001)&lt;=10,ABS(P1001)*0.5,
     IF(ABS(P1001)&lt;=15,5+(ABS(P1001)-10)*(1.67/5),
        6.67+(ABS(P1001)-15)*0.333)),
2)</f>
        <v>-6.34</v>
      </c>
    </row>
    <row r="1002" spans="1:17" ht="34.5" customHeight="1" x14ac:dyDescent="0.3">
      <c r="B1002" s="2">
        <v>1001</v>
      </c>
      <c r="C1002" s="13">
        <f>ROUND(MAX(MIN(N1002 + Q1002, 100), 0), 2)</f>
        <v>54</v>
      </c>
      <c r="D1002" s="2" t="s">
        <v>941</v>
      </c>
      <c r="E1002" s="7">
        <v>62</v>
      </c>
      <c r="F1002" s="2">
        <v>50</v>
      </c>
      <c r="G1002" s="2">
        <v>56</v>
      </c>
      <c r="H1002" s="2" t="s">
        <v>71</v>
      </c>
      <c r="I1002" s="2" t="s">
        <v>637</v>
      </c>
      <c r="J1002" s="3" t="s">
        <v>122</v>
      </c>
      <c r="M1002" s="2">
        <f>IF(J1002="1000+", 1000, (LEFT(J1002,FIND("-",J1002)-1)+RIGHT(J1002,LEN(J1002)-FIND("-",J1002)))/2)</f>
        <v>105</v>
      </c>
      <c r="N1002" s="2">
        <f>ROUND(E1002 * 0.7+F1002 * 0.2+G1002 * 0.1,2)</f>
        <v>59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72</v>
      </c>
      <c r="P1002" s="2">
        <f>E1002 - O1002</f>
        <v>-10</v>
      </c>
      <c r="Q1002" s="2">
        <f>ROUND(
  SIGN(P1002)*
  IF(ABS(P1002)&lt;=10,ABS(P1002)*0.5,
     IF(ABS(P1002)&lt;=15,5+(ABS(P1002)-10)*(1.67/5),
        6.67+(ABS(P1002)-15)*0.333)),
2)</f>
        <v>-5</v>
      </c>
    </row>
    <row r="1003" spans="1:17" ht="34.5" customHeight="1" x14ac:dyDescent="0.3">
      <c r="A1003" s="2">
        <v>2026</v>
      </c>
      <c r="B1003" s="2">
        <v>1002</v>
      </c>
      <c r="C1003" s="13">
        <f>ROUND(MAX(MIN(N1003 + Q1003, 100), 0), 2)</f>
        <v>53.96</v>
      </c>
      <c r="D1003" s="2" t="s">
        <v>1789</v>
      </c>
      <c r="E1003" s="7">
        <v>63</v>
      </c>
      <c r="F1003" s="2">
        <v>54</v>
      </c>
      <c r="G1003" s="7">
        <v>64</v>
      </c>
      <c r="H1003" s="2" t="s">
        <v>1800</v>
      </c>
      <c r="I1003" s="2" t="s">
        <v>1804</v>
      </c>
      <c r="J1003" s="3" t="s">
        <v>1260</v>
      </c>
      <c r="M1003" s="2">
        <f>IF(J1003="1000+", 1000, (LEFT(J1003,FIND("-",J1003)-1)+RIGHT(J1003,LEN(J1003)-FIND("-",J1003)))/2)</f>
        <v>150</v>
      </c>
      <c r="N1003" s="2">
        <f>ROUND(E1003 * 0.7+F1003 * 0.2+G1003 * 0.1,2)</f>
        <v>61.3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80</v>
      </c>
      <c r="P1003" s="2">
        <f>E1003 - O1003</f>
        <v>-17</v>
      </c>
      <c r="Q1003" s="2">
        <f>ROUND(
  SIGN(P1003)*
  IF(ABS(P1003)&lt;=10,ABS(P1003)*0.5,
     IF(ABS(P1003)&lt;=15,5+(ABS(P1003)-10)*(1.67/5),
        6.67+(ABS(P1003)-15)*0.333)),
2)</f>
        <v>-7.34</v>
      </c>
    </row>
    <row r="1004" spans="1:17" ht="34.5" customHeight="1" x14ac:dyDescent="0.3">
      <c r="B1004" s="2">
        <v>1003</v>
      </c>
      <c r="C1004" s="13">
        <f>ROUND(MAX(MIN(N1004 + Q1004, 100), 0), 2)</f>
        <v>53.93</v>
      </c>
      <c r="D1004" s="2" t="s">
        <v>892</v>
      </c>
      <c r="E1004" s="2">
        <v>59</v>
      </c>
      <c r="F1004" s="6">
        <v>80</v>
      </c>
      <c r="G1004" s="2">
        <v>53</v>
      </c>
      <c r="H1004" s="2" t="s">
        <v>135</v>
      </c>
      <c r="I1004" s="2" t="s">
        <v>154</v>
      </c>
      <c r="J1004" s="3" t="s">
        <v>88</v>
      </c>
      <c r="M1004" s="2">
        <f>IF(J1004="1000+", 1000, (LEFT(J1004,FIND("-",J1004)-1)+RIGHT(J1004,LEN(J1004)-FIND("-",J1004)))/2)</f>
        <v>150</v>
      </c>
      <c r="N1004" s="2">
        <f>ROUND(E1004 * 0.7+F1004 * 0.2+G1004 * 0.1,2)</f>
        <v>62.6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80</v>
      </c>
      <c r="P1004" s="2">
        <f>E1004 - O1004</f>
        <v>-21</v>
      </c>
      <c r="Q1004" s="2">
        <f>ROUND(
  SIGN(P1004)*
  IF(ABS(P1004)&lt;=10,ABS(P1004)*0.5,
     IF(ABS(P1004)&lt;=15,5+(ABS(P1004)-10)*(1.67/5),
        6.67+(ABS(P1004)-15)*0.333)),
2)</f>
        <v>-8.67</v>
      </c>
    </row>
    <row r="1005" spans="1:17" ht="34.5" customHeight="1" x14ac:dyDescent="0.3">
      <c r="A1005" s="2">
        <v>2026</v>
      </c>
      <c r="B1005" s="2">
        <v>1004</v>
      </c>
      <c r="C1005" s="13">
        <f>ROUND(MAX(MIN(N1005 + Q1005, 100), 0), 2)</f>
        <v>53.9</v>
      </c>
      <c r="D1005" s="2" t="s">
        <v>1972</v>
      </c>
      <c r="E1005" s="2">
        <v>57</v>
      </c>
      <c r="F1005" s="2">
        <v>55</v>
      </c>
      <c r="G1005" s="2">
        <v>45</v>
      </c>
      <c r="H1005" s="2" t="s">
        <v>1257</v>
      </c>
      <c r="I1005" s="2" t="s">
        <v>1259</v>
      </c>
      <c r="J1005" s="3" t="s">
        <v>1261</v>
      </c>
      <c r="M1005" s="2">
        <f>IF(J1005="1000+", 1000, (LEFT(J1005,FIND("-",J1005)-1)+RIGHT(J1005,LEN(J1005)-FIND("-",J1005)))/2)</f>
        <v>20</v>
      </c>
      <c r="N1005" s="2">
        <f>ROUND(E1005 * 0.7+F1005 * 0.2+G1005 * 0.1,2)</f>
        <v>55.4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60</v>
      </c>
      <c r="P1005" s="2">
        <f>E1005 - O1005</f>
        <v>-3</v>
      </c>
      <c r="Q1005" s="2">
        <f>ROUND(
  SIGN(P1005)*
  IF(ABS(P1005)&lt;=10,ABS(P1005)*0.5,
     IF(ABS(P1005)&lt;=15,5+(ABS(P1005)-10)*(1.67/5),
        6.67+(ABS(P1005)-15)*0.333)),
2)</f>
        <v>-1.5</v>
      </c>
    </row>
    <row r="1006" spans="1:17" ht="34.5" customHeight="1" x14ac:dyDescent="0.3">
      <c r="B1006" s="2">
        <v>1005</v>
      </c>
      <c r="C1006" s="13">
        <f>ROUND(MAX(MIN(N1006 + Q1006, 100), 0), 2)</f>
        <v>53.86</v>
      </c>
      <c r="D1006" s="2" t="s">
        <v>886</v>
      </c>
      <c r="E1006" s="2">
        <v>58</v>
      </c>
      <c r="F1006" s="7">
        <v>65</v>
      </c>
      <c r="G1006" s="7">
        <v>66</v>
      </c>
      <c r="H1006" s="2" t="s">
        <v>31</v>
      </c>
      <c r="I1006" s="2" t="s">
        <v>559</v>
      </c>
      <c r="J1006" s="3" t="s">
        <v>122</v>
      </c>
      <c r="M1006" s="2">
        <f>IF(J1006="1000+", 1000, (LEFT(J1006,FIND("-",J1006)-1)+RIGHT(J1006,LEN(J1006)-FIND("-",J1006)))/2)</f>
        <v>105</v>
      </c>
      <c r="N1006" s="2">
        <f>ROUND(E1006 * 0.7+F1006 * 0.2+G1006 * 0.1,2)</f>
        <v>60.2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72</v>
      </c>
      <c r="P1006" s="2">
        <f>E1006 - O1006</f>
        <v>-14</v>
      </c>
      <c r="Q1006" s="2">
        <f>ROUND(
  SIGN(P1006)*
  IF(ABS(P1006)&lt;=10,ABS(P1006)*0.5,
     IF(ABS(P1006)&lt;=15,5+(ABS(P1006)-10)*(1.67/5),
        6.67+(ABS(P1006)-15)*0.333)),
2)</f>
        <v>-6.34</v>
      </c>
    </row>
    <row r="1007" spans="1:17" ht="34.5" customHeight="1" x14ac:dyDescent="0.3">
      <c r="B1007" s="2">
        <v>1006</v>
      </c>
      <c r="C1007" s="13">
        <f>ROUND(MAX(MIN(N1007 + Q1007, 100), 0), 2)</f>
        <v>53.8</v>
      </c>
      <c r="D1007" s="2" t="s">
        <v>902</v>
      </c>
      <c r="E1007" s="2">
        <v>58</v>
      </c>
      <c r="F1007" s="2">
        <v>52</v>
      </c>
      <c r="G1007" s="7">
        <v>63</v>
      </c>
      <c r="H1007" s="2" t="s">
        <v>217</v>
      </c>
      <c r="I1007" s="2" t="s">
        <v>22</v>
      </c>
      <c r="J1007" s="3" t="s">
        <v>32</v>
      </c>
      <c r="M1007" s="2">
        <f>IF(J1007="1000+", 1000, (LEFT(J1007,FIND("-",J1007)-1)+RIGHT(J1007,LEN(J1007)-FIND("-",J1007)))/2)</f>
        <v>45</v>
      </c>
      <c r="N1007" s="2">
        <f>ROUND(E1007 * 0.7+F1007 * 0.2+G1007 * 0.1,2)</f>
        <v>57.3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65</v>
      </c>
      <c r="P1007" s="2">
        <f>E1007 - O1007</f>
        <v>-7</v>
      </c>
      <c r="Q1007" s="2">
        <f>ROUND(
  SIGN(P1007)*
  IF(ABS(P1007)&lt;=10,ABS(P1007)*0.5,
     IF(ABS(P1007)&lt;=15,5+(ABS(P1007)-10)*(1.67/5),
        6.67+(ABS(P1007)-15)*0.333)),
2)</f>
        <v>-3.5</v>
      </c>
    </row>
    <row r="1008" spans="1:17" ht="34.5" customHeight="1" x14ac:dyDescent="0.3">
      <c r="B1008" s="2">
        <v>1007</v>
      </c>
      <c r="C1008" s="13">
        <f>ROUND(MAX(MIN(N1008 + Q1008, 100), 0), 2)</f>
        <v>53.73</v>
      </c>
      <c r="D1008" s="2" t="s">
        <v>910</v>
      </c>
      <c r="E1008" s="7">
        <v>61</v>
      </c>
      <c r="F1008" s="7">
        <v>67</v>
      </c>
      <c r="G1008" s="7">
        <v>63</v>
      </c>
      <c r="H1008" s="2" t="s">
        <v>649</v>
      </c>
      <c r="I1008" s="2" t="s">
        <v>535</v>
      </c>
      <c r="J1008" s="3" t="s">
        <v>28</v>
      </c>
      <c r="M1008" s="2">
        <f>IF(J1008="1000+", 1000, (LEFT(J1008,FIND("-",J1008)-1)+RIGHT(J1008,LEN(J1008)-FIND("-",J1008)))/2)</f>
        <v>200</v>
      </c>
      <c r="N1008" s="2">
        <f>ROUND(E1008 * 0.7+F1008 * 0.2+G1008 * 0.1,2)</f>
        <v>62.4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82</v>
      </c>
      <c r="P1008" s="2">
        <f>E1008 - O1008</f>
        <v>-21</v>
      </c>
      <c r="Q1008" s="2">
        <f>ROUND(
  SIGN(P1008)*
  IF(ABS(P1008)&lt;=10,ABS(P1008)*0.5,
     IF(ABS(P1008)&lt;=15,5+(ABS(P1008)-10)*(1.67/5),
        6.67+(ABS(P1008)-15)*0.333)),
2)</f>
        <v>-8.67</v>
      </c>
    </row>
    <row r="1009" spans="1:17" ht="34.5" customHeight="1" x14ac:dyDescent="0.3">
      <c r="B1009" s="2">
        <v>1008</v>
      </c>
      <c r="C1009" s="13">
        <f>ROUND(MAX(MIN(N1009 + Q1009, 100), 0), 2)</f>
        <v>53.7</v>
      </c>
      <c r="D1009" s="2" t="s">
        <v>977</v>
      </c>
      <c r="E1009" s="7">
        <v>60</v>
      </c>
      <c r="F1009" s="2">
        <v>45</v>
      </c>
      <c r="G1009" s="2">
        <v>27</v>
      </c>
      <c r="H1009" s="2" t="s">
        <v>31</v>
      </c>
      <c r="I1009" s="2" t="s">
        <v>36</v>
      </c>
      <c r="J1009" s="3" t="s">
        <v>132</v>
      </c>
      <c r="M1009" s="2">
        <f>IF(J1009="1000+", 1000, (LEFT(J1009,FIND("-",J1009)-1)+RIGHT(J1009,LEN(J1009)-FIND("-",J1009)))/2)</f>
        <v>20</v>
      </c>
      <c r="N1009" s="2">
        <f>ROUND(E1009 * 0.7+F1009 * 0.2+G1009 * 0.1,2)</f>
        <v>53.7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60</v>
      </c>
      <c r="P1009" s="2">
        <f>E1009 - O1009</f>
        <v>0</v>
      </c>
      <c r="Q1009" s="2">
        <f>ROUND(
  SIGN(P1009)*
  IF(ABS(P1009)&lt;=10,ABS(P1009)*0.5,
     IF(ABS(P1009)&lt;=15,5+(ABS(P1009)-10)*(1.67/5),
        6.67+(ABS(P1009)-15)*0.333)),
2)</f>
        <v>0</v>
      </c>
    </row>
    <row r="1010" spans="1:17" ht="34.5" customHeight="1" x14ac:dyDescent="0.3">
      <c r="B1010" s="2">
        <v>1009</v>
      </c>
      <c r="C1010" s="13">
        <f>ROUND(MAX(MIN(N1010 + Q1010, 100), 0), 2)</f>
        <v>53.7</v>
      </c>
      <c r="D1010" s="2" t="s">
        <v>962</v>
      </c>
      <c r="E1010" s="2">
        <v>55</v>
      </c>
      <c r="F1010" s="2">
        <v>50</v>
      </c>
      <c r="G1010" s="2">
        <v>52</v>
      </c>
      <c r="H1010" s="2" t="s">
        <v>31</v>
      </c>
      <c r="I1010" s="2" t="s">
        <v>447</v>
      </c>
      <c r="J1010" s="3" t="s">
        <v>37</v>
      </c>
      <c r="M1010" s="2">
        <f>IF(J1010="1000+", 1000, (LEFT(J1010,FIND("-",J1010)-1)+RIGHT(J1010,LEN(J1010)-FIND("-",J1010)))/2)</f>
        <v>15</v>
      </c>
      <c r="N1010" s="2">
        <f>ROUND(E1010 * 0.7+F1010 * 0.2+G1010 * 0.1,2)</f>
        <v>53.7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55</v>
      </c>
      <c r="P1010" s="2">
        <f>E1010 - O1010</f>
        <v>0</v>
      </c>
      <c r="Q1010" s="2">
        <f>ROUND(
  SIGN(P1010)*
  IF(ABS(P1010)&lt;=10,ABS(P1010)*0.5,
     IF(ABS(P1010)&lt;=15,5+(ABS(P1010)-10)*(1.67/5),
        6.67+(ABS(P1010)-15)*0.333)),
2)</f>
        <v>0</v>
      </c>
    </row>
    <row r="1011" spans="1:17" ht="34.5" customHeight="1" x14ac:dyDescent="0.3">
      <c r="B1011" s="2">
        <v>1010</v>
      </c>
      <c r="C1011" s="13">
        <f>ROUND(MAX(MIN(N1011 + Q1011, 100), 0), 2)</f>
        <v>53.63</v>
      </c>
      <c r="D1011" s="2" t="s">
        <v>923</v>
      </c>
      <c r="E1011" s="7">
        <v>64</v>
      </c>
      <c r="F1011" s="2">
        <v>50</v>
      </c>
      <c r="G1011" s="5">
        <v>75</v>
      </c>
      <c r="H1011" s="2" t="s">
        <v>605</v>
      </c>
      <c r="I1011" s="2" t="s">
        <v>513</v>
      </c>
      <c r="J1011" s="3" t="s">
        <v>14</v>
      </c>
      <c r="M1011" s="2">
        <f>IF(J1011="1000+", 1000, (LEFT(J1011,FIND("-",J1011)-1)+RIGHT(J1011,LEN(J1011)-FIND("-",J1011)))/2)</f>
        <v>225</v>
      </c>
      <c r="N1011" s="2">
        <f>ROUND(E1011 * 0.7+F1011 * 0.2+G1011 * 0.1,2)</f>
        <v>62.3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85</v>
      </c>
      <c r="P1011" s="2">
        <f>E1011 - O1011</f>
        <v>-21</v>
      </c>
      <c r="Q1011" s="2">
        <f>ROUND(
  SIGN(P1011)*
  IF(ABS(P1011)&lt;=10,ABS(P1011)*0.5,
     IF(ABS(P1011)&lt;=15,5+(ABS(P1011)-10)*(1.67/5),
        6.67+(ABS(P1011)-15)*0.333)),
2)</f>
        <v>-8.67</v>
      </c>
    </row>
    <row r="1012" spans="1:17" ht="34.5" customHeight="1" x14ac:dyDescent="0.3">
      <c r="B1012" s="2">
        <v>1011</v>
      </c>
      <c r="C1012" s="13">
        <f>ROUND(MAX(MIN(N1012 + Q1012, 100), 0), 2)</f>
        <v>53.6</v>
      </c>
      <c r="D1012" s="2" t="s">
        <v>932</v>
      </c>
      <c r="E1012" s="7">
        <v>63</v>
      </c>
      <c r="F1012" s="7">
        <v>61</v>
      </c>
      <c r="G1012" s="2">
        <v>53</v>
      </c>
      <c r="H1012" s="2" t="s">
        <v>171</v>
      </c>
      <c r="I1012" s="2" t="s">
        <v>559</v>
      </c>
      <c r="J1012" s="3" t="s">
        <v>28</v>
      </c>
      <c r="M1012" s="2">
        <f>IF(J1012="1000+", 1000, (LEFT(J1012,FIND("-",J1012)-1)+RIGHT(J1012,LEN(J1012)-FIND("-",J1012)))/2)</f>
        <v>200</v>
      </c>
      <c r="N1012" s="2">
        <f>ROUND(E1012 * 0.7+F1012 * 0.2+G1012 * 0.1,2)</f>
        <v>61.6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82</v>
      </c>
      <c r="P1012" s="2">
        <f>E1012 - O1012</f>
        <v>-19</v>
      </c>
      <c r="Q1012" s="2">
        <f>ROUND(
  SIGN(P1012)*
  IF(ABS(P1012)&lt;=10,ABS(P1012)*0.5,
     IF(ABS(P1012)&lt;=15,5+(ABS(P1012)-10)*(1.67/5),
        6.67+(ABS(P1012)-15)*0.333)),
2)</f>
        <v>-8</v>
      </c>
    </row>
    <row r="1013" spans="1:17" ht="34.5" customHeight="1" x14ac:dyDescent="0.3">
      <c r="B1013" s="2">
        <v>1012</v>
      </c>
      <c r="C1013" s="13">
        <f>ROUND(MAX(MIN(N1013 + Q1013, 100), 0), 2)</f>
        <v>53.6</v>
      </c>
      <c r="D1013" s="2" t="s">
        <v>889</v>
      </c>
      <c r="E1013" s="7">
        <v>60</v>
      </c>
      <c r="F1013" s="5">
        <v>72</v>
      </c>
      <c r="G1013" s="5">
        <v>72</v>
      </c>
      <c r="H1013" s="2" t="s">
        <v>396</v>
      </c>
      <c r="I1013" s="2" t="s">
        <v>513</v>
      </c>
      <c r="J1013" s="3" t="s">
        <v>14</v>
      </c>
      <c r="M1013" s="2">
        <f>IF(J1013="1000+", 1000, (LEFT(J1013,FIND("-",J1013)-1)+RIGHT(J1013,LEN(J1013)-FIND("-",J1013)))/2)</f>
        <v>225</v>
      </c>
      <c r="N1013" s="2">
        <f>ROUND(E1013 * 0.7+F1013 * 0.2+G1013 * 0.1,2)</f>
        <v>63.6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85</v>
      </c>
      <c r="P1013" s="2">
        <f>E1013 - O1013</f>
        <v>-25</v>
      </c>
      <c r="Q1013" s="2">
        <f>ROUND(
  SIGN(P1013)*
  IF(ABS(P1013)&lt;=10,ABS(P1013)*0.5,
     IF(ABS(P1013)&lt;=15,5+(ABS(P1013)-10)*(1.67/5),
        6.67+(ABS(P1013)-15)*0.333)),
2)</f>
        <v>-10</v>
      </c>
    </row>
    <row r="1014" spans="1:17" ht="34.5" customHeight="1" x14ac:dyDescent="0.3">
      <c r="B1014" s="2">
        <v>1013</v>
      </c>
      <c r="C1014" s="13">
        <f>ROUND(MAX(MIN(N1014 + Q1014, 100), 0), 2)</f>
        <v>53.5</v>
      </c>
      <c r="D1014" s="2" t="s">
        <v>935</v>
      </c>
      <c r="E1014" s="7">
        <v>60</v>
      </c>
      <c r="F1014" s="2">
        <v>50</v>
      </c>
      <c r="G1014" s="2">
        <v>40</v>
      </c>
      <c r="H1014" s="2" t="s">
        <v>240</v>
      </c>
      <c r="I1014" s="2" t="s">
        <v>72</v>
      </c>
      <c r="J1014" s="3" t="s">
        <v>32</v>
      </c>
      <c r="M1014" s="2">
        <f>IF(J1014="1000+", 1000, (LEFT(J1014,FIND("-",J1014)-1)+RIGHT(J1014,LEN(J1014)-FIND("-",J1014)))/2)</f>
        <v>45</v>
      </c>
      <c r="N1014" s="2">
        <f>ROUND(E1014 * 0.7+F1014 * 0.2+G1014 * 0.1,2)</f>
        <v>56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65</v>
      </c>
      <c r="P1014" s="2">
        <f>E1014 - O1014</f>
        <v>-5</v>
      </c>
      <c r="Q1014" s="2">
        <f>ROUND(
  SIGN(P1014)*
  IF(ABS(P1014)&lt;=10,ABS(P1014)*0.5,
     IF(ABS(P1014)&lt;=15,5+(ABS(P1014)-10)*(1.67/5),
        6.67+(ABS(P1014)-15)*0.333)),
2)</f>
        <v>-2.5</v>
      </c>
    </row>
    <row r="1015" spans="1:17" ht="34.5" customHeight="1" x14ac:dyDescent="0.3">
      <c r="B1015" s="2">
        <v>1014</v>
      </c>
      <c r="C1015" s="13">
        <f>ROUND(MAX(MIN(N1015 + Q1015, 100), 0), 2)</f>
        <v>53.5</v>
      </c>
      <c r="D1015" s="2" t="s">
        <v>871</v>
      </c>
      <c r="E1015" s="2">
        <v>56</v>
      </c>
      <c r="F1015" s="5">
        <v>74</v>
      </c>
      <c r="G1015" s="5">
        <v>75</v>
      </c>
      <c r="H1015" s="2" t="s">
        <v>48</v>
      </c>
      <c r="I1015" s="2" t="s">
        <v>17</v>
      </c>
      <c r="J1015" s="3" t="s">
        <v>140</v>
      </c>
      <c r="M1015" s="2">
        <f>IF(J1015="1000+", 1000, (LEFT(J1015,FIND("-",J1015)-1)+RIGHT(J1015,LEN(J1015)-FIND("-",J1015)))/2)</f>
        <v>115</v>
      </c>
      <c r="N1015" s="2">
        <f>ROUND(E1015 * 0.7+F1015 * 0.2+G1015 * 0.1,2)</f>
        <v>61.5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75</v>
      </c>
      <c r="P1015" s="2">
        <f>E1015 - O1015</f>
        <v>-19</v>
      </c>
      <c r="Q1015" s="2">
        <f>ROUND(
  SIGN(P1015)*
  IF(ABS(P1015)&lt;=10,ABS(P1015)*0.5,
     IF(ABS(P1015)&lt;=15,5+(ABS(P1015)-10)*(1.67/5),
        6.67+(ABS(P1015)-15)*0.333)),
2)</f>
        <v>-8</v>
      </c>
    </row>
    <row r="1016" spans="1:17" ht="34.5" customHeight="1" x14ac:dyDescent="0.3">
      <c r="B1016" s="2">
        <v>1015</v>
      </c>
      <c r="C1016" s="13">
        <f>ROUND(MAX(MIN(N1016 + Q1016, 100), 0), 2)</f>
        <v>53.4</v>
      </c>
      <c r="D1016" s="2" t="s">
        <v>970</v>
      </c>
      <c r="E1016" s="7">
        <v>63</v>
      </c>
      <c r="F1016" s="2">
        <v>45</v>
      </c>
      <c r="G1016" s="2">
        <v>48</v>
      </c>
      <c r="H1016" s="2" t="s">
        <v>16</v>
      </c>
      <c r="I1016" s="2" t="s">
        <v>17</v>
      </c>
      <c r="J1016" s="3" t="s">
        <v>122</v>
      </c>
      <c r="M1016" s="2">
        <f>IF(J1016="1000+", 1000, (LEFT(J1016,FIND("-",J1016)-1)+RIGHT(J1016,LEN(J1016)-FIND("-",J1016)))/2)</f>
        <v>105</v>
      </c>
      <c r="N1016" s="2">
        <f>ROUND(E1016 * 0.7+F1016 * 0.2+G1016 * 0.1,2)</f>
        <v>57.9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72</v>
      </c>
      <c r="P1016" s="2">
        <f>E1016 - O1016</f>
        <v>-9</v>
      </c>
      <c r="Q1016" s="2">
        <f>ROUND(
  SIGN(P1016)*
  IF(ABS(P1016)&lt;=10,ABS(P1016)*0.5,
     IF(ABS(P1016)&lt;=15,5+(ABS(P1016)-10)*(1.67/5),
        6.67+(ABS(P1016)-15)*0.333)),
2)</f>
        <v>-4.5</v>
      </c>
    </row>
    <row r="1017" spans="1:17" ht="34.5" customHeight="1" x14ac:dyDescent="0.3">
      <c r="A1017" s="2">
        <v>2026</v>
      </c>
      <c r="B1017" s="2">
        <v>1016</v>
      </c>
      <c r="C1017" s="13">
        <f>ROUND(MAX(MIN(N1017 + Q1017, 100), 0), 2)</f>
        <v>53.4</v>
      </c>
      <c r="D1017" s="11" t="s">
        <v>1326</v>
      </c>
      <c r="E1017" s="2">
        <v>58</v>
      </c>
      <c r="F1017" s="2">
        <v>56</v>
      </c>
      <c r="G1017" s="2">
        <v>36</v>
      </c>
      <c r="H1017" s="11" t="s">
        <v>1333</v>
      </c>
      <c r="I1017" s="2" t="s">
        <v>36</v>
      </c>
      <c r="J1017" s="19" t="s">
        <v>1263</v>
      </c>
      <c r="M1017" s="2">
        <f>IF(J1017="1000+", 1000, (LEFT(J1017,FIND("-",J1017)-1)+RIGHT(J1017,LEN(J1017)-FIND("-",J1017)))/2)</f>
        <v>30</v>
      </c>
      <c r="N1017" s="2">
        <f>ROUND(E1017 * 0.7+F1017 * 0.2+G1017 * 0.1,2)</f>
        <v>55.4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62</v>
      </c>
      <c r="P1017" s="2">
        <f>E1017 - O1017</f>
        <v>-4</v>
      </c>
      <c r="Q1017" s="2">
        <f>ROUND(
  SIGN(P1017)*
  IF(ABS(P1017)&lt;=10,ABS(P1017)*0.5,
     IF(ABS(P1017)&lt;=15,5+(ABS(P1017)-10)*(1.67/5),
        6.67+(ABS(P1017)-15)*0.333)),
2)</f>
        <v>-2</v>
      </c>
    </row>
    <row r="1018" spans="1:17" ht="34.5" customHeight="1" x14ac:dyDescent="0.3">
      <c r="B1018" s="2">
        <v>1017</v>
      </c>
      <c r="C1018" s="13">
        <f>ROUND(MAX(MIN(N1018 + Q1018, 100), 0), 2)</f>
        <v>53.4</v>
      </c>
      <c r="D1018" s="2" t="s">
        <v>945</v>
      </c>
      <c r="E1018" s="7">
        <v>64</v>
      </c>
      <c r="F1018" s="2">
        <v>51</v>
      </c>
      <c r="G1018" s="2">
        <v>54</v>
      </c>
      <c r="H1018" s="2" t="s">
        <v>58</v>
      </c>
      <c r="I1018" s="2" t="s">
        <v>49</v>
      </c>
      <c r="J1018" s="3" t="s">
        <v>88</v>
      </c>
      <c r="M1018" s="2">
        <f>IF(J1018="1000+", 1000, (LEFT(J1018,FIND("-",J1018)-1)+RIGHT(J1018,LEN(J1018)-FIND("-",J1018)))/2)</f>
        <v>150</v>
      </c>
      <c r="N1018" s="2">
        <f>ROUND(E1018 * 0.7+F1018 * 0.2+G1018 * 0.1,2)</f>
        <v>60.4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80</v>
      </c>
      <c r="P1018" s="2">
        <f>E1018 - O1018</f>
        <v>-16</v>
      </c>
      <c r="Q1018" s="2">
        <f>ROUND(
  SIGN(P1018)*
  IF(ABS(P1018)&lt;=10,ABS(P1018)*0.5,
     IF(ABS(P1018)&lt;=15,5+(ABS(P1018)-10)*(1.67/5),
        6.67+(ABS(P1018)-15)*0.333)),
2)</f>
        <v>-7</v>
      </c>
    </row>
    <row r="1019" spans="1:17" ht="34.5" customHeight="1" x14ac:dyDescent="0.3">
      <c r="B1019" s="2">
        <v>1018</v>
      </c>
      <c r="C1019" s="13">
        <f>ROUND(MAX(MIN(N1019 + Q1019, 100), 0), 2)</f>
        <v>53.36</v>
      </c>
      <c r="D1019" s="2" t="s">
        <v>904</v>
      </c>
      <c r="E1019" s="2">
        <v>58</v>
      </c>
      <c r="F1019" s="7">
        <v>69</v>
      </c>
      <c r="G1019" s="7">
        <v>63</v>
      </c>
      <c r="H1019" s="2" t="s">
        <v>48</v>
      </c>
      <c r="I1019" s="2" t="s">
        <v>154</v>
      </c>
      <c r="J1019" s="3" t="s">
        <v>140</v>
      </c>
      <c r="M1019" s="2">
        <f>IF(J1019="1000+", 1000, (LEFT(J1019,FIND("-",J1019)-1)+RIGHT(J1019,LEN(J1019)-FIND("-",J1019)))/2)</f>
        <v>115</v>
      </c>
      <c r="N1019" s="2">
        <f>ROUND(E1019 * 0.7+F1019 * 0.2+G1019 * 0.1,2)</f>
        <v>60.7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75</v>
      </c>
      <c r="P1019" s="2">
        <f>E1019 - O1019</f>
        <v>-17</v>
      </c>
      <c r="Q1019" s="2">
        <f>ROUND(
  SIGN(P1019)*
  IF(ABS(P1019)&lt;=10,ABS(P1019)*0.5,
     IF(ABS(P1019)&lt;=15,5+(ABS(P1019)-10)*(1.67/5),
        6.67+(ABS(P1019)-15)*0.333)),
2)</f>
        <v>-7.34</v>
      </c>
    </row>
    <row r="1020" spans="1:17" ht="34.5" customHeight="1" x14ac:dyDescent="0.3">
      <c r="A1020" s="2">
        <v>2026</v>
      </c>
      <c r="B1020" s="2">
        <v>1019</v>
      </c>
      <c r="C1020" s="13">
        <f>ROUND(MAX(MIN(N1020 + Q1020, 100), 0), 2)</f>
        <v>53.36</v>
      </c>
      <c r="D1020" s="2" t="s">
        <v>1938</v>
      </c>
      <c r="E1020" s="7">
        <v>62</v>
      </c>
      <c r="F1020" s="7">
        <v>61</v>
      </c>
      <c r="G1020" s="7">
        <v>61</v>
      </c>
      <c r="H1020" s="2" t="s">
        <v>1944</v>
      </c>
      <c r="I1020" s="2" t="s">
        <v>1946</v>
      </c>
      <c r="J1020" s="3" t="s">
        <v>1265</v>
      </c>
      <c r="M1020" s="2">
        <f>IF(J1020="1000+", 1000, (LEFT(J1020,FIND("-",J1020)-1)+RIGHT(J1020,LEN(J1020)-FIND("-",J1020)))/2)</f>
        <v>200</v>
      </c>
      <c r="N1020" s="2">
        <f>ROUND(E1020 * 0.7+F1020 * 0.2+G1020 * 0.1,2)</f>
        <v>61.7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82</v>
      </c>
      <c r="P1020" s="2">
        <f>E1020 - O1020</f>
        <v>-20</v>
      </c>
      <c r="Q1020" s="2">
        <f>ROUND(
  SIGN(P1020)*
  IF(ABS(P1020)&lt;=10,ABS(P1020)*0.5,
     IF(ABS(P1020)&lt;=15,5+(ABS(P1020)-10)*(1.67/5),
        6.67+(ABS(P1020)-15)*0.333)),
2)</f>
        <v>-8.34</v>
      </c>
    </row>
    <row r="1021" spans="1:17" ht="34.5" customHeight="1" x14ac:dyDescent="0.3">
      <c r="B1021" s="2">
        <v>1020</v>
      </c>
      <c r="C1021" s="13">
        <f>ROUND(MAX(MIN(N1021 + Q1021, 100), 0), 2)</f>
        <v>53.33</v>
      </c>
      <c r="D1021" s="2" t="s">
        <v>894</v>
      </c>
      <c r="E1021" s="2">
        <v>56</v>
      </c>
      <c r="F1021" s="7">
        <v>68</v>
      </c>
      <c r="G1021" s="7">
        <v>62</v>
      </c>
      <c r="H1021" s="2" t="s">
        <v>87</v>
      </c>
      <c r="I1021" s="2" t="s">
        <v>72</v>
      </c>
      <c r="J1021" s="3" t="s">
        <v>23</v>
      </c>
      <c r="M1021" s="2">
        <f>IF(J1021="1000+", 1000, (LEFT(J1021,FIND("-",J1021)-1)+RIGHT(J1021,LEN(J1021)-FIND("-",J1021)))/2)</f>
        <v>60</v>
      </c>
      <c r="N1021" s="2">
        <f>ROUND(E1021 * 0.7+F1021 * 0.2+G1021 * 0.1,2)</f>
        <v>59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68</v>
      </c>
      <c r="P1021" s="2">
        <f>E1021 - O1021</f>
        <v>-12</v>
      </c>
      <c r="Q1021" s="2">
        <f>ROUND(
  SIGN(P1021)*
  IF(ABS(P1021)&lt;=10,ABS(P1021)*0.5,
     IF(ABS(P1021)&lt;=15,5+(ABS(P1021)-10)*(1.67/5),
        6.67+(ABS(P1021)-15)*0.333)),
2)</f>
        <v>-5.67</v>
      </c>
    </row>
    <row r="1022" spans="1:17" ht="34.5" customHeight="1" x14ac:dyDescent="0.3">
      <c r="B1022" s="2">
        <v>1021</v>
      </c>
      <c r="C1022" s="13">
        <f>ROUND(MAX(MIN(N1022 + Q1022, 100), 0), 2)</f>
        <v>53.33</v>
      </c>
      <c r="D1022" s="2" t="s">
        <v>861</v>
      </c>
      <c r="E1022" s="2">
        <v>54</v>
      </c>
      <c r="F1022" s="5">
        <v>77</v>
      </c>
      <c r="G1022" s="6">
        <v>88</v>
      </c>
      <c r="H1022" s="2" t="s">
        <v>185</v>
      </c>
      <c r="I1022" s="2" t="s">
        <v>79</v>
      </c>
      <c r="J1022" s="3" t="s">
        <v>140</v>
      </c>
      <c r="M1022" s="2">
        <f>IF(J1022="1000+", 1000, (LEFT(J1022,FIND("-",J1022)-1)+RIGHT(J1022,LEN(J1022)-FIND("-",J1022)))/2)</f>
        <v>115</v>
      </c>
      <c r="N1022" s="2">
        <f>ROUND(E1022 * 0.7+F1022 * 0.2+G1022 * 0.1,2)</f>
        <v>62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75</v>
      </c>
      <c r="P1022" s="2">
        <f>E1022 - O1022</f>
        <v>-21</v>
      </c>
      <c r="Q1022" s="2">
        <f>ROUND(
  SIGN(P1022)*
  IF(ABS(P1022)&lt;=10,ABS(P1022)*0.5,
     IF(ABS(P1022)&lt;=15,5+(ABS(P1022)-10)*(1.67/5),
        6.67+(ABS(P1022)-15)*0.333)),
2)</f>
        <v>-8.67</v>
      </c>
    </row>
    <row r="1023" spans="1:17" ht="34.5" customHeight="1" x14ac:dyDescent="0.3">
      <c r="B1023" s="2">
        <v>1022</v>
      </c>
      <c r="C1023" s="13">
        <f>ROUND(MAX(MIN(N1023 + Q1023, 100), 0), 2)</f>
        <v>53.3</v>
      </c>
      <c r="D1023" s="2" t="s">
        <v>901</v>
      </c>
      <c r="E1023" s="7">
        <v>60</v>
      </c>
      <c r="F1023" s="5">
        <v>70</v>
      </c>
      <c r="G1023" s="5">
        <v>73</v>
      </c>
      <c r="H1023" s="2" t="s">
        <v>31</v>
      </c>
      <c r="I1023" s="2" t="s">
        <v>119</v>
      </c>
      <c r="J1023" s="3" t="s">
        <v>14</v>
      </c>
      <c r="M1023" s="2">
        <f>IF(J1023="1000+", 1000, (LEFT(J1023,FIND("-",J1023)-1)+RIGHT(J1023,LEN(J1023)-FIND("-",J1023)))/2)</f>
        <v>225</v>
      </c>
      <c r="N1023" s="2">
        <f>ROUND(E1023 * 0.7+F1023 * 0.2+G1023 * 0.1,2)</f>
        <v>63.3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85</v>
      </c>
      <c r="P1023" s="2">
        <f>E1023 - O1023</f>
        <v>-25</v>
      </c>
      <c r="Q1023" s="2">
        <f>ROUND(
  SIGN(P1023)*
  IF(ABS(P1023)&lt;=10,ABS(P1023)*0.5,
     IF(ABS(P1023)&lt;=15,5+(ABS(P1023)-10)*(1.67/5),
        6.67+(ABS(P1023)-15)*0.333)),
2)</f>
        <v>-10</v>
      </c>
    </row>
    <row r="1024" spans="1:17" ht="34.5" customHeight="1" x14ac:dyDescent="0.3">
      <c r="B1024" s="2">
        <v>1023</v>
      </c>
      <c r="C1024" s="13">
        <f>ROUND(MAX(MIN(N1024 + Q1024, 100), 0), 2)</f>
        <v>53.23</v>
      </c>
      <c r="D1024" s="2" t="s">
        <v>921</v>
      </c>
      <c r="E1024" s="2">
        <v>58</v>
      </c>
      <c r="F1024" s="7">
        <v>65</v>
      </c>
      <c r="G1024" s="2">
        <v>53</v>
      </c>
      <c r="H1024" s="2" t="s">
        <v>163</v>
      </c>
      <c r="I1024" s="2" t="s">
        <v>22</v>
      </c>
      <c r="J1024" s="3" t="s">
        <v>18</v>
      </c>
      <c r="M1024" s="2">
        <f>IF(J1024="1000+", 1000, (LEFT(J1024,FIND("-",J1024)-1)+RIGHT(J1024,LEN(J1024)-FIND("-",J1024)))/2)</f>
        <v>75</v>
      </c>
      <c r="N1024" s="2">
        <f>ROUND(E1024 * 0.7+F1024 * 0.2+G1024 * 0.1,2)</f>
        <v>58.9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70</v>
      </c>
      <c r="P1024" s="2">
        <f>E1024 - O1024</f>
        <v>-12</v>
      </c>
      <c r="Q1024" s="2">
        <f>ROUND(
  SIGN(P1024)*
  IF(ABS(P1024)&lt;=10,ABS(P1024)*0.5,
     IF(ABS(P1024)&lt;=15,5+(ABS(P1024)-10)*(1.67/5),
        6.67+(ABS(P1024)-15)*0.333)),
2)</f>
        <v>-5.67</v>
      </c>
    </row>
    <row r="1025" spans="1:17" ht="34.5" customHeight="1" x14ac:dyDescent="0.3">
      <c r="B1025" s="2">
        <v>1024</v>
      </c>
      <c r="C1025" s="13">
        <f>ROUND(MAX(MIN(N1025 + Q1025, 100), 0), 2)</f>
        <v>53.2</v>
      </c>
      <c r="D1025" s="2" t="s">
        <v>978</v>
      </c>
      <c r="E1025" s="2">
        <v>58</v>
      </c>
      <c r="F1025" s="2">
        <v>50</v>
      </c>
      <c r="G1025" s="2">
        <v>36</v>
      </c>
      <c r="H1025" s="2" t="s">
        <v>104</v>
      </c>
      <c r="I1025" s="2" t="s">
        <v>447</v>
      </c>
      <c r="J1025" s="3" t="s">
        <v>132</v>
      </c>
      <c r="M1025" s="2">
        <f>IF(J1025="1000+", 1000, (LEFT(J1025,FIND("-",J1025)-1)+RIGHT(J1025,LEN(J1025)-FIND("-",J1025)))/2)</f>
        <v>20</v>
      </c>
      <c r="N1025" s="2">
        <f>ROUND(E1025 * 0.7+F1025 * 0.2+G1025 * 0.1,2)</f>
        <v>54.2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60</v>
      </c>
      <c r="P1025" s="2">
        <f>E1025 - O1025</f>
        <v>-2</v>
      </c>
      <c r="Q1025" s="2">
        <f>ROUND(
  SIGN(P1025)*
  IF(ABS(P1025)&lt;=10,ABS(P1025)*0.5,
     IF(ABS(P1025)&lt;=15,5+(ABS(P1025)-10)*(1.67/5),
        6.67+(ABS(P1025)-15)*0.333)),
2)</f>
        <v>-1</v>
      </c>
    </row>
    <row r="1026" spans="1:17" ht="34.5" customHeight="1" x14ac:dyDescent="0.3">
      <c r="B1026" s="2">
        <v>1025</v>
      </c>
      <c r="C1026" s="13">
        <f>ROUND(MAX(MIN(N1026 + Q1026, 100), 0), 2)</f>
        <v>53.2</v>
      </c>
      <c r="D1026" s="2" t="s">
        <v>939</v>
      </c>
      <c r="E1026" s="7">
        <v>60</v>
      </c>
      <c r="F1026" s="2">
        <v>50</v>
      </c>
      <c r="G1026" s="2">
        <v>52</v>
      </c>
      <c r="H1026" s="2" t="s">
        <v>61</v>
      </c>
      <c r="I1026" s="2" t="s">
        <v>22</v>
      </c>
      <c r="J1026" s="3" t="s">
        <v>23</v>
      </c>
      <c r="M1026" s="2">
        <f>IF(J1026="1000+", 1000, (LEFT(J1026,FIND("-",J1026)-1)+RIGHT(J1026,LEN(J1026)-FIND("-",J1026)))/2)</f>
        <v>60</v>
      </c>
      <c r="N1026" s="2">
        <f>ROUND(E1026 * 0.7+F1026 * 0.2+G1026 * 0.1,2)</f>
        <v>57.2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68</v>
      </c>
      <c r="P1026" s="2">
        <f>E1026 - O1026</f>
        <v>-8</v>
      </c>
      <c r="Q1026" s="2">
        <f>ROUND(
  SIGN(P1026)*
  IF(ABS(P1026)&lt;=10,ABS(P1026)*0.5,
     IF(ABS(P1026)&lt;=15,5+(ABS(P1026)-10)*(1.67/5),
        6.67+(ABS(P1026)-15)*0.333)),
2)</f>
        <v>-4</v>
      </c>
    </row>
    <row r="1027" spans="1:17" ht="34.5" customHeight="1" x14ac:dyDescent="0.3">
      <c r="A1027" s="2">
        <v>2026</v>
      </c>
      <c r="B1027" s="2">
        <v>1026</v>
      </c>
      <c r="C1027" s="13">
        <f>ROUND(MAX(MIN(N1027 + Q1027, 100), 0), 2)</f>
        <v>53.2</v>
      </c>
      <c r="D1027" s="2" t="s">
        <v>1672</v>
      </c>
      <c r="E1027" s="2">
        <v>57</v>
      </c>
      <c r="F1027" s="2">
        <v>56</v>
      </c>
      <c r="G1027" s="2">
        <v>46</v>
      </c>
      <c r="H1027" s="2" t="s">
        <v>1676</v>
      </c>
      <c r="I1027" s="2" t="s">
        <v>1679</v>
      </c>
      <c r="J1027" s="3" t="s">
        <v>1674</v>
      </c>
      <c r="M1027" s="2">
        <f>IF(J1027="1000+", 1000, (LEFT(J1027,FIND("-",J1027)-1)+RIGHT(J1027,LEN(J1027)-FIND("-",J1027)))/2)</f>
        <v>30</v>
      </c>
      <c r="N1027" s="2">
        <f>ROUND(E1027 * 0.7+F1027 * 0.2+G1027 * 0.1,2)</f>
        <v>55.7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62</v>
      </c>
      <c r="P1027" s="2">
        <f>E1027 - O1027</f>
        <v>-5</v>
      </c>
      <c r="Q1027" s="2">
        <f>ROUND(
  SIGN(P1027)*
  IF(ABS(P1027)&lt;=10,ABS(P1027)*0.5,
     IF(ABS(P1027)&lt;=15,5+(ABS(P1027)-10)*(1.67/5),
        6.67+(ABS(P1027)-15)*0.333)),
2)</f>
        <v>-2.5</v>
      </c>
    </row>
    <row r="1028" spans="1:17" ht="34.5" customHeight="1" x14ac:dyDescent="0.3">
      <c r="B1028" s="2">
        <v>1027</v>
      </c>
      <c r="C1028" s="13">
        <f>ROUND(MAX(MIN(N1028 + Q1028, 100), 0), 2)</f>
        <v>53.2</v>
      </c>
      <c r="D1028" s="2" t="s">
        <v>905</v>
      </c>
      <c r="E1028" s="2">
        <v>57</v>
      </c>
      <c r="F1028" s="2">
        <v>58</v>
      </c>
      <c r="G1028" s="2">
        <v>57</v>
      </c>
      <c r="H1028" s="2" t="s">
        <v>31</v>
      </c>
      <c r="I1028" s="2" t="s">
        <v>17</v>
      </c>
      <c r="J1028" s="3" t="s">
        <v>32</v>
      </c>
      <c r="M1028" s="2">
        <f>IF(J1028="1000+", 1000, (LEFT(J1028,FIND("-",J1028)-1)+RIGHT(J1028,LEN(J1028)-FIND("-",J1028)))/2)</f>
        <v>45</v>
      </c>
      <c r="N1028" s="2">
        <f>ROUND(E1028 * 0.7+F1028 * 0.2+G1028 * 0.1,2)</f>
        <v>57.2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65</v>
      </c>
      <c r="P1028" s="2">
        <f>E1028 - O1028</f>
        <v>-8</v>
      </c>
      <c r="Q1028" s="2">
        <f>ROUND(
  SIGN(P1028)*
  IF(ABS(P1028)&lt;=10,ABS(P1028)*0.5,
     IF(ABS(P1028)&lt;=15,5+(ABS(P1028)-10)*(1.67/5),
        6.67+(ABS(P1028)-15)*0.333)),
2)</f>
        <v>-4</v>
      </c>
    </row>
    <row r="1029" spans="1:17" ht="34.5" customHeight="1" x14ac:dyDescent="0.3">
      <c r="B1029" s="2">
        <v>1028</v>
      </c>
      <c r="C1029" s="13">
        <f>ROUND(MAX(MIN(N1029 + Q1029, 100), 0), 2)</f>
        <v>53.1</v>
      </c>
      <c r="D1029" s="2" t="s">
        <v>965</v>
      </c>
      <c r="E1029" s="2">
        <v>58</v>
      </c>
      <c r="F1029" s="2">
        <v>50</v>
      </c>
      <c r="G1029" s="2">
        <v>35</v>
      </c>
      <c r="H1029" s="2" t="s">
        <v>673</v>
      </c>
      <c r="I1029" s="2" t="s">
        <v>72</v>
      </c>
      <c r="J1029" s="3" t="s">
        <v>132</v>
      </c>
      <c r="M1029" s="2">
        <f>IF(J1029="1000+", 1000, (LEFT(J1029,FIND("-",J1029)-1)+RIGHT(J1029,LEN(J1029)-FIND("-",J1029)))/2)</f>
        <v>20</v>
      </c>
      <c r="N1029" s="2">
        <f>ROUND(E1029 * 0.7+F1029 * 0.2+G1029 * 0.1,2)</f>
        <v>54.1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60</v>
      </c>
      <c r="P1029" s="2">
        <f>E1029 - O1029</f>
        <v>-2</v>
      </c>
      <c r="Q1029" s="2">
        <f>ROUND(
  SIGN(P1029)*
  IF(ABS(P1029)&lt;=10,ABS(P1029)*0.5,
     IF(ABS(P1029)&lt;=15,5+(ABS(P1029)-10)*(1.67/5),
        6.67+(ABS(P1029)-15)*0.333)),
2)</f>
        <v>-1</v>
      </c>
    </row>
    <row r="1030" spans="1:17" ht="34.5" customHeight="1" x14ac:dyDescent="0.3">
      <c r="A1030" s="2">
        <v>2026</v>
      </c>
      <c r="B1030" s="2">
        <v>1029</v>
      </c>
      <c r="C1030" s="13">
        <f>ROUND(MAX(MIN(N1030 + Q1030, 100), 0), 2)</f>
        <v>53.1</v>
      </c>
      <c r="D1030" s="2" t="s">
        <v>1719</v>
      </c>
      <c r="E1030" s="2">
        <v>54</v>
      </c>
      <c r="F1030" s="7">
        <v>64</v>
      </c>
      <c r="G1030" s="2">
        <v>55</v>
      </c>
      <c r="H1030" s="2" t="s">
        <v>1723</v>
      </c>
      <c r="I1030" s="2" t="s">
        <v>36</v>
      </c>
      <c r="J1030" s="3" t="s">
        <v>1708</v>
      </c>
      <c r="M1030" s="2">
        <f>IF(J1030="1000+", 1000, (LEFT(J1030,FIND("-",J1030)-1)+RIGHT(J1030,LEN(J1030)-FIND("-",J1030)))/2)</f>
        <v>20</v>
      </c>
      <c r="N1030" s="2">
        <f>ROUND(E1030 * 0.7+F1030 * 0.2+G1030 * 0.1,2)</f>
        <v>56.1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60</v>
      </c>
      <c r="P1030" s="2">
        <f>E1030 - O1030</f>
        <v>-6</v>
      </c>
      <c r="Q1030" s="2">
        <f>ROUND(
  SIGN(P1030)*
  IF(ABS(P1030)&lt;=10,ABS(P1030)*0.5,
     IF(ABS(P1030)&lt;=15,5+(ABS(P1030)-10)*(1.67/5),
        6.67+(ABS(P1030)-15)*0.333)),
2)</f>
        <v>-3</v>
      </c>
    </row>
    <row r="1031" spans="1:17" ht="34.5" customHeight="1" x14ac:dyDescent="0.3">
      <c r="B1031" s="2">
        <v>1030</v>
      </c>
      <c r="C1031" s="13">
        <f>ROUND(MAX(MIN(N1031 + Q1031, 100), 0), 2)</f>
        <v>53.07</v>
      </c>
      <c r="D1031" s="2" t="s">
        <v>919</v>
      </c>
      <c r="E1031" s="7">
        <v>64</v>
      </c>
      <c r="F1031" s="7">
        <v>67</v>
      </c>
      <c r="G1031" s="2">
        <v>42</v>
      </c>
      <c r="H1031" s="2" t="s">
        <v>174</v>
      </c>
      <c r="I1031" s="2" t="s">
        <v>100</v>
      </c>
      <c r="J1031" s="3" t="s">
        <v>65</v>
      </c>
      <c r="K1031" s="2" t="s">
        <v>920</v>
      </c>
      <c r="M1031" s="2">
        <f>IF(J1031="1000+", 1000, (LEFT(J1031,FIND("-",J1031)-1)+RIGHT(J1031,LEN(J1031)-FIND("-",J1031)))/2)</f>
        <v>250</v>
      </c>
      <c r="N1031" s="2">
        <f>ROUND(E1031 * 0.7+F1031 * 0.2+G1031 * 0.1,2)</f>
        <v>62.4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87</v>
      </c>
      <c r="P1031" s="2">
        <f>E1031 - O1031</f>
        <v>-23</v>
      </c>
      <c r="Q1031" s="2">
        <f>ROUND(
  SIGN(P1031)*
  IF(ABS(P1031)&lt;=10,ABS(P1031)*0.5,
     IF(ABS(P1031)&lt;=15,5+(ABS(P1031)-10)*(1.67/5),
        6.67+(ABS(P1031)-15)*0.333)),
2)</f>
        <v>-9.33</v>
      </c>
    </row>
    <row r="1032" spans="1:17" ht="34.5" customHeight="1" x14ac:dyDescent="0.3">
      <c r="B1032" s="2">
        <v>1031</v>
      </c>
      <c r="C1032" s="13">
        <f>ROUND(MAX(MIN(N1032 + Q1032, 100), 0), 2)</f>
        <v>53.06</v>
      </c>
      <c r="D1032" s="2" t="s">
        <v>912</v>
      </c>
      <c r="E1032" s="2">
        <v>58</v>
      </c>
      <c r="F1032" s="7">
        <v>65</v>
      </c>
      <c r="G1032" s="7">
        <v>68</v>
      </c>
      <c r="H1032" s="2" t="s">
        <v>48</v>
      </c>
      <c r="I1032" s="2" t="s">
        <v>625</v>
      </c>
      <c r="J1032" s="3" t="s">
        <v>140</v>
      </c>
      <c r="M1032" s="2">
        <f>IF(J1032="1000+", 1000, (LEFT(J1032,FIND("-",J1032)-1)+RIGHT(J1032,LEN(J1032)-FIND("-",J1032)))/2)</f>
        <v>115</v>
      </c>
      <c r="N1032" s="2">
        <f>ROUND(E1032 * 0.7+F1032 * 0.2+G1032 * 0.1,2)</f>
        <v>60.4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75</v>
      </c>
      <c r="P1032" s="2">
        <f>E1032 - O1032</f>
        <v>-17</v>
      </c>
      <c r="Q1032" s="2">
        <f>ROUND(
  SIGN(P1032)*
  IF(ABS(P1032)&lt;=10,ABS(P1032)*0.5,
     IF(ABS(P1032)&lt;=15,5+(ABS(P1032)-10)*(1.67/5),
        6.67+(ABS(P1032)-15)*0.333)),
2)</f>
        <v>-7.34</v>
      </c>
    </row>
    <row r="1033" spans="1:17" ht="34.5" customHeight="1" x14ac:dyDescent="0.3">
      <c r="B1033" s="2">
        <v>1032</v>
      </c>
      <c r="C1033" s="13">
        <f>ROUND(MAX(MIN(N1033 + Q1033, 100), 0), 2)</f>
        <v>53</v>
      </c>
      <c r="D1033" s="2" t="s">
        <v>897</v>
      </c>
      <c r="E1033" s="2">
        <v>55</v>
      </c>
      <c r="F1033" s="5">
        <v>72</v>
      </c>
      <c r="G1033" s="7">
        <v>61</v>
      </c>
      <c r="H1033" s="2" t="s">
        <v>35</v>
      </c>
      <c r="I1033" s="2" t="s">
        <v>165</v>
      </c>
      <c r="J1033" s="3" t="s">
        <v>23</v>
      </c>
      <c r="M1033" s="2">
        <f>IF(J1033="1000+", 1000, (LEFT(J1033,FIND("-",J1033)-1)+RIGHT(J1033,LEN(J1033)-FIND("-",J1033)))/2)</f>
        <v>60</v>
      </c>
      <c r="N1033" s="2">
        <f>ROUND(E1033 * 0.7+F1033 * 0.2+G1033 * 0.1,2)</f>
        <v>59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68</v>
      </c>
      <c r="P1033" s="2">
        <f>E1033 - O1033</f>
        <v>-13</v>
      </c>
      <c r="Q1033" s="2">
        <f>ROUND(
  SIGN(P1033)*
  IF(ABS(P1033)&lt;=10,ABS(P1033)*0.5,
     IF(ABS(P1033)&lt;=15,5+(ABS(P1033)-10)*(1.67/5),
        6.67+(ABS(P1033)-15)*0.333)),
2)</f>
        <v>-6</v>
      </c>
    </row>
    <row r="1034" spans="1:17" ht="34.5" customHeight="1" x14ac:dyDescent="0.3">
      <c r="B1034" s="2">
        <v>1033</v>
      </c>
      <c r="C1034" s="13">
        <f>ROUND(MAX(MIN(N1034 + Q1034, 100), 0), 2)</f>
        <v>52.93</v>
      </c>
      <c r="D1034" s="2" t="s">
        <v>890</v>
      </c>
      <c r="E1034" s="2">
        <v>58</v>
      </c>
      <c r="F1034" s="5">
        <v>78</v>
      </c>
      <c r="G1034" s="5">
        <v>74</v>
      </c>
      <c r="H1034" s="2" t="s">
        <v>31</v>
      </c>
      <c r="I1034" s="2" t="s">
        <v>27</v>
      </c>
      <c r="J1034" s="3" t="s">
        <v>14</v>
      </c>
      <c r="M1034" s="2">
        <f>IF(J1034="1000+", 1000, (LEFT(J1034,FIND("-",J1034)-1)+RIGHT(J1034,LEN(J1034)-FIND("-",J1034)))/2)</f>
        <v>225</v>
      </c>
      <c r="N1034" s="2">
        <f>ROUND(E1034 * 0.7+F1034 * 0.2+G1034 * 0.1,2)</f>
        <v>63.6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85</v>
      </c>
      <c r="P1034" s="2">
        <f>E1034 - O1034</f>
        <v>-27</v>
      </c>
      <c r="Q1034" s="2">
        <f>ROUND(
  SIGN(P1034)*
  IF(ABS(P1034)&lt;=10,ABS(P1034)*0.5,
     IF(ABS(P1034)&lt;=15,5+(ABS(P1034)-10)*(1.67/5),
        6.67+(ABS(P1034)-15)*0.333)),
2)</f>
        <v>-10.67</v>
      </c>
    </row>
    <row r="1035" spans="1:17" ht="34.5" customHeight="1" x14ac:dyDescent="0.3">
      <c r="A1035" s="2">
        <v>2026</v>
      </c>
      <c r="B1035" s="2">
        <v>1034</v>
      </c>
      <c r="C1035" s="13">
        <f>ROUND(MAX(MIN(N1035 + Q1035, 100), 0), 2)</f>
        <v>52.83</v>
      </c>
      <c r="D1035" s="2" t="s">
        <v>1848</v>
      </c>
      <c r="E1035" s="2">
        <v>57</v>
      </c>
      <c r="F1035" s="7">
        <v>64</v>
      </c>
      <c r="G1035" s="7">
        <v>68</v>
      </c>
      <c r="H1035" s="2" t="s">
        <v>1857</v>
      </c>
      <c r="I1035" s="2" t="s">
        <v>1258</v>
      </c>
      <c r="J1035" s="3" t="s">
        <v>1279</v>
      </c>
      <c r="M1035" s="2">
        <f>IF(J1035="1000+", 1000, (LEFT(J1035,FIND("-",J1035)-1)+RIGHT(J1035,LEN(J1035)-FIND("-",J1035)))/2)</f>
        <v>105</v>
      </c>
      <c r="N1035" s="2">
        <f>ROUND(E1035 * 0.7+F1035 * 0.2+G1035 * 0.1,2)</f>
        <v>59.5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72</v>
      </c>
      <c r="P1035" s="2">
        <f>E1035 - O1035</f>
        <v>-15</v>
      </c>
      <c r="Q1035" s="2">
        <f>ROUND(
  SIGN(P1035)*
  IF(ABS(P1035)&lt;=10,ABS(P1035)*0.5,
     IF(ABS(P1035)&lt;=15,5+(ABS(P1035)-10)*(1.67/5),
        6.67+(ABS(P1035)-15)*0.333)),
2)</f>
        <v>-6.67</v>
      </c>
    </row>
    <row r="1036" spans="1:17" ht="34.5" customHeight="1" x14ac:dyDescent="0.3">
      <c r="B1036" s="2">
        <v>1035</v>
      </c>
      <c r="C1036" s="13">
        <f>ROUND(MAX(MIN(N1036 + Q1036, 100), 0), 2)</f>
        <v>52.66</v>
      </c>
      <c r="D1036" s="2" t="s">
        <v>1111</v>
      </c>
      <c r="E1036" s="2">
        <v>55</v>
      </c>
      <c r="F1036" s="5">
        <v>75</v>
      </c>
      <c r="G1036" s="5">
        <v>75</v>
      </c>
      <c r="H1036" s="2" t="s">
        <v>1407</v>
      </c>
      <c r="I1036" s="2" t="s">
        <v>41</v>
      </c>
      <c r="J1036" s="3" t="s">
        <v>140</v>
      </c>
      <c r="M1036" s="2">
        <f>IF(J1036="1000+", 1000, (LEFT(J1036,FIND("-",J1036)-1)+RIGHT(J1036,LEN(J1036)-FIND("-",J1036)))/2)</f>
        <v>115</v>
      </c>
      <c r="N1036" s="2">
        <f>ROUND(E1036 * 0.7+F1036 * 0.2+G1036 * 0.1,2)</f>
        <v>61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75</v>
      </c>
      <c r="P1036" s="2">
        <f>E1036 - O1036</f>
        <v>-20</v>
      </c>
      <c r="Q1036" s="2">
        <f>ROUND(
  SIGN(P1036)*
  IF(ABS(P1036)&lt;=10,ABS(P1036)*0.5,
     IF(ABS(P1036)&lt;=15,5+(ABS(P1036)-10)*(1.67/5),
        6.67+(ABS(P1036)-15)*0.333)),
2)</f>
        <v>-8.34</v>
      </c>
    </row>
    <row r="1037" spans="1:17" ht="34.5" customHeight="1" x14ac:dyDescent="0.3">
      <c r="B1037" s="2">
        <v>1036</v>
      </c>
      <c r="C1037" s="13">
        <f>ROUND(MAX(MIN(N1037 + Q1037, 100), 0), 2)</f>
        <v>52.6</v>
      </c>
      <c r="D1037" s="2" t="s">
        <v>930</v>
      </c>
      <c r="E1037" s="2">
        <v>58</v>
      </c>
      <c r="F1037" s="2">
        <v>50</v>
      </c>
      <c r="G1037" s="2">
        <v>55</v>
      </c>
      <c r="H1037" s="2" t="s">
        <v>48</v>
      </c>
      <c r="I1037" s="2" t="s">
        <v>72</v>
      </c>
      <c r="J1037" s="3" t="s">
        <v>32</v>
      </c>
      <c r="M1037" s="2">
        <f>IF(J1037="1000+", 1000, (LEFT(J1037,FIND("-",J1037)-1)+RIGHT(J1037,LEN(J1037)-FIND("-",J1037)))/2)</f>
        <v>45</v>
      </c>
      <c r="N1037" s="2">
        <f>ROUND(E1037 * 0.7+F1037 * 0.2+G1037 * 0.1,2)</f>
        <v>56.1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65</v>
      </c>
      <c r="P1037" s="2">
        <f>E1037 - O1037</f>
        <v>-7</v>
      </c>
      <c r="Q1037" s="2">
        <f>ROUND(
  SIGN(P1037)*
  IF(ABS(P1037)&lt;=10,ABS(P1037)*0.5,
     IF(ABS(P1037)&lt;=15,5+(ABS(P1037)-10)*(1.67/5),
        6.67+(ABS(P1037)-15)*0.333)),
2)</f>
        <v>-3.5</v>
      </c>
    </row>
    <row r="1038" spans="1:17" ht="34.5" customHeight="1" x14ac:dyDescent="0.3">
      <c r="A1038" s="2">
        <v>2026</v>
      </c>
      <c r="B1038" s="2">
        <v>1037</v>
      </c>
      <c r="C1038" s="13">
        <f>ROUND(MAX(MIN(N1038 + Q1038, 100), 0), 2)</f>
        <v>52.6</v>
      </c>
      <c r="D1038" s="2" t="s">
        <v>1894</v>
      </c>
      <c r="E1038" s="2">
        <v>56</v>
      </c>
      <c r="F1038" s="2">
        <v>52</v>
      </c>
      <c r="G1038" s="2">
        <v>50</v>
      </c>
      <c r="H1038" s="2" t="s">
        <v>1421</v>
      </c>
      <c r="I1038" s="2" t="s">
        <v>36</v>
      </c>
      <c r="J1038" s="3" t="s">
        <v>1261</v>
      </c>
      <c r="M1038" s="2">
        <f>IF(J1038="1000+", 1000, (LEFT(J1038,FIND("-",J1038)-1)+RIGHT(J1038,LEN(J1038)-FIND("-",J1038)))/2)</f>
        <v>20</v>
      </c>
      <c r="N1038" s="2">
        <f>ROUND(E1038 * 0.7+F1038 * 0.2+G1038 * 0.1,2)</f>
        <v>54.6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60</v>
      </c>
      <c r="P1038" s="2">
        <f>E1038 - O1038</f>
        <v>-4</v>
      </c>
      <c r="Q1038" s="2">
        <f>ROUND(
  SIGN(P1038)*
  IF(ABS(P1038)&lt;=10,ABS(P1038)*0.5,
     IF(ABS(P1038)&lt;=15,5+(ABS(P1038)-10)*(1.67/5),
        6.67+(ABS(P1038)-15)*0.333)),
2)</f>
        <v>-2</v>
      </c>
    </row>
    <row r="1039" spans="1:17" ht="34.5" customHeight="1" x14ac:dyDescent="0.3">
      <c r="B1039" s="2">
        <v>1038</v>
      </c>
      <c r="C1039" s="13">
        <f>ROUND(MAX(MIN(N1039 + Q1039, 100), 0), 2)</f>
        <v>52.6</v>
      </c>
      <c r="D1039" s="2" t="s">
        <v>931</v>
      </c>
      <c r="E1039" s="2">
        <v>58</v>
      </c>
      <c r="F1039" s="7">
        <v>60</v>
      </c>
      <c r="G1039" s="2">
        <v>50</v>
      </c>
      <c r="H1039" s="2" t="s">
        <v>31</v>
      </c>
      <c r="I1039" s="2" t="s">
        <v>177</v>
      </c>
      <c r="J1039" s="3" t="s">
        <v>23</v>
      </c>
      <c r="M1039" s="2">
        <f>IF(J1039="1000+", 1000, (LEFT(J1039,FIND("-",J1039)-1)+RIGHT(J1039,LEN(J1039)-FIND("-",J1039)))/2)</f>
        <v>60</v>
      </c>
      <c r="N1039" s="2">
        <f>ROUND(E1039 * 0.7+F1039 * 0.2+G1039 * 0.1,2)</f>
        <v>57.6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68</v>
      </c>
      <c r="P1039" s="2">
        <f>E1039 - O1039</f>
        <v>-10</v>
      </c>
      <c r="Q1039" s="2">
        <f>ROUND(
  SIGN(P1039)*
  IF(ABS(P1039)&lt;=10,ABS(P1039)*0.5,
     IF(ABS(P1039)&lt;=15,5+(ABS(P1039)-10)*(1.67/5),
        6.67+(ABS(P1039)-15)*0.333)),
2)</f>
        <v>-5</v>
      </c>
    </row>
    <row r="1040" spans="1:17" ht="34.5" customHeight="1" x14ac:dyDescent="0.3">
      <c r="B1040" s="2">
        <v>1039</v>
      </c>
      <c r="C1040" s="13">
        <f>ROUND(MAX(MIN(N1040 + Q1040, 100), 0), 2)</f>
        <v>52.57</v>
      </c>
      <c r="D1040" s="2" t="s">
        <v>937</v>
      </c>
      <c r="E1040" s="7">
        <v>62</v>
      </c>
      <c r="F1040" s="7">
        <v>62</v>
      </c>
      <c r="G1040" s="7">
        <v>61</v>
      </c>
      <c r="H1040" s="2" t="s">
        <v>240</v>
      </c>
      <c r="I1040" s="2" t="s">
        <v>41</v>
      </c>
      <c r="J1040" s="3" t="s">
        <v>14</v>
      </c>
      <c r="M1040" s="2">
        <f>IF(J1040="1000+", 1000, (LEFT(J1040,FIND("-",J1040)-1)+RIGHT(J1040,LEN(J1040)-FIND("-",J1040)))/2)</f>
        <v>225</v>
      </c>
      <c r="N1040" s="2">
        <f>ROUND(E1040 * 0.7+F1040 * 0.2+G1040 * 0.1,2)</f>
        <v>61.9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85</v>
      </c>
      <c r="P1040" s="2">
        <f>E1040 - O1040</f>
        <v>-23</v>
      </c>
      <c r="Q1040" s="2">
        <f>ROUND(
  SIGN(P1040)*
  IF(ABS(P1040)&lt;=10,ABS(P1040)*0.5,
     IF(ABS(P1040)&lt;=15,5+(ABS(P1040)-10)*(1.67/5),
        6.67+(ABS(P1040)-15)*0.333)),
2)</f>
        <v>-9.33</v>
      </c>
    </row>
    <row r="1041" spans="1:17" ht="34.5" customHeight="1" x14ac:dyDescent="0.3">
      <c r="A1041" s="2">
        <v>2026</v>
      </c>
      <c r="B1041" s="2">
        <v>1040</v>
      </c>
      <c r="C1041" s="13">
        <f>ROUND(MAX(MIN(N1041 + Q1041, 100), 0), 2)</f>
        <v>52.5</v>
      </c>
      <c r="D1041" s="2" t="s">
        <v>1404</v>
      </c>
      <c r="E1041" s="2">
        <v>58</v>
      </c>
      <c r="F1041" s="2">
        <v>53</v>
      </c>
      <c r="G1041" s="2">
        <v>33</v>
      </c>
      <c r="H1041" s="2" t="s">
        <v>1409</v>
      </c>
      <c r="I1041" s="2" t="s">
        <v>1425</v>
      </c>
      <c r="J1041" s="3" t="s">
        <v>1428</v>
      </c>
      <c r="M1041" s="2">
        <f>IF(J1041="1000+", 1000, (LEFT(J1041,FIND("-",J1041)-1)+RIGHT(J1041,LEN(J1041)-FIND("-",J1041)))/2)</f>
        <v>30</v>
      </c>
      <c r="N1041" s="2">
        <f>ROUND(E1041 * 0.7+F1041 * 0.2+G1041 * 0.1,2)</f>
        <v>54.5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62</v>
      </c>
      <c r="P1041" s="2">
        <f>E1041 - O1041</f>
        <v>-4</v>
      </c>
      <c r="Q1041" s="2">
        <f>ROUND(
  SIGN(P1041)*
  IF(ABS(P1041)&lt;=10,ABS(P1041)*0.5,
     IF(ABS(P1041)&lt;=15,5+(ABS(P1041)-10)*(1.67/5),
        6.67+(ABS(P1041)-15)*0.333)),
2)</f>
        <v>-2</v>
      </c>
    </row>
    <row r="1042" spans="1:17" ht="34.5" customHeight="1" x14ac:dyDescent="0.3">
      <c r="B1042" s="2">
        <v>1041</v>
      </c>
      <c r="C1042" s="13">
        <f>ROUND(MAX(MIN(N1042 + Q1042, 100), 0), 2)</f>
        <v>52.5</v>
      </c>
      <c r="D1042" s="2" t="s">
        <v>934</v>
      </c>
      <c r="E1042" s="2">
        <v>58</v>
      </c>
      <c r="F1042" s="2">
        <v>57</v>
      </c>
      <c r="G1042" s="2">
        <v>40</v>
      </c>
      <c r="H1042" s="2" t="s">
        <v>452</v>
      </c>
      <c r="I1042" s="2" t="s">
        <v>218</v>
      </c>
      <c r="J1042" s="3" t="s">
        <v>32</v>
      </c>
      <c r="M1042" s="2">
        <f>IF(J1042="1000+", 1000, (LEFT(J1042,FIND("-",J1042)-1)+RIGHT(J1042,LEN(J1042)-FIND("-",J1042)))/2)</f>
        <v>45</v>
      </c>
      <c r="N1042" s="2">
        <f>ROUND(E1042 * 0.7+F1042 * 0.2+G1042 * 0.1,2)</f>
        <v>56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65</v>
      </c>
      <c r="P1042" s="2">
        <f>E1042 - O1042</f>
        <v>-7</v>
      </c>
      <c r="Q1042" s="2">
        <f>ROUND(
  SIGN(P1042)*
  IF(ABS(P1042)&lt;=10,ABS(P1042)*0.5,
     IF(ABS(P1042)&lt;=15,5+(ABS(P1042)-10)*(1.67/5),
        6.67+(ABS(P1042)-15)*0.333)),
2)</f>
        <v>-3.5</v>
      </c>
    </row>
    <row r="1043" spans="1:17" ht="34.5" customHeight="1" x14ac:dyDescent="0.3">
      <c r="A1043" s="2">
        <v>2026</v>
      </c>
      <c r="B1043" s="2">
        <v>1042</v>
      </c>
      <c r="C1043" s="13">
        <f>ROUND(MAX(MIN(N1043 + Q1043, 100), 0), 2)</f>
        <v>52.4</v>
      </c>
      <c r="D1043" s="2" t="s">
        <v>1714</v>
      </c>
      <c r="E1043" s="2">
        <v>55</v>
      </c>
      <c r="F1043" s="2">
        <v>58</v>
      </c>
      <c r="G1043" s="6">
        <v>83</v>
      </c>
      <c r="H1043" s="2" t="s">
        <v>1725</v>
      </c>
      <c r="I1043" s="2" t="s">
        <v>1730</v>
      </c>
      <c r="J1043" s="3" t="s">
        <v>1736</v>
      </c>
      <c r="M1043" s="2">
        <f>IF(J1043="1000+", 1000, (LEFT(J1043,FIND("-",J1043)-1)+RIGHT(J1043,LEN(J1043)-FIND("-",J1043)))/2)</f>
        <v>60</v>
      </c>
      <c r="N1043" s="2">
        <f>ROUND(E1043 * 0.7+F1043 * 0.2+G1043 * 0.1,2)</f>
        <v>58.4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68</v>
      </c>
      <c r="P1043" s="2">
        <f>E1043 - O1043</f>
        <v>-13</v>
      </c>
      <c r="Q1043" s="2">
        <f>ROUND(
  SIGN(P1043)*
  IF(ABS(P1043)&lt;=10,ABS(P1043)*0.5,
     IF(ABS(P1043)&lt;=15,5+(ABS(P1043)-10)*(1.67/5),
        6.67+(ABS(P1043)-15)*0.333)),
2)</f>
        <v>-6</v>
      </c>
    </row>
    <row r="1044" spans="1:17" ht="34.5" customHeight="1" x14ac:dyDescent="0.3">
      <c r="B1044" s="2">
        <v>1043</v>
      </c>
      <c r="C1044" s="13">
        <f>ROUND(MAX(MIN(N1044 + Q1044, 100), 0), 2)</f>
        <v>52.4</v>
      </c>
      <c r="D1044" s="2" t="s">
        <v>899</v>
      </c>
      <c r="E1044" s="2">
        <v>55</v>
      </c>
      <c r="F1044" s="7">
        <v>63</v>
      </c>
      <c r="G1044" s="7">
        <v>63</v>
      </c>
      <c r="H1044" s="2" t="s">
        <v>48</v>
      </c>
      <c r="I1044" s="2" t="s">
        <v>36</v>
      </c>
      <c r="J1044" s="3" t="s">
        <v>32</v>
      </c>
      <c r="M1044" s="2">
        <f>IF(J1044="1000+", 1000, (LEFT(J1044,FIND("-",J1044)-1)+RIGHT(J1044,LEN(J1044)-FIND("-",J1044)))/2)</f>
        <v>45</v>
      </c>
      <c r="N1044" s="2">
        <f>ROUND(E1044 * 0.7+F1044 * 0.2+G1044 * 0.1,2)</f>
        <v>57.4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65</v>
      </c>
      <c r="P1044" s="2">
        <f>E1044 - O1044</f>
        <v>-10</v>
      </c>
      <c r="Q1044" s="2">
        <f>ROUND(
  SIGN(P1044)*
  IF(ABS(P1044)&lt;=10,ABS(P1044)*0.5,
     IF(ABS(P1044)&lt;=15,5+(ABS(P1044)-10)*(1.67/5),
        6.67+(ABS(P1044)-15)*0.333)),
2)</f>
        <v>-5</v>
      </c>
    </row>
    <row r="1045" spans="1:17" ht="34.5" customHeight="1" x14ac:dyDescent="0.3">
      <c r="A1045" s="2">
        <v>2026</v>
      </c>
      <c r="B1045" s="2">
        <v>1044</v>
      </c>
      <c r="C1045" s="13">
        <f>ROUND(MAX(MIN(N1045 + Q1045, 100), 0), 2)</f>
        <v>52.4</v>
      </c>
      <c r="D1045" s="2" t="s">
        <v>1952</v>
      </c>
      <c r="E1045" s="2">
        <v>58</v>
      </c>
      <c r="F1045" s="2">
        <v>54</v>
      </c>
      <c r="G1045" s="2">
        <v>45</v>
      </c>
      <c r="H1045" s="2" t="s">
        <v>1483</v>
      </c>
      <c r="I1045" s="2" t="s">
        <v>1259</v>
      </c>
      <c r="J1045" s="3" t="s">
        <v>1262</v>
      </c>
      <c r="M1045" s="2">
        <f>IF(J1045="1000+", 1000, (LEFT(J1045,FIND("-",J1045)-1)+RIGHT(J1045,LEN(J1045)-FIND("-",J1045)))/2)</f>
        <v>45</v>
      </c>
      <c r="N1045" s="2">
        <f>ROUND(E1045 * 0.7+F1045 * 0.2+G1045 * 0.1,2)</f>
        <v>55.9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65</v>
      </c>
      <c r="P1045" s="2">
        <f>E1045 - O1045</f>
        <v>-7</v>
      </c>
      <c r="Q1045" s="2">
        <f>ROUND(
  SIGN(P1045)*
  IF(ABS(P1045)&lt;=10,ABS(P1045)*0.5,
     IF(ABS(P1045)&lt;=15,5+(ABS(P1045)-10)*(1.67/5),
        6.67+(ABS(P1045)-15)*0.333)),
2)</f>
        <v>-3.5</v>
      </c>
    </row>
    <row r="1046" spans="1:17" ht="34.5" customHeight="1" x14ac:dyDescent="0.3">
      <c r="B1046" s="2">
        <v>1045</v>
      </c>
      <c r="C1046" s="13">
        <f>ROUND(MAX(MIN(N1046 + Q1046, 100), 0), 2)</f>
        <v>52.37</v>
      </c>
      <c r="D1046" s="2" t="s">
        <v>926</v>
      </c>
      <c r="E1046" s="2">
        <v>57</v>
      </c>
      <c r="F1046" s="7">
        <v>63</v>
      </c>
      <c r="G1046" s="2">
        <v>52</v>
      </c>
      <c r="H1046" s="2" t="s">
        <v>661</v>
      </c>
      <c r="I1046" s="2" t="s">
        <v>22</v>
      </c>
      <c r="J1046" s="3" t="s">
        <v>23</v>
      </c>
      <c r="M1046" s="2">
        <f>IF(J1046="1000+", 1000, (LEFT(J1046,FIND("-",J1046)-1)+RIGHT(J1046,LEN(J1046)-FIND("-",J1046)))/2)</f>
        <v>60</v>
      </c>
      <c r="N1046" s="2">
        <f>ROUND(E1046 * 0.7+F1046 * 0.2+G1046 * 0.1,2)</f>
        <v>57.7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68</v>
      </c>
      <c r="P1046" s="2">
        <f>E1046 - O1046</f>
        <v>-11</v>
      </c>
      <c r="Q1046" s="2">
        <f>ROUND(
  SIGN(P1046)*
  IF(ABS(P1046)&lt;=10,ABS(P1046)*0.5,
     IF(ABS(P1046)&lt;=15,5+(ABS(P1046)-10)*(1.67/5),
        6.67+(ABS(P1046)-15)*0.333)),
2)</f>
        <v>-5.33</v>
      </c>
    </row>
    <row r="1047" spans="1:17" ht="34.5" customHeight="1" x14ac:dyDescent="0.3">
      <c r="B1047" s="2">
        <v>1046</v>
      </c>
      <c r="C1047" s="13">
        <f>ROUND(MAX(MIN(N1047 + Q1047, 100), 0), 2)</f>
        <v>52.37</v>
      </c>
      <c r="D1047" s="2" t="s">
        <v>927</v>
      </c>
      <c r="E1047" s="7">
        <v>61</v>
      </c>
      <c r="F1047" s="5">
        <v>70</v>
      </c>
      <c r="G1047" s="5">
        <v>70</v>
      </c>
      <c r="H1047" s="2" t="s">
        <v>699</v>
      </c>
      <c r="I1047" s="2" t="s">
        <v>637</v>
      </c>
      <c r="J1047" s="3" t="s">
        <v>42</v>
      </c>
      <c r="M1047" s="2">
        <f>IF(J1047="1000+", 1000, (LEFT(J1047,FIND("-",J1047)-1)+RIGHT(J1047,LEN(J1047)-FIND("-",J1047)))/2)</f>
        <v>600</v>
      </c>
      <c r="N1047" s="2">
        <f>ROUND(E1047 * 0.7+F1047 * 0.2+G1047 * 0.1,2)</f>
        <v>63.7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90</v>
      </c>
      <c r="P1047" s="2">
        <f>E1047 - O1047</f>
        <v>-29</v>
      </c>
      <c r="Q1047" s="2">
        <f>ROUND(
  SIGN(P1047)*
  IF(ABS(P1047)&lt;=10,ABS(P1047)*0.5,
     IF(ABS(P1047)&lt;=15,5+(ABS(P1047)-10)*(1.67/5),
        6.67+(ABS(P1047)-15)*0.333)),
2)</f>
        <v>-11.33</v>
      </c>
    </row>
    <row r="1048" spans="1:17" ht="34.5" customHeight="1" x14ac:dyDescent="0.3">
      <c r="A1048" s="2">
        <v>2026</v>
      </c>
      <c r="B1048" s="2">
        <v>1047</v>
      </c>
      <c r="C1048" s="13">
        <f>ROUND(MAX(MIN(N1048 + Q1048, 100), 0), 2)</f>
        <v>52.2</v>
      </c>
      <c r="D1048" s="2" t="s">
        <v>1509</v>
      </c>
      <c r="E1048" s="2">
        <v>54</v>
      </c>
      <c r="F1048" s="2">
        <v>52</v>
      </c>
      <c r="G1048" s="2">
        <v>45</v>
      </c>
      <c r="H1048" s="2" t="s">
        <v>1520</v>
      </c>
      <c r="I1048" s="2" t="s">
        <v>1523</v>
      </c>
      <c r="J1048" s="3" t="s">
        <v>1538</v>
      </c>
      <c r="M1048" s="2">
        <f>IF(J1048="1000+", 1000, (LEFT(J1048,FIND("-",J1048)-1)+RIGHT(J1048,LEN(J1048)-FIND("-",J1048)))/2)</f>
        <v>15</v>
      </c>
      <c r="N1048" s="2">
        <f>ROUND(E1048 * 0.7+F1048 * 0.2+G1048 * 0.1,2)</f>
        <v>52.7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55</v>
      </c>
      <c r="P1048" s="2">
        <f>E1048 - O1048</f>
        <v>-1</v>
      </c>
      <c r="Q1048" s="2">
        <f>ROUND(
  SIGN(P1048)*
  IF(ABS(P1048)&lt;=10,ABS(P1048)*0.5,
     IF(ABS(P1048)&lt;=15,5+(ABS(P1048)-10)*(1.67/5),
        6.67+(ABS(P1048)-15)*0.333)),
2)</f>
        <v>-0.5</v>
      </c>
    </row>
    <row r="1049" spans="1:17" ht="34.5" customHeight="1" x14ac:dyDescent="0.3">
      <c r="A1049" s="2">
        <v>2026</v>
      </c>
      <c r="B1049" s="2">
        <v>1048</v>
      </c>
      <c r="C1049" s="13">
        <f>ROUND(MAX(MIN(N1049 + Q1049, 100), 0), 2)</f>
        <v>52.1</v>
      </c>
      <c r="D1049" s="2" t="s">
        <v>1852</v>
      </c>
      <c r="E1049" s="2">
        <v>56</v>
      </c>
      <c r="F1049" s="2">
        <v>56</v>
      </c>
      <c r="G1049" s="2">
        <v>47</v>
      </c>
      <c r="H1049" s="2" t="s">
        <v>1857</v>
      </c>
      <c r="I1049" s="2" t="s">
        <v>36</v>
      </c>
      <c r="J1049" s="3" t="s">
        <v>1263</v>
      </c>
      <c r="M1049" s="2">
        <f>IF(J1049="1000+", 1000, (LEFT(J1049,FIND("-",J1049)-1)+RIGHT(J1049,LEN(J1049)-FIND("-",J1049)))/2)</f>
        <v>30</v>
      </c>
      <c r="N1049" s="2">
        <f>ROUND(E1049 * 0.7+F1049 * 0.2+G1049 * 0.1,2)</f>
        <v>55.1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62</v>
      </c>
      <c r="P1049" s="2">
        <f>E1049 - O1049</f>
        <v>-6</v>
      </c>
      <c r="Q1049" s="2">
        <f>ROUND(
  SIGN(P1049)*
  IF(ABS(P1049)&lt;=10,ABS(P1049)*0.5,
     IF(ABS(P1049)&lt;=15,5+(ABS(P1049)-10)*(1.67/5),
        6.67+(ABS(P1049)-15)*0.333)),
2)</f>
        <v>-3</v>
      </c>
    </row>
    <row r="1050" spans="1:17" ht="34.5" customHeight="1" x14ac:dyDescent="0.3">
      <c r="B1050" s="2">
        <v>1049</v>
      </c>
      <c r="C1050" s="13">
        <f>ROUND(MAX(MIN(N1050 + Q1050, 100), 0), 2)</f>
        <v>52.1</v>
      </c>
      <c r="D1050" s="2" t="s">
        <v>929</v>
      </c>
      <c r="E1050" s="2">
        <v>57</v>
      </c>
      <c r="F1050" s="2">
        <v>55</v>
      </c>
      <c r="G1050" s="2">
        <v>52</v>
      </c>
      <c r="H1050" s="2" t="s">
        <v>48</v>
      </c>
      <c r="I1050" s="2" t="s">
        <v>36</v>
      </c>
      <c r="J1050" s="3" t="s">
        <v>32</v>
      </c>
      <c r="M1050" s="2">
        <f>IF(J1050="1000+", 1000, (LEFT(J1050,FIND("-",J1050)-1)+RIGHT(J1050,LEN(J1050)-FIND("-",J1050)))/2)</f>
        <v>45</v>
      </c>
      <c r="N1050" s="2">
        <f>ROUND(E1050 * 0.7+F1050 * 0.2+G1050 * 0.1,2)</f>
        <v>56.1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65</v>
      </c>
      <c r="P1050" s="2">
        <f>E1050 - O1050</f>
        <v>-8</v>
      </c>
      <c r="Q1050" s="2">
        <f>ROUND(
  SIGN(P1050)*
  IF(ABS(P1050)&lt;=10,ABS(P1050)*0.5,
     IF(ABS(P1050)&lt;=15,5+(ABS(P1050)-10)*(1.67/5),
        6.67+(ABS(P1050)-15)*0.333)),
2)</f>
        <v>-4</v>
      </c>
    </row>
    <row r="1051" spans="1:17" ht="34.5" customHeight="1" x14ac:dyDescent="0.3">
      <c r="B1051" s="2">
        <v>1050</v>
      </c>
      <c r="C1051" s="13">
        <f>ROUND(MAX(MIN(N1051 + Q1051, 100), 0), 2)</f>
        <v>52.06</v>
      </c>
      <c r="D1051" s="2" t="s">
        <v>959</v>
      </c>
      <c r="E1051" s="2">
        <v>58</v>
      </c>
      <c r="F1051" s="7">
        <v>65</v>
      </c>
      <c r="G1051" s="2">
        <v>58</v>
      </c>
      <c r="H1051" s="2" t="s">
        <v>31</v>
      </c>
      <c r="I1051" s="2" t="s">
        <v>41</v>
      </c>
      <c r="J1051" s="3" t="s">
        <v>140</v>
      </c>
      <c r="M1051" s="2">
        <f>IF(J1051="1000+", 1000, (LEFT(J1051,FIND("-",J1051)-1)+RIGHT(J1051,LEN(J1051)-FIND("-",J1051)))/2)</f>
        <v>115</v>
      </c>
      <c r="N1051" s="2">
        <f>ROUND(E1051 * 0.7+F1051 * 0.2+G1051 * 0.1,2)</f>
        <v>59.4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75</v>
      </c>
      <c r="P1051" s="2">
        <f>E1051 - O1051</f>
        <v>-17</v>
      </c>
      <c r="Q1051" s="2">
        <f>ROUND(
  SIGN(P1051)*
  IF(ABS(P1051)&lt;=10,ABS(P1051)*0.5,
     IF(ABS(P1051)&lt;=15,5+(ABS(P1051)-10)*(1.67/5),
        6.67+(ABS(P1051)-15)*0.333)),
2)</f>
        <v>-7.34</v>
      </c>
    </row>
    <row r="1052" spans="1:17" ht="34.5" customHeight="1" x14ac:dyDescent="0.3">
      <c r="B1052" s="2">
        <v>1051</v>
      </c>
      <c r="C1052" s="13">
        <f>ROUND(MAX(MIN(N1052 + Q1052, 100), 0), 2)</f>
        <v>51.96</v>
      </c>
      <c r="D1052" s="2" t="s">
        <v>973</v>
      </c>
      <c r="E1052" s="2">
        <v>58</v>
      </c>
      <c r="F1052" s="7">
        <v>65</v>
      </c>
      <c r="G1052" s="2">
        <v>57</v>
      </c>
      <c r="H1052" s="2" t="s">
        <v>48</v>
      </c>
      <c r="I1052" s="2" t="s">
        <v>712</v>
      </c>
      <c r="J1052" s="3" t="s">
        <v>140</v>
      </c>
      <c r="M1052" s="2">
        <f>IF(J1052="1000+", 1000, (LEFT(J1052,FIND("-",J1052)-1)+RIGHT(J1052,LEN(J1052)-FIND("-",J1052)))/2)</f>
        <v>115</v>
      </c>
      <c r="N1052" s="2">
        <f>ROUND(E1052 * 0.7+F1052 * 0.2+G1052 * 0.1,2)</f>
        <v>59.3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75</v>
      </c>
      <c r="P1052" s="2">
        <f>E1052 - O1052</f>
        <v>-17</v>
      </c>
      <c r="Q1052" s="2">
        <f>ROUND(
  SIGN(P1052)*
  IF(ABS(P1052)&lt;=10,ABS(P1052)*0.5,
     IF(ABS(P1052)&lt;=15,5+(ABS(P1052)-10)*(1.67/5),
        6.67+(ABS(P1052)-15)*0.333)),
2)</f>
        <v>-7.34</v>
      </c>
    </row>
    <row r="1053" spans="1:17" ht="34.5" customHeight="1" x14ac:dyDescent="0.3">
      <c r="B1053" s="2">
        <v>1052</v>
      </c>
      <c r="C1053" s="13">
        <f>ROUND(MAX(MIN(N1053 + Q1053, 100), 0), 2)</f>
        <v>51.9</v>
      </c>
      <c r="D1053" s="2" t="s">
        <v>922</v>
      </c>
      <c r="E1053" s="2">
        <v>55</v>
      </c>
      <c r="F1053" s="5">
        <v>70</v>
      </c>
      <c r="G1053" s="2">
        <v>54</v>
      </c>
      <c r="H1053" s="2" t="s">
        <v>61</v>
      </c>
      <c r="I1053" s="2" t="s">
        <v>22</v>
      </c>
      <c r="J1053" s="3" t="s">
        <v>23</v>
      </c>
      <c r="M1053" s="2">
        <f>IF(J1053="1000+", 1000, (LEFT(J1053,FIND("-",J1053)-1)+RIGHT(J1053,LEN(J1053)-FIND("-",J1053)))/2)</f>
        <v>60</v>
      </c>
      <c r="N1053" s="2">
        <f>ROUND(E1053 * 0.7+F1053 * 0.2+G1053 * 0.1,2)</f>
        <v>57.9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68</v>
      </c>
      <c r="P1053" s="2">
        <f>E1053 - O1053</f>
        <v>-13</v>
      </c>
      <c r="Q1053" s="2">
        <f>ROUND(
  SIGN(P1053)*
  IF(ABS(P1053)&lt;=10,ABS(P1053)*0.5,
     IF(ABS(P1053)&lt;=15,5+(ABS(P1053)-10)*(1.67/5),
        6.67+(ABS(P1053)-15)*0.333)),
2)</f>
        <v>-6</v>
      </c>
    </row>
    <row r="1054" spans="1:17" ht="34.5" customHeight="1" x14ac:dyDescent="0.3">
      <c r="B1054" s="2">
        <v>1053</v>
      </c>
      <c r="C1054" s="13">
        <f>ROUND(MAX(MIN(N1054 + Q1054, 100), 0), 2)</f>
        <v>51.7</v>
      </c>
      <c r="D1054" s="2" t="s">
        <v>951</v>
      </c>
      <c r="E1054" s="2">
        <v>58</v>
      </c>
      <c r="F1054" s="2">
        <v>52</v>
      </c>
      <c r="G1054" s="2">
        <v>42</v>
      </c>
      <c r="H1054" s="2" t="s">
        <v>171</v>
      </c>
      <c r="I1054" s="2" t="s">
        <v>36</v>
      </c>
      <c r="J1054" s="3" t="s">
        <v>32</v>
      </c>
      <c r="M1054" s="2">
        <f>IF(J1054="1000+", 1000, (LEFT(J1054,FIND("-",J1054)-1)+RIGHT(J1054,LEN(J1054)-FIND("-",J1054)))/2)</f>
        <v>45</v>
      </c>
      <c r="N1054" s="2">
        <f>ROUND(E1054 * 0.7+F1054 * 0.2+G1054 * 0.1,2)</f>
        <v>55.2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65</v>
      </c>
      <c r="P1054" s="2">
        <f>E1054 - O1054</f>
        <v>-7</v>
      </c>
      <c r="Q1054" s="2">
        <f>ROUND(
  SIGN(P1054)*
  IF(ABS(P1054)&lt;=10,ABS(P1054)*0.5,
     IF(ABS(P1054)&lt;=15,5+(ABS(P1054)-10)*(1.67/5),
        6.67+(ABS(P1054)-15)*0.333)),
2)</f>
        <v>-3.5</v>
      </c>
    </row>
    <row r="1055" spans="1:17" ht="34.5" customHeight="1" x14ac:dyDescent="0.3">
      <c r="B1055" s="2">
        <v>1054</v>
      </c>
      <c r="C1055" s="13">
        <f>ROUND(MAX(MIN(N1055 + Q1055, 100), 0), 2)</f>
        <v>51.7</v>
      </c>
      <c r="D1055" s="2" t="s">
        <v>928</v>
      </c>
      <c r="E1055" s="2">
        <v>56</v>
      </c>
      <c r="F1055" s="7">
        <v>65</v>
      </c>
      <c r="G1055" s="2">
        <v>40</v>
      </c>
      <c r="H1055" s="2" t="s">
        <v>240</v>
      </c>
      <c r="I1055" s="2" t="s">
        <v>72</v>
      </c>
      <c r="J1055" s="3" t="s">
        <v>32</v>
      </c>
      <c r="M1055" s="2">
        <f>IF(J1055="1000+", 1000, (LEFT(J1055,FIND("-",J1055)-1)+RIGHT(J1055,LEN(J1055)-FIND("-",J1055)))/2)</f>
        <v>45</v>
      </c>
      <c r="N1055" s="2">
        <f>ROUND(E1055 * 0.7+F1055 * 0.2+G1055 * 0.1,2)</f>
        <v>56.2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65</v>
      </c>
      <c r="P1055" s="2">
        <f>E1055 - O1055</f>
        <v>-9</v>
      </c>
      <c r="Q1055" s="2">
        <f>ROUND(
  SIGN(P1055)*
  IF(ABS(P1055)&lt;=10,ABS(P1055)*0.5,
     IF(ABS(P1055)&lt;=15,5+(ABS(P1055)-10)*(1.67/5),
        6.67+(ABS(P1055)-15)*0.333)),
2)</f>
        <v>-4.5</v>
      </c>
    </row>
    <row r="1056" spans="1:17" ht="34.5" customHeight="1" x14ac:dyDescent="0.3">
      <c r="B1056" s="2">
        <v>1055</v>
      </c>
      <c r="C1056" s="13">
        <f>ROUND(MAX(MIN(N1056 + Q1056, 100), 0), 2)</f>
        <v>51.7</v>
      </c>
      <c r="D1056" s="2" t="s">
        <v>913</v>
      </c>
      <c r="E1056" s="2">
        <v>55</v>
      </c>
      <c r="F1056" s="5">
        <v>75</v>
      </c>
      <c r="G1056" s="6">
        <v>82</v>
      </c>
      <c r="H1056" s="2" t="s">
        <v>694</v>
      </c>
      <c r="I1056" s="2" t="s">
        <v>228</v>
      </c>
      <c r="J1056" s="3" t="s">
        <v>88</v>
      </c>
      <c r="M1056" s="2">
        <f>IF(J1056="1000+", 1000, (LEFT(J1056,FIND("-",J1056)-1)+RIGHT(J1056,LEN(J1056)-FIND("-",J1056)))/2)</f>
        <v>150</v>
      </c>
      <c r="N1056" s="2">
        <f>ROUND(E1056 * 0.7+F1056 * 0.2+G1056 * 0.1,2)</f>
        <v>61.7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80</v>
      </c>
      <c r="P1056" s="2">
        <f>E1056 - O1056</f>
        <v>-25</v>
      </c>
      <c r="Q1056" s="2">
        <f>ROUND(
  SIGN(P1056)*
  IF(ABS(P1056)&lt;=10,ABS(P1056)*0.5,
     IF(ABS(P1056)&lt;=15,5+(ABS(P1056)-10)*(1.67/5),
        6.67+(ABS(P1056)-15)*0.333)),
2)</f>
        <v>-10</v>
      </c>
    </row>
    <row r="1057" spans="1:17" ht="34.5" customHeight="1" x14ac:dyDescent="0.3">
      <c r="B1057" s="2">
        <v>1056</v>
      </c>
      <c r="C1057" s="13">
        <f>ROUND(MAX(MIN(N1057 + Q1057, 100), 0), 2)</f>
        <v>51.67</v>
      </c>
      <c r="D1057" s="2" t="s">
        <v>956</v>
      </c>
      <c r="E1057" s="7">
        <v>62</v>
      </c>
      <c r="F1057" s="2">
        <v>59</v>
      </c>
      <c r="G1057" s="2">
        <v>58</v>
      </c>
      <c r="H1057" s="2" t="s">
        <v>197</v>
      </c>
      <c r="I1057" s="2" t="s">
        <v>17</v>
      </c>
      <c r="J1057" s="3" t="s">
        <v>14</v>
      </c>
      <c r="M1057" s="2">
        <f>IF(J1057="1000+", 1000, (LEFT(J1057,FIND("-",J1057)-1)+RIGHT(J1057,LEN(J1057)-FIND("-",J1057)))/2)</f>
        <v>225</v>
      </c>
      <c r="N1057" s="2">
        <f>ROUND(E1057 * 0.7+F1057 * 0.2+G1057 * 0.1,2)</f>
        <v>61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85</v>
      </c>
      <c r="P1057" s="2">
        <f>E1057 - O1057</f>
        <v>-23</v>
      </c>
      <c r="Q1057" s="2">
        <f>ROUND(
  SIGN(P1057)*
  IF(ABS(P1057)&lt;=10,ABS(P1057)*0.5,
     IF(ABS(P1057)&lt;=15,5+(ABS(P1057)-10)*(1.67/5),
        6.67+(ABS(P1057)-15)*0.333)),
2)</f>
        <v>-9.33</v>
      </c>
    </row>
    <row r="1058" spans="1:17" ht="34.5" customHeight="1" x14ac:dyDescent="0.3">
      <c r="B1058" s="2">
        <v>1057</v>
      </c>
      <c r="C1058" s="13">
        <f>ROUND(MAX(MIN(N1058 + Q1058, 100), 0), 2)</f>
        <v>51.6</v>
      </c>
      <c r="D1058" s="2" t="s">
        <v>987</v>
      </c>
      <c r="E1058" s="2">
        <v>58</v>
      </c>
      <c r="F1058" s="2">
        <v>50</v>
      </c>
      <c r="G1058" s="2">
        <v>30</v>
      </c>
      <c r="H1058" s="2" t="s">
        <v>31</v>
      </c>
      <c r="I1058" s="2" t="s">
        <v>36</v>
      </c>
      <c r="J1058" s="3" t="s">
        <v>146</v>
      </c>
      <c r="M1058" s="2">
        <f>IF(J1058="1000+", 1000, (LEFT(J1058,FIND("-",J1058)-1)+RIGHT(J1058,LEN(J1058)-FIND("-",J1058)))/2)</f>
        <v>30</v>
      </c>
      <c r="N1058" s="2">
        <f>ROUND(E1058 * 0.7+F1058 * 0.2+G1058 * 0.1,2)</f>
        <v>53.6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62</v>
      </c>
      <c r="P1058" s="2">
        <f>E1058 - O1058</f>
        <v>-4</v>
      </c>
      <c r="Q1058" s="2">
        <f>ROUND(
  SIGN(P1058)*
  IF(ABS(P1058)&lt;=10,ABS(P1058)*0.5,
     IF(ABS(P1058)&lt;=15,5+(ABS(P1058)-10)*(1.67/5),
        6.67+(ABS(P1058)-15)*0.333)),
2)</f>
        <v>-2</v>
      </c>
    </row>
    <row r="1059" spans="1:17" ht="34.5" customHeight="1" x14ac:dyDescent="0.3">
      <c r="B1059" s="2">
        <v>1058</v>
      </c>
      <c r="C1059" s="13">
        <f>ROUND(MAX(MIN(N1059 + Q1059, 100), 0), 2)</f>
        <v>51.6</v>
      </c>
      <c r="D1059" s="2" t="s">
        <v>1001</v>
      </c>
      <c r="E1059" s="7">
        <v>64</v>
      </c>
      <c r="F1059" s="2">
        <v>50</v>
      </c>
      <c r="G1059" s="2">
        <v>38</v>
      </c>
      <c r="H1059" s="2" t="s">
        <v>452</v>
      </c>
      <c r="I1059" s="2" t="s">
        <v>36</v>
      </c>
      <c r="J1059" s="3" t="s">
        <v>88</v>
      </c>
      <c r="M1059" s="2">
        <f>IF(J1059="1000+", 1000, (LEFT(J1059,FIND("-",J1059)-1)+RIGHT(J1059,LEN(J1059)-FIND("-",J1059)))/2)</f>
        <v>150</v>
      </c>
      <c r="N1059" s="2">
        <f>ROUND(E1059 * 0.7+F1059 * 0.2+G1059 * 0.1,2)</f>
        <v>58.6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80</v>
      </c>
      <c r="P1059" s="2">
        <f>E1059 - O1059</f>
        <v>-16</v>
      </c>
      <c r="Q1059" s="2">
        <f>ROUND(
  SIGN(P1059)*
  IF(ABS(P1059)&lt;=10,ABS(P1059)*0.5,
     IF(ABS(P1059)&lt;=15,5+(ABS(P1059)-10)*(1.67/5),
        6.67+(ABS(P1059)-15)*0.333)),
2)</f>
        <v>-7</v>
      </c>
    </row>
    <row r="1060" spans="1:17" ht="34.5" customHeight="1" x14ac:dyDescent="0.3">
      <c r="B1060" s="2">
        <v>1059</v>
      </c>
      <c r="C1060" s="13">
        <f>ROUND(MAX(MIN(N1060 + Q1060, 100), 0), 2)</f>
        <v>51.6</v>
      </c>
      <c r="D1060" s="2" t="s">
        <v>954</v>
      </c>
      <c r="E1060" s="7">
        <v>60</v>
      </c>
      <c r="F1060" s="7">
        <v>65</v>
      </c>
      <c r="G1060" s="2">
        <v>56</v>
      </c>
      <c r="H1060" s="2" t="s">
        <v>649</v>
      </c>
      <c r="I1060" s="2" t="s">
        <v>17</v>
      </c>
      <c r="J1060" s="3" t="s">
        <v>28</v>
      </c>
      <c r="M1060" s="2">
        <f>IF(J1060="1000+", 1000, (LEFT(J1060,FIND("-",J1060)-1)+RIGHT(J1060,LEN(J1060)-FIND("-",J1060)))/2)</f>
        <v>200</v>
      </c>
      <c r="N1060" s="2">
        <f>ROUND(E1060 * 0.7+F1060 * 0.2+G1060 * 0.1,2)</f>
        <v>60.6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82</v>
      </c>
      <c r="P1060" s="2">
        <f>E1060 - O1060</f>
        <v>-22</v>
      </c>
      <c r="Q1060" s="2">
        <f>ROUND(
  SIGN(P1060)*
  IF(ABS(P1060)&lt;=10,ABS(P1060)*0.5,
     IF(ABS(P1060)&lt;=15,5+(ABS(P1060)-10)*(1.67/5),
        6.67+(ABS(P1060)-15)*0.333)),
2)</f>
        <v>-9</v>
      </c>
    </row>
    <row r="1061" spans="1:17" ht="34.5" customHeight="1" x14ac:dyDescent="0.3">
      <c r="B1061" s="2">
        <v>1060</v>
      </c>
      <c r="C1061" s="13">
        <f>ROUND(MAX(MIN(N1061 + Q1061, 100), 0), 2)</f>
        <v>51.37</v>
      </c>
      <c r="D1061" s="2" t="s">
        <v>1075</v>
      </c>
      <c r="E1061" s="7">
        <v>67</v>
      </c>
      <c r="F1061" s="2">
        <v>43</v>
      </c>
      <c r="G1061" s="2">
        <v>52</v>
      </c>
      <c r="H1061" s="2" t="s">
        <v>61</v>
      </c>
      <c r="I1061" s="2" t="s">
        <v>177</v>
      </c>
      <c r="J1061" s="3" t="s">
        <v>42</v>
      </c>
      <c r="M1061" s="2">
        <f>IF(J1061="1000+", 1000, (LEFT(J1061,FIND("-",J1061)-1)+RIGHT(J1061,LEN(J1061)-FIND("-",J1061)))/2)</f>
        <v>600</v>
      </c>
      <c r="N1061" s="2">
        <f>ROUND(E1061 * 0.7+F1061 * 0.2+G1061 * 0.1,2)</f>
        <v>60.7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90</v>
      </c>
      <c r="P1061" s="2">
        <f>E1061 - O1061</f>
        <v>-23</v>
      </c>
      <c r="Q1061" s="2">
        <f>ROUND(
  SIGN(P1061)*
  IF(ABS(P1061)&lt;=10,ABS(P1061)*0.5,
     IF(ABS(P1061)&lt;=15,5+(ABS(P1061)-10)*(1.67/5),
        6.67+(ABS(P1061)-15)*0.333)),
2)</f>
        <v>-9.33</v>
      </c>
    </row>
    <row r="1062" spans="1:17" ht="34.5" customHeight="1" x14ac:dyDescent="0.3">
      <c r="B1062" s="2">
        <v>1061</v>
      </c>
      <c r="C1062" s="13">
        <f>ROUND(MAX(MIN(N1062 + Q1062, 100), 0), 2)</f>
        <v>51.33</v>
      </c>
      <c r="D1062" s="2" t="s">
        <v>942</v>
      </c>
      <c r="E1062" s="2">
        <v>55</v>
      </c>
      <c r="F1062" s="5">
        <v>71</v>
      </c>
      <c r="G1062" s="2">
        <v>53</v>
      </c>
      <c r="H1062" s="2" t="s">
        <v>381</v>
      </c>
      <c r="I1062" s="2" t="s">
        <v>382</v>
      </c>
      <c r="J1062" s="3" t="s">
        <v>18</v>
      </c>
      <c r="M1062" s="2">
        <f>IF(J1062="1000+", 1000, (LEFT(J1062,FIND("-",J1062)-1)+RIGHT(J1062,LEN(J1062)-FIND("-",J1062)))/2)</f>
        <v>75</v>
      </c>
      <c r="N1062" s="2">
        <f>ROUND(E1062 * 0.7+F1062 * 0.2+G1062 * 0.1,2)</f>
        <v>58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70</v>
      </c>
      <c r="P1062" s="2">
        <f>E1062 - O1062</f>
        <v>-15</v>
      </c>
      <c r="Q1062" s="2">
        <f>ROUND(
  SIGN(P1062)*
  IF(ABS(P1062)&lt;=10,ABS(P1062)*0.5,
     IF(ABS(P1062)&lt;=15,5+(ABS(P1062)-10)*(1.67/5),
        6.67+(ABS(P1062)-15)*0.333)),
2)</f>
        <v>-6.67</v>
      </c>
    </row>
    <row r="1063" spans="1:17" ht="34.5" customHeight="1" x14ac:dyDescent="0.3">
      <c r="B1063" s="2">
        <v>1062</v>
      </c>
      <c r="C1063" s="13">
        <f>ROUND(MAX(MIN(N1063 + Q1063, 100), 0), 2)</f>
        <v>51.3</v>
      </c>
      <c r="D1063" s="2" t="s">
        <v>924</v>
      </c>
      <c r="E1063" s="2">
        <v>55</v>
      </c>
      <c r="F1063" s="7">
        <v>62</v>
      </c>
      <c r="G1063" s="2">
        <v>54</v>
      </c>
      <c r="H1063" s="2" t="s">
        <v>610</v>
      </c>
      <c r="I1063" s="2" t="s">
        <v>22</v>
      </c>
      <c r="J1063" s="3" t="s">
        <v>32</v>
      </c>
      <c r="M1063" s="2">
        <f>IF(J1063="1000+", 1000, (LEFT(J1063,FIND("-",J1063)-1)+RIGHT(J1063,LEN(J1063)-FIND("-",J1063)))/2)</f>
        <v>45</v>
      </c>
      <c r="N1063" s="2">
        <f>ROUND(E1063 * 0.7+F1063 * 0.2+G1063 * 0.1,2)</f>
        <v>56.3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65</v>
      </c>
      <c r="P1063" s="2">
        <f>E1063 - O1063</f>
        <v>-10</v>
      </c>
      <c r="Q1063" s="2">
        <f>ROUND(
  SIGN(P1063)*
  IF(ABS(P1063)&lt;=10,ABS(P1063)*0.5,
     IF(ABS(P1063)&lt;=15,5+(ABS(P1063)-10)*(1.67/5),
        6.67+(ABS(P1063)-15)*0.333)),
2)</f>
        <v>-5</v>
      </c>
    </row>
    <row r="1064" spans="1:17" ht="34.5" customHeight="1" x14ac:dyDescent="0.3">
      <c r="B1064" s="2">
        <v>1063</v>
      </c>
      <c r="C1064" s="13">
        <f>ROUND(MAX(MIN(N1064 + Q1064, 100), 0), 2)</f>
        <v>51.23</v>
      </c>
      <c r="D1064" s="2" t="s">
        <v>911</v>
      </c>
      <c r="E1064" s="2">
        <v>53</v>
      </c>
      <c r="F1064" s="7">
        <v>65</v>
      </c>
      <c r="G1064" s="7">
        <v>68</v>
      </c>
      <c r="H1064" s="2" t="s">
        <v>85</v>
      </c>
      <c r="I1064" s="2" t="s">
        <v>22</v>
      </c>
      <c r="J1064" s="3" t="s">
        <v>32</v>
      </c>
      <c r="M1064" s="2">
        <f>IF(J1064="1000+", 1000, (LEFT(J1064,FIND("-",J1064)-1)+RIGHT(J1064,LEN(J1064)-FIND("-",J1064)))/2)</f>
        <v>45</v>
      </c>
      <c r="N1064" s="2">
        <f>ROUND(E1064 * 0.7+F1064 * 0.2+G1064 * 0.1,2)</f>
        <v>56.9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65</v>
      </c>
      <c r="P1064" s="2">
        <f>E1064 - O1064</f>
        <v>-12</v>
      </c>
      <c r="Q1064" s="2">
        <f>ROUND(
  SIGN(P1064)*
  IF(ABS(P1064)&lt;=10,ABS(P1064)*0.5,
     IF(ABS(P1064)&lt;=15,5+(ABS(P1064)-10)*(1.67/5),
        6.67+(ABS(P1064)-15)*0.333)),
2)</f>
        <v>-5.67</v>
      </c>
    </row>
    <row r="1065" spans="1:17" ht="34.5" customHeight="1" x14ac:dyDescent="0.3">
      <c r="A1065" s="2">
        <v>2026</v>
      </c>
      <c r="B1065" s="2">
        <v>1064</v>
      </c>
      <c r="C1065" s="13">
        <f>ROUND(MAX(MIN(N1065 + Q1065, 100), 0), 2)</f>
        <v>51.23</v>
      </c>
      <c r="D1065" s="2" t="s">
        <v>1939</v>
      </c>
      <c r="E1065" s="7">
        <v>60</v>
      </c>
      <c r="F1065" s="5">
        <v>74</v>
      </c>
      <c r="G1065" s="2">
        <v>51</v>
      </c>
      <c r="H1065" s="2" t="s">
        <v>1944</v>
      </c>
      <c r="I1065" s="2" t="s">
        <v>36</v>
      </c>
      <c r="J1065" s="3" t="s">
        <v>1540</v>
      </c>
      <c r="M1065" s="2">
        <f>IF(J1065="1000+", 1000, (LEFT(J1065,FIND("-",J1065)-1)+RIGHT(J1065,LEN(J1065)-FIND("-",J1065)))/2)</f>
        <v>250</v>
      </c>
      <c r="N1065" s="2">
        <f>ROUND(E1065 * 0.7+F1065 * 0.2+G1065 * 0.1,2)</f>
        <v>61.9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87</v>
      </c>
      <c r="P1065" s="2">
        <f>E1065 - O1065</f>
        <v>-27</v>
      </c>
      <c r="Q1065" s="2">
        <f>ROUND(
  SIGN(P1065)*
  IF(ABS(P1065)&lt;=10,ABS(P1065)*0.5,
     IF(ABS(P1065)&lt;=15,5+(ABS(P1065)-10)*(1.67/5),
        6.67+(ABS(P1065)-15)*0.333)),
2)</f>
        <v>-10.67</v>
      </c>
    </row>
    <row r="1066" spans="1:17" ht="34.5" customHeight="1" x14ac:dyDescent="0.3">
      <c r="B1066" s="2">
        <v>1065</v>
      </c>
      <c r="C1066" s="13">
        <f>ROUND(MAX(MIN(N1066 + Q1066, 100), 0), 2)</f>
        <v>51.13</v>
      </c>
      <c r="D1066" s="2" t="s">
        <v>1131</v>
      </c>
      <c r="E1066" s="7">
        <v>69</v>
      </c>
      <c r="F1066" s="2">
        <v>36</v>
      </c>
      <c r="G1066" s="2">
        <v>43</v>
      </c>
      <c r="H1066" s="2" t="s">
        <v>261</v>
      </c>
      <c r="I1066" s="2" t="s">
        <v>1132</v>
      </c>
      <c r="J1066" s="3" t="s">
        <v>42</v>
      </c>
      <c r="M1066" s="2">
        <f>IF(J1066="1000+", 1000, (LEFT(J1066,FIND("-",J1066)-1)+RIGHT(J1066,LEN(J1066)-FIND("-",J1066)))/2)</f>
        <v>600</v>
      </c>
      <c r="N1066" s="2">
        <f>ROUND(E1066 * 0.7+F1066 * 0.2+G1066 * 0.1,2)</f>
        <v>59.8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90</v>
      </c>
      <c r="P1066" s="2">
        <f>E1066 - O1066</f>
        <v>-21</v>
      </c>
      <c r="Q1066" s="2">
        <f>ROUND(
  SIGN(P1066)*
  IF(ABS(P1066)&lt;=10,ABS(P1066)*0.5,
     IF(ABS(P1066)&lt;=15,5+(ABS(P1066)-10)*(1.67/5),
        6.67+(ABS(P1066)-15)*0.333)),
2)</f>
        <v>-8.67</v>
      </c>
    </row>
    <row r="1067" spans="1:17" ht="34.5" customHeight="1" x14ac:dyDescent="0.3">
      <c r="B1067" s="2">
        <v>1066</v>
      </c>
      <c r="C1067" s="13">
        <f>ROUND(MAX(MIN(N1067 + Q1067, 100), 0), 2)</f>
        <v>51.13</v>
      </c>
      <c r="D1067" s="2" t="s">
        <v>975</v>
      </c>
      <c r="E1067" s="2">
        <v>58</v>
      </c>
      <c r="F1067" s="2">
        <v>58</v>
      </c>
      <c r="G1067" s="2">
        <v>46</v>
      </c>
      <c r="H1067" s="2" t="s">
        <v>61</v>
      </c>
      <c r="I1067" s="2" t="s">
        <v>22</v>
      </c>
      <c r="J1067" s="3" t="s">
        <v>976</v>
      </c>
      <c r="M1067" s="2">
        <f>IF(J1067="1000+", 1000, (LEFT(J1067,FIND("-",J1067)-1)+RIGHT(J1067,LEN(J1067)-FIND("-",J1067)))/2)</f>
        <v>75</v>
      </c>
      <c r="N1067" s="2">
        <f>ROUND(E1067 * 0.7+F1067 * 0.2+G1067 * 0.1,2)</f>
        <v>56.8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70</v>
      </c>
      <c r="P1067" s="2">
        <f>E1067 - O1067</f>
        <v>-12</v>
      </c>
      <c r="Q1067" s="2">
        <f>ROUND(
  SIGN(P1067)*
  IF(ABS(P1067)&lt;=10,ABS(P1067)*0.5,
     IF(ABS(P1067)&lt;=15,5+(ABS(P1067)-10)*(1.67/5),
        6.67+(ABS(P1067)-15)*0.333)),
2)</f>
        <v>-5.67</v>
      </c>
    </row>
    <row r="1068" spans="1:17" ht="34.5" customHeight="1" x14ac:dyDescent="0.3">
      <c r="A1068" s="2">
        <v>2026</v>
      </c>
      <c r="B1068" s="2">
        <v>1067</v>
      </c>
      <c r="C1068" s="13">
        <f>ROUND(MAX(MIN(N1068 + Q1068, 100), 0), 2)</f>
        <v>51.1</v>
      </c>
      <c r="D1068" s="2" t="s">
        <v>1543</v>
      </c>
      <c r="E1068" s="2">
        <v>57</v>
      </c>
      <c r="F1068" s="2">
        <v>50</v>
      </c>
      <c r="G1068" s="2">
        <v>52</v>
      </c>
      <c r="H1068" s="2" t="s">
        <v>1563</v>
      </c>
      <c r="I1068" s="2" t="s">
        <v>36</v>
      </c>
      <c r="J1068" s="3" t="s">
        <v>1569</v>
      </c>
      <c r="M1068" s="2">
        <f>IF(J1068="1000+", 1000, (LEFT(J1068,FIND("-",J1068)-1)+RIGHT(J1068,LEN(J1068)-FIND("-",J1068)))/2)</f>
        <v>45</v>
      </c>
      <c r="N1068" s="2">
        <f>ROUND(E1068 * 0.7+F1068 * 0.2+G1068 * 0.1,2)</f>
        <v>55.1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65</v>
      </c>
      <c r="P1068" s="2">
        <f>E1068 - O1068</f>
        <v>-8</v>
      </c>
      <c r="Q1068" s="2">
        <f>ROUND(
  SIGN(P1068)*
  IF(ABS(P1068)&lt;=10,ABS(P1068)*0.5,
     IF(ABS(P1068)&lt;=15,5+(ABS(P1068)-10)*(1.67/5),
        6.67+(ABS(P1068)-15)*0.333)),
2)</f>
        <v>-4</v>
      </c>
    </row>
    <row r="1069" spans="1:17" ht="34.5" customHeight="1" x14ac:dyDescent="0.3">
      <c r="B1069" s="2">
        <v>1068</v>
      </c>
      <c r="C1069" s="13">
        <f>ROUND(MAX(MIN(N1069 + Q1069, 100), 0), 2)</f>
        <v>51.03</v>
      </c>
      <c r="D1069" s="2" t="s">
        <v>949</v>
      </c>
      <c r="E1069" s="2">
        <v>56</v>
      </c>
      <c r="F1069" s="7">
        <v>62</v>
      </c>
      <c r="G1069" s="2">
        <v>51</v>
      </c>
      <c r="H1069" s="2" t="s">
        <v>950</v>
      </c>
      <c r="I1069" s="2" t="s">
        <v>22</v>
      </c>
      <c r="J1069" s="3" t="s">
        <v>23</v>
      </c>
      <c r="M1069" s="2">
        <f>IF(J1069="1000+", 1000, (LEFT(J1069,FIND("-",J1069)-1)+RIGHT(J1069,LEN(J1069)-FIND("-",J1069)))/2)</f>
        <v>60</v>
      </c>
      <c r="N1069" s="2">
        <f>ROUND(E1069 * 0.7+F1069 * 0.2+G1069 * 0.1,2)</f>
        <v>56.7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68</v>
      </c>
      <c r="P1069" s="2">
        <f>E1069 - O1069</f>
        <v>-12</v>
      </c>
      <c r="Q1069" s="2">
        <f>ROUND(
  SIGN(P1069)*
  IF(ABS(P1069)&lt;=10,ABS(P1069)*0.5,
     IF(ABS(P1069)&lt;=15,5+(ABS(P1069)-10)*(1.67/5),
        6.67+(ABS(P1069)-15)*0.333)),
2)</f>
        <v>-5.67</v>
      </c>
    </row>
    <row r="1070" spans="1:17" ht="34.5" customHeight="1" x14ac:dyDescent="0.3">
      <c r="B1070" s="2">
        <v>1069</v>
      </c>
      <c r="C1070" s="13">
        <f>ROUND(MAX(MIN(N1070 + Q1070, 100), 0), 2)</f>
        <v>50.9</v>
      </c>
      <c r="D1070" s="2" t="s">
        <v>946</v>
      </c>
      <c r="E1070" s="2">
        <v>56</v>
      </c>
      <c r="F1070" s="2">
        <v>52</v>
      </c>
      <c r="G1070" s="2">
        <v>58</v>
      </c>
      <c r="H1070" s="2" t="s">
        <v>48</v>
      </c>
      <c r="I1070" s="2" t="s">
        <v>72</v>
      </c>
      <c r="J1070" s="3" t="s">
        <v>32</v>
      </c>
      <c r="M1070" s="2">
        <f>IF(J1070="1000+", 1000, (LEFT(J1070,FIND("-",J1070)-1)+RIGHT(J1070,LEN(J1070)-FIND("-",J1070)))/2)</f>
        <v>45</v>
      </c>
      <c r="N1070" s="2">
        <f>ROUND(E1070 * 0.7+F1070 * 0.2+G1070 * 0.1,2)</f>
        <v>55.4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65</v>
      </c>
      <c r="P1070" s="2">
        <f>E1070 - O1070</f>
        <v>-9</v>
      </c>
      <c r="Q1070" s="2">
        <f>ROUND(
  SIGN(P1070)*
  IF(ABS(P1070)&lt;=10,ABS(P1070)*0.5,
     IF(ABS(P1070)&lt;=15,5+(ABS(P1070)-10)*(1.67/5),
        6.67+(ABS(P1070)-15)*0.333)),
2)</f>
        <v>-4.5</v>
      </c>
    </row>
    <row r="1071" spans="1:17" ht="34.5" customHeight="1" x14ac:dyDescent="0.3">
      <c r="B1071" s="2">
        <v>1070</v>
      </c>
      <c r="C1071" s="13">
        <f>ROUND(MAX(MIN(N1071 + Q1071, 100), 0), 2)</f>
        <v>50.9</v>
      </c>
      <c r="D1071" s="2" t="s">
        <v>972</v>
      </c>
      <c r="E1071" s="2">
        <v>57</v>
      </c>
      <c r="F1071" s="2">
        <v>56</v>
      </c>
      <c r="G1071" s="2">
        <v>58</v>
      </c>
      <c r="H1071" s="2" t="s">
        <v>31</v>
      </c>
      <c r="I1071" s="2" t="s">
        <v>22</v>
      </c>
      <c r="J1071" s="3" t="s">
        <v>18</v>
      </c>
      <c r="M1071" s="2">
        <f>IF(J1071="1000+", 1000, (LEFT(J1071,FIND("-",J1071)-1)+RIGHT(J1071,LEN(J1071)-FIND("-",J1071)))/2)</f>
        <v>75</v>
      </c>
      <c r="N1071" s="2">
        <f>ROUND(E1071 * 0.7+F1071 * 0.2+G1071 * 0.1,2)</f>
        <v>56.9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70</v>
      </c>
      <c r="P1071" s="2">
        <f>E1071 - O1071</f>
        <v>-13</v>
      </c>
      <c r="Q1071" s="2">
        <f>ROUND(
  SIGN(P1071)*
  IF(ABS(P1071)&lt;=10,ABS(P1071)*0.5,
     IF(ABS(P1071)&lt;=15,5+(ABS(P1071)-10)*(1.67/5),
        6.67+(ABS(P1071)-15)*0.333)),
2)</f>
        <v>-6</v>
      </c>
    </row>
    <row r="1072" spans="1:17" ht="34.5" customHeight="1" x14ac:dyDescent="0.3">
      <c r="B1072" s="2">
        <v>1071</v>
      </c>
      <c r="C1072" s="13">
        <f>ROUND(MAX(MIN(N1072 + Q1072, 100), 0), 2)</f>
        <v>50.9</v>
      </c>
      <c r="D1072" s="2" t="s">
        <v>982</v>
      </c>
      <c r="E1072" s="2">
        <v>56</v>
      </c>
      <c r="F1072" s="7">
        <v>65</v>
      </c>
      <c r="G1072" s="7">
        <v>67</v>
      </c>
      <c r="H1072" s="2" t="s">
        <v>53</v>
      </c>
      <c r="I1072" s="2" t="s">
        <v>394</v>
      </c>
      <c r="J1072" s="3" t="s">
        <v>140</v>
      </c>
      <c r="M1072" s="2">
        <f>IF(J1072="1000+", 1000, (LEFT(J1072,FIND("-",J1072)-1)+RIGHT(J1072,LEN(J1072)-FIND("-",J1072)))/2)</f>
        <v>115</v>
      </c>
      <c r="N1072" s="2">
        <f>ROUND(E1072 * 0.7+F1072 * 0.2+G1072 * 0.1,2)</f>
        <v>58.9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75</v>
      </c>
      <c r="P1072" s="2">
        <f>E1072 - O1072</f>
        <v>-19</v>
      </c>
      <c r="Q1072" s="2">
        <f>ROUND(
  SIGN(P1072)*
  IF(ABS(P1072)&lt;=10,ABS(P1072)*0.5,
     IF(ABS(P1072)&lt;=15,5+(ABS(P1072)-10)*(1.67/5),
        6.67+(ABS(P1072)-15)*0.333)),
2)</f>
        <v>-8</v>
      </c>
    </row>
    <row r="1073" spans="1:17" ht="34.5" customHeight="1" x14ac:dyDescent="0.3">
      <c r="B1073" s="2">
        <v>1072</v>
      </c>
      <c r="C1073" s="13">
        <f>ROUND(MAX(MIN(N1073 + Q1073, 100), 0), 2)</f>
        <v>50.86</v>
      </c>
      <c r="D1073" s="2" t="s">
        <v>963</v>
      </c>
      <c r="E1073" s="2">
        <v>55</v>
      </c>
      <c r="F1073" s="7">
        <v>69</v>
      </c>
      <c r="G1073" s="7">
        <v>69</v>
      </c>
      <c r="H1073" s="2" t="s">
        <v>31</v>
      </c>
      <c r="I1073" s="2" t="s">
        <v>22</v>
      </c>
      <c r="J1073" s="3" t="s">
        <v>140</v>
      </c>
      <c r="M1073" s="2">
        <f>IF(J1073="1000+", 1000, (LEFT(J1073,FIND("-",J1073)-1)+RIGHT(J1073,LEN(J1073)-FIND("-",J1073)))/2)</f>
        <v>115</v>
      </c>
      <c r="N1073" s="2">
        <f>ROUND(E1073 * 0.7+F1073 * 0.2+G1073 * 0.1,2)</f>
        <v>59.2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75</v>
      </c>
      <c r="P1073" s="2">
        <f>E1073 - O1073</f>
        <v>-20</v>
      </c>
      <c r="Q1073" s="2">
        <f>ROUND(
  SIGN(P1073)*
  IF(ABS(P1073)&lt;=10,ABS(P1073)*0.5,
     IF(ABS(P1073)&lt;=15,5+(ABS(P1073)-10)*(1.67/5),
        6.67+(ABS(P1073)-15)*0.333)),
2)</f>
        <v>-8.34</v>
      </c>
    </row>
    <row r="1074" spans="1:17" ht="34.5" customHeight="1" x14ac:dyDescent="0.3">
      <c r="B1074" s="2">
        <v>1073</v>
      </c>
      <c r="C1074" s="13">
        <f>ROUND(MAX(MIN(N1074 + Q1074, 100), 0), 2)</f>
        <v>50.7</v>
      </c>
      <c r="D1074" s="2" t="s">
        <v>997</v>
      </c>
      <c r="E1074" s="2">
        <v>52</v>
      </c>
      <c r="F1074" s="7">
        <v>60</v>
      </c>
      <c r="G1074" s="2">
        <v>38</v>
      </c>
      <c r="H1074" s="2" t="s">
        <v>31</v>
      </c>
      <c r="I1074" s="2" t="s">
        <v>36</v>
      </c>
      <c r="J1074" s="3" t="s">
        <v>37</v>
      </c>
      <c r="M1074" s="2">
        <f>IF(J1074="1000+", 1000, (LEFT(J1074,FIND("-",J1074)-1)+RIGHT(J1074,LEN(J1074)-FIND("-",J1074)))/2)</f>
        <v>15</v>
      </c>
      <c r="N1074" s="2">
        <f>ROUND(E1074 * 0.7+F1074 * 0.2+G1074 * 0.1,2)</f>
        <v>52.2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55</v>
      </c>
      <c r="P1074" s="2">
        <f>E1074 - O1074</f>
        <v>-3</v>
      </c>
      <c r="Q1074" s="2">
        <f>ROUND(
  SIGN(P1074)*
  IF(ABS(P1074)&lt;=10,ABS(P1074)*0.5,
     IF(ABS(P1074)&lt;=15,5+(ABS(P1074)-10)*(1.67/5),
        6.67+(ABS(P1074)-15)*0.333)),
2)</f>
        <v>-1.5</v>
      </c>
    </row>
    <row r="1075" spans="1:17" ht="34.5" customHeight="1" x14ac:dyDescent="0.3">
      <c r="B1075" s="2">
        <v>1074</v>
      </c>
      <c r="C1075" s="13">
        <f>ROUND(MAX(MIN(N1075 + Q1075, 100), 0), 2)</f>
        <v>50.67</v>
      </c>
      <c r="D1075" s="2" t="s">
        <v>917</v>
      </c>
      <c r="E1075" s="2">
        <v>52</v>
      </c>
      <c r="F1075" s="5">
        <v>74</v>
      </c>
      <c r="G1075" s="6">
        <v>88</v>
      </c>
      <c r="H1075" s="2" t="s">
        <v>297</v>
      </c>
      <c r="I1075" s="2" t="s">
        <v>22</v>
      </c>
      <c r="J1075" s="3" t="s">
        <v>140</v>
      </c>
      <c r="M1075" s="2">
        <f>IF(J1075="1000+", 1000, (LEFT(J1075,FIND("-",J1075)-1)+RIGHT(J1075,LEN(J1075)-FIND("-",J1075)))/2)</f>
        <v>115</v>
      </c>
      <c r="N1075" s="2">
        <f>ROUND(E1075 * 0.7+F1075 * 0.2+G1075 * 0.1,2)</f>
        <v>60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75</v>
      </c>
      <c r="P1075" s="2">
        <f>E1075 - O1075</f>
        <v>-23</v>
      </c>
      <c r="Q1075" s="2">
        <f>ROUND(
  SIGN(P1075)*
  IF(ABS(P1075)&lt;=10,ABS(P1075)*0.5,
     IF(ABS(P1075)&lt;=15,5+(ABS(P1075)-10)*(1.67/5),
        6.67+(ABS(P1075)-15)*0.333)),
2)</f>
        <v>-9.33</v>
      </c>
    </row>
    <row r="1076" spans="1:17" ht="34.5" customHeight="1" x14ac:dyDescent="0.3">
      <c r="B1076" s="2">
        <v>1075</v>
      </c>
      <c r="C1076" s="13">
        <f>ROUND(MAX(MIN(N1076 + Q1076, 100), 0), 2)</f>
        <v>50.6</v>
      </c>
      <c r="D1076" s="2" t="s">
        <v>998</v>
      </c>
      <c r="E1076" s="2">
        <v>57</v>
      </c>
      <c r="F1076" s="2">
        <v>55</v>
      </c>
      <c r="G1076" s="2">
        <v>37</v>
      </c>
      <c r="H1076" s="2" t="s">
        <v>71</v>
      </c>
      <c r="I1076" s="2" t="s">
        <v>72</v>
      </c>
      <c r="J1076" s="3" t="s">
        <v>32</v>
      </c>
      <c r="M1076" s="2">
        <f>IF(J1076="1000+", 1000, (LEFT(J1076,FIND("-",J1076)-1)+RIGHT(J1076,LEN(J1076)-FIND("-",J1076)))/2)</f>
        <v>45</v>
      </c>
      <c r="N1076" s="2">
        <f>ROUND(E1076 * 0.7+F1076 * 0.2+G1076 * 0.1,2)</f>
        <v>54.6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65</v>
      </c>
      <c r="P1076" s="2">
        <f>E1076 - O1076</f>
        <v>-8</v>
      </c>
      <c r="Q1076" s="2">
        <f>ROUND(
  SIGN(P1076)*
  IF(ABS(P1076)&lt;=10,ABS(P1076)*0.5,
     IF(ABS(P1076)&lt;=15,5+(ABS(P1076)-10)*(1.67/5),
        6.67+(ABS(P1076)-15)*0.333)),
2)</f>
        <v>-4</v>
      </c>
    </row>
    <row r="1077" spans="1:17" ht="34.5" customHeight="1" x14ac:dyDescent="0.3">
      <c r="B1077" s="2">
        <v>1076</v>
      </c>
      <c r="C1077" s="13">
        <f>ROUND(MAX(MIN(N1077 + Q1077, 100), 0), 2)</f>
        <v>50.6</v>
      </c>
      <c r="D1077" s="2" t="s">
        <v>1003</v>
      </c>
      <c r="E1077" s="2">
        <v>52</v>
      </c>
      <c r="F1077" s="2">
        <v>55</v>
      </c>
      <c r="G1077" s="2">
        <v>47</v>
      </c>
      <c r="H1077" s="2" t="s">
        <v>31</v>
      </c>
      <c r="I1077" s="2" t="s">
        <v>36</v>
      </c>
      <c r="J1077" s="3" t="s">
        <v>37</v>
      </c>
      <c r="M1077" s="2">
        <f>IF(J1077="1000+", 1000, (LEFT(J1077,FIND("-",J1077)-1)+RIGHT(J1077,LEN(J1077)-FIND("-",J1077)))/2)</f>
        <v>15</v>
      </c>
      <c r="N1077" s="2">
        <f>ROUND(E1077 * 0.7+F1077 * 0.2+G1077 * 0.1,2)</f>
        <v>52.1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55</v>
      </c>
      <c r="P1077" s="2">
        <f>E1077 - O1077</f>
        <v>-3</v>
      </c>
      <c r="Q1077" s="2">
        <f>ROUND(
  SIGN(P1077)*
  IF(ABS(P1077)&lt;=10,ABS(P1077)*0.5,
     IF(ABS(P1077)&lt;=15,5+(ABS(P1077)-10)*(1.67/5),
        6.67+(ABS(P1077)-15)*0.333)),
2)</f>
        <v>-1.5</v>
      </c>
    </row>
    <row r="1078" spans="1:17" ht="34.5" customHeight="1" x14ac:dyDescent="0.3">
      <c r="A1078" s="2">
        <v>2026</v>
      </c>
      <c r="B1078" s="2">
        <v>1077</v>
      </c>
      <c r="C1078" s="13">
        <f>ROUND(MAX(MIN(N1078 + Q1078, 100), 0), 2)</f>
        <v>50.6</v>
      </c>
      <c r="D1078" s="2" t="s">
        <v>1369</v>
      </c>
      <c r="E1078" s="2">
        <v>54</v>
      </c>
      <c r="F1078" s="7">
        <v>64</v>
      </c>
      <c r="G1078" s="2">
        <v>40</v>
      </c>
      <c r="H1078" s="2" t="s">
        <v>1382</v>
      </c>
      <c r="I1078" s="2" t="s">
        <v>36</v>
      </c>
      <c r="J1078" s="3" t="s">
        <v>1391</v>
      </c>
      <c r="M1078" s="2">
        <f>IF(J1078="1000+", 1000, (LEFT(J1078,FIND("-",J1078)-1)+RIGHT(J1078,LEN(J1078)-FIND("-",J1078)))/2)</f>
        <v>30</v>
      </c>
      <c r="N1078" s="2">
        <f>ROUND(E1078 * 0.7+F1078 * 0.2+G1078 * 0.1,2)</f>
        <v>54.6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62</v>
      </c>
      <c r="P1078" s="2">
        <f>E1078 - O1078</f>
        <v>-8</v>
      </c>
      <c r="Q1078" s="2">
        <f>ROUND(
  SIGN(P1078)*
  IF(ABS(P1078)&lt;=10,ABS(P1078)*0.5,
     IF(ABS(P1078)&lt;=15,5+(ABS(P1078)-10)*(1.67/5),
        6.67+(ABS(P1078)-15)*0.333)),
2)</f>
        <v>-4</v>
      </c>
    </row>
    <row r="1079" spans="1:17" ht="34.5" customHeight="1" x14ac:dyDescent="0.3">
      <c r="B1079" s="2">
        <v>1078</v>
      </c>
      <c r="C1079" s="13">
        <f>ROUND(MAX(MIN(N1079 + Q1079, 100), 0), 2)</f>
        <v>50.6</v>
      </c>
      <c r="D1079" s="2" t="s">
        <v>915</v>
      </c>
      <c r="E1079" s="2">
        <v>52</v>
      </c>
      <c r="F1079" s="6">
        <v>85</v>
      </c>
      <c r="G1079" s="6">
        <v>82</v>
      </c>
      <c r="H1079" s="2" t="s">
        <v>53</v>
      </c>
      <c r="I1079" s="2" t="s">
        <v>79</v>
      </c>
      <c r="J1079" s="3" t="s">
        <v>88</v>
      </c>
      <c r="M1079" s="2">
        <f>IF(J1079="1000+", 1000, (LEFT(J1079,FIND("-",J1079)-1)+RIGHT(J1079,LEN(J1079)-FIND("-",J1079)))/2)</f>
        <v>150</v>
      </c>
      <c r="N1079" s="2">
        <f>ROUND(E1079 * 0.7+F1079 * 0.2+G1079 * 0.1,2)</f>
        <v>61.6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80</v>
      </c>
      <c r="P1079" s="2">
        <f>E1079 - O1079</f>
        <v>-28</v>
      </c>
      <c r="Q1079" s="2">
        <f>ROUND(
  SIGN(P1079)*
  IF(ABS(P1079)&lt;=10,ABS(P1079)*0.5,
     IF(ABS(P1079)&lt;=15,5+(ABS(P1079)-10)*(1.67/5),
        6.67+(ABS(P1079)-15)*0.333)),
2)</f>
        <v>-11</v>
      </c>
    </row>
    <row r="1080" spans="1:17" ht="34.5" customHeight="1" x14ac:dyDescent="0.3">
      <c r="B1080" s="2">
        <v>1079</v>
      </c>
      <c r="C1080" s="13">
        <f>ROUND(MAX(MIN(N1080 + Q1080, 100), 0), 2)</f>
        <v>50.53</v>
      </c>
      <c r="D1080" s="2" t="s">
        <v>985</v>
      </c>
      <c r="E1080" s="2">
        <v>58</v>
      </c>
      <c r="F1080" s="2">
        <v>53</v>
      </c>
      <c r="G1080" s="2">
        <v>50</v>
      </c>
      <c r="H1080" s="2" t="s">
        <v>434</v>
      </c>
      <c r="I1080" s="2" t="s">
        <v>72</v>
      </c>
      <c r="J1080" s="3" t="s">
        <v>18</v>
      </c>
      <c r="M1080" s="2">
        <f>IF(J1080="1000+", 1000, (LEFT(J1080,FIND("-",J1080)-1)+RIGHT(J1080,LEN(J1080)-FIND("-",J1080)))/2)</f>
        <v>75</v>
      </c>
      <c r="N1080" s="2">
        <f>ROUND(E1080 * 0.7+F1080 * 0.2+G1080 * 0.1,2)</f>
        <v>56.2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70</v>
      </c>
      <c r="P1080" s="2">
        <f>E1080 - O1080</f>
        <v>-12</v>
      </c>
      <c r="Q1080" s="2">
        <f>ROUND(
  SIGN(P1080)*
  IF(ABS(P1080)&lt;=10,ABS(P1080)*0.5,
     IF(ABS(P1080)&lt;=15,5+(ABS(P1080)-10)*(1.67/5),
        6.67+(ABS(P1080)-15)*0.333)),
2)</f>
        <v>-5.67</v>
      </c>
    </row>
    <row r="1081" spans="1:17" ht="34.5" customHeight="1" x14ac:dyDescent="0.3">
      <c r="B1081" s="2">
        <v>1080</v>
      </c>
      <c r="C1081" s="13">
        <f>ROUND(MAX(MIN(N1081 + Q1081, 100), 0), 2)</f>
        <v>50.5</v>
      </c>
      <c r="D1081" s="2" t="s">
        <v>1038</v>
      </c>
      <c r="E1081" s="2">
        <v>54</v>
      </c>
      <c r="F1081" s="2">
        <v>50</v>
      </c>
      <c r="G1081" s="2">
        <v>32</v>
      </c>
      <c r="H1081" s="2" t="s">
        <v>31</v>
      </c>
      <c r="I1081" s="2" t="s">
        <v>447</v>
      </c>
      <c r="J1081" s="3" t="s">
        <v>37</v>
      </c>
      <c r="M1081" s="2">
        <f>IF(J1081="1000+", 1000, (LEFT(J1081,FIND("-",J1081)-1)+RIGHT(J1081,LEN(J1081)-FIND("-",J1081)))/2)</f>
        <v>15</v>
      </c>
      <c r="N1081" s="2">
        <f>ROUND(E1081 * 0.7+F1081 * 0.2+G1081 * 0.1,2)</f>
        <v>51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55</v>
      </c>
      <c r="P1081" s="2">
        <f>E1081 - O1081</f>
        <v>-1</v>
      </c>
      <c r="Q1081" s="2">
        <f>ROUND(
  SIGN(P1081)*
  IF(ABS(P1081)&lt;=10,ABS(P1081)*0.5,
     IF(ABS(P1081)&lt;=15,5+(ABS(P1081)-10)*(1.67/5),
        6.67+(ABS(P1081)-15)*0.333)),
2)</f>
        <v>-0.5</v>
      </c>
    </row>
    <row r="1082" spans="1:17" ht="34.5" customHeight="1" x14ac:dyDescent="0.3">
      <c r="B1082" s="2">
        <v>1081</v>
      </c>
      <c r="C1082" s="13">
        <f>ROUND(MAX(MIN(N1082 + Q1082, 100), 0), 2)</f>
        <v>50.5</v>
      </c>
      <c r="D1082" s="2" t="s">
        <v>980</v>
      </c>
      <c r="E1082" s="2">
        <v>55</v>
      </c>
      <c r="F1082" s="2">
        <v>50</v>
      </c>
      <c r="G1082" s="2">
        <v>45</v>
      </c>
      <c r="H1082" s="2" t="s">
        <v>12</v>
      </c>
      <c r="I1082" s="2" t="s">
        <v>447</v>
      </c>
      <c r="J1082" s="3" t="s">
        <v>132</v>
      </c>
      <c r="M1082" s="2">
        <f>IF(J1082="1000+", 1000, (LEFT(J1082,FIND("-",J1082)-1)+RIGHT(J1082,LEN(J1082)-FIND("-",J1082)))/2)</f>
        <v>20</v>
      </c>
      <c r="N1082" s="2">
        <f>ROUND(E1082 * 0.7+F1082 * 0.2+G1082 * 0.1,2)</f>
        <v>53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60</v>
      </c>
      <c r="P1082" s="2">
        <f>E1082 - O1082</f>
        <v>-5</v>
      </c>
      <c r="Q1082" s="2">
        <f>ROUND(
  SIGN(P1082)*
  IF(ABS(P1082)&lt;=10,ABS(P1082)*0.5,
     IF(ABS(P1082)&lt;=15,5+(ABS(P1082)-10)*(1.67/5),
        6.67+(ABS(P1082)-15)*0.333)),
2)</f>
        <v>-2.5</v>
      </c>
    </row>
    <row r="1083" spans="1:17" ht="34.5" customHeight="1" x14ac:dyDescent="0.3">
      <c r="B1083" s="2">
        <v>1082</v>
      </c>
      <c r="C1083" s="13">
        <f>ROUND(MAX(MIN(N1083 + Q1083, 100), 0), 2)</f>
        <v>50.5</v>
      </c>
      <c r="D1083" s="2" t="s">
        <v>1004</v>
      </c>
      <c r="E1083" s="7">
        <v>61</v>
      </c>
      <c r="F1083" s="2">
        <v>59</v>
      </c>
      <c r="G1083" s="2">
        <v>40</v>
      </c>
      <c r="H1083" s="2" t="s">
        <v>605</v>
      </c>
      <c r="I1083" s="2" t="s">
        <v>22</v>
      </c>
      <c r="J1083" s="3" t="s">
        <v>88</v>
      </c>
      <c r="M1083" s="2">
        <f>IF(J1083="1000+", 1000, (LEFT(J1083,FIND("-",J1083)-1)+RIGHT(J1083,LEN(J1083)-FIND("-",J1083)))/2)</f>
        <v>150</v>
      </c>
      <c r="N1083" s="2">
        <f>ROUND(E1083 * 0.7+F1083 * 0.2+G1083 * 0.1,2)</f>
        <v>58.5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80</v>
      </c>
      <c r="P1083" s="2">
        <f>E1083 - O1083</f>
        <v>-19</v>
      </c>
      <c r="Q1083" s="2">
        <f>ROUND(
  SIGN(P1083)*
  IF(ABS(P1083)&lt;=10,ABS(P1083)*0.5,
     IF(ABS(P1083)&lt;=15,5+(ABS(P1083)-10)*(1.67/5),
        6.67+(ABS(P1083)-15)*0.333)),
2)</f>
        <v>-8</v>
      </c>
    </row>
    <row r="1084" spans="1:17" ht="34.5" customHeight="1" x14ac:dyDescent="0.3">
      <c r="B1084" s="2">
        <v>1083</v>
      </c>
      <c r="C1084" s="13">
        <f>ROUND(MAX(MIN(N1084 + Q1084, 100), 0), 2)</f>
        <v>50.5</v>
      </c>
      <c r="D1084" s="2" t="s">
        <v>943</v>
      </c>
      <c r="E1084" s="2">
        <v>55</v>
      </c>
      <c r="F1084" s="2">
        <v>55</v>
      </c>
      <c r="G1084" s="7">
        <v>60</v>
      </c>
      <c r="H1084" s="2" t="s">
        <v>85</v>
      </c>
      <c r="I1084" s="2" t="s">
        <v>22</v>
      </c>
      <c r="J1084" s="3" t="s">
        <v>32</v>
      </c>
      <c r="M1084" s="2">
        <f>IF(J1084="1000+", 1000, (LEFT(J1084,FIND("-",J1084)-1)+RIGHT(J1084,LEN(J1084)-FIND("-",J1084)))/2)</f>
        <v>45</v>
      </c>
      <c r="N1084" s="2">
        <f>ROUND(E1084 * 0.7+F1084 * 0.2+G1084 * 0.1,2)</f>
        <v>55.5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65</v>
      </c>
      <c r="P1084" s="2">
        <f>E1084 - O1084</f>
        <v>-10</v>
      </c>
      <c r="Q1084" s="2">
        <f>ROUND(
  SIGN(P1084)*
  IF(ABS(P1084)&lt;=10,ABS(P1084)*0.5,
     IF(ABS(P1084)&lt;=15,5+(ABS(P1084)-10)*(1.67/5),
        6.67+(ABS(P1084)-15)*0.333)),
2)</f>
        <v>-5</v>
      </c>
    </row>
    <row r="1085" spans="1:17" ht="34.5" customHeight="1" x14ac:dyDescent="0.3">
      <c r="A1085" s="2">
        <v>2026</v>
      </c>
      <c r="B1085" s="2">
        <v>1084</v>
      </c>
      <c r="C1085" s="13">
        <f>ROUND(MAX(MIN(N1085 + Q1085, 100), 0), 2)</f>
        <v>50.5</v>
      </c>
      <c r="D1085" s="2" t="s">
        <v>1463</v>
      </c>
      <c r="E1085" s="2">
        <v>53</v>
      </c>
      <c r="F1085" s="2">
        <v>59</v>
      </c>
      <c r="G1085" s="2">
        <v>51</v>
      </c>
      <c r="H1085" s="2" t="s">
        <v>1473</v>
      </c>
      <c r="I1085" s="2" t="s">
        <v>36</v>
      </c>
      <c r="J1085" s="3" t="s">
        <v>1479</v>
      </c>
      <c r="M1085" s="2">
        <f>IF(J1085="1000+", 1000, (LEFT(J1085,FIND("-",J1085)-1)+RIGHT(J1085,LEN(J1085)-FIND("-",J1085)))/2)</f>
        <v>20</v>
      </c>
      <c r="N1085" s="2">
        <f>ROUND(E1085 * 0.7+F1085 * 0.2+G1085 * 0.1,2)</f>
        <v>54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60</v>
      </c>
      <c r="P1085" s="2">
        <f>E1085 - O1085</f>
        <v>-7</v>
      </c>
      <c r="Q1085" s="2">
        <f>ROUND(
  SIGN(P1085)*
  IF(ABS(P1085)&lt;=10,ABS(P1085)*0.5,
     IF(ABS(P1085)&lt;=15,5+(ABS(P1085)-10)*(1.67/5),
        6.67+(ABS(P1085)-15)*0.333)),
2)</f>
        <v>-3.5</v>
      </c>
    </row>
    <row r="1086" spans="1:17" ht="34.5" customHeight="1" x14ac:dyDescent="0.3">
      <c r="B1086" s="2">
        <v>1085</v>
      </c>
      <c r="C1086" s="13">
        <f>ROUND(MAX(MIN(N1086 + Q1086, 100), 0), 2)</f>
        <v>50.46</v>
      </c>
      <c r="D1086" s="2" t="s">
        <v>991</v>
      </c>
      <c r="E1086" s="7">
        <v>60</v>
      </c>
      <c r="F1086" s="2">
        <v>50</v>
      </c>
      <c r="G1086" s="7">
        <v>68</v>
      </c>
      <c r="H1086" s="2" t="s">
        <v>434</v>
      </c>
      <c r="I1086" s="2" t="s">
        <v>298</v>
      </c>
      <c r="J1086" s="3" t="s">
        <v>88</v>
      </c>
      <c r="M1086" s="2">
        <f>IF(J1086="1000+", 1000, (LEFT(J1086,FIND("-",J1086)-1)+RIGHT(J1086,LEN(J1086)-FIND("-",J1086)))/2)</f>
        <v>150</v>
      </c>
      <c r="N1086" s="2">
        <f>ROUND(E1086 * 0.7+F1086 * 0.2+G1086 * 0.1,2)</f>
        <v>58.8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80</v>
      </c>
      <c r="P1086" s="2">
        <f>E1086 - O1086</f>
        <v>-20</v>
      </c>
      <c r="Q1086" s="2">
        <f>ROUND(
  SIGN(P1086)*
  IF(ABS(P1086)&lt;=10,ABS(P1086)*0.5,
     IF(ABS(P1086)&lt;=15,5+(ABS(P1086)-10)*(1.67/5),
        6.67+(ABS(P1086)-15)*0.333)),
2)</f>
        <v>-8.34</v>
      </c>
    </row>
    <row r="1087" spans="1:17" ht="34.5" customHeight="1" x14ac:dyDescent="0.3">
      <c r="B1087" s="2">
        <v>1086</v>
      </c>
      <c r="C1087" s="13">
        <f>ROUND(MAX(MIN(N1087 + Q1087, 100), 0), 2)</f>
        <v>50.4</v>
      </c>
      <c r="D1087" s="2" t="s">
        <v>981</v>
      </c>
      <c r="E1087" s="2">
        <v>58</v>
      </c>
      <c r="F1087" s="2">
        <v>50</v>
      </c>
      <c r="G1087" s="2">
        <v>48</v>
      </c>
      <c r="H1087" s="2" t="s">
        <v>61</v>
      </c>
      <c r="I1087" s="2" t="s">
        <v>22</v>
      </c>
      <c r="J1087" s="3" t="s">
        <v>23</v>
      </c>
      <c r="M1087" s="2">
        <f>IF(J1087="1000+", 1000, (LEFT(J1087,FIND("-",J1087)-1)+RIGHT(J1087,LEN(J1087)-FIND("-",J1087)))/2)</f>
        <v>60</v>
      </c>
      <c r="N1087" s="2">
        <f>ROUND(E1087 * 0.7+F1087 * 0.2+G1087 * 0.1,2)</f>
        <v>55.4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68</v>
      </c>
      <c r="P1087" s="2">
        <f>E1087 - O1087</f>
        <v>-10</v>
      </c>
      <c r="Q1087" s="2">
        <f>ROUND(
  SIGN(P1087)*
  IF(ABS(P1087)&lt;=10,ABS(P1087)*0.5,
     IF(ABS(P1087)&lt;=15,5+(ABS(P1087)-10)*(1.67/5),
        6.67+(ABS(P1087)-15)*0.333)),
2)</f>
        <v>-5</v>
      </c>
    </row>
    <row r="1088" spans="1:17" ht="34.5" customHeight="1" x14ac:dyDescent="0.3">
      <c r="A1088" s="2">
        <v>2026</v>
      </c>
      <c r="B1088" s="2">
        <v>1087</v>
      </c>
      <c r="C1088" s="13">
        <f>ROUND(MAX(MIN(N1088 + Q1088, 100), 0), 2)</f>
        <v>50.4</v>
      </c>
      <c r="D1088" s="2" t="s">
        <v>1995</v>
      </c>
      <c r="E1088" s="2">
        <v>52</v>
      </c>
      <c r="F1088" s="2">
        <v>55</v>
      </c>
      <c r="G1088" s="2">
        <v>45</v>
      </c>
      <c r="H1088" s="2" t="s">
        <v>1257</v>
      </c>
      <c r="I1088" s="2" t="s">
        <v>1300</v>
      </c>
      <c r="J1088" s="3" t="s">
        <v>1266</v>
      </c>
      <c r="M1088" s="2">
        <f>IF(J1088="1000+", 1000, (LEFT(J1088,FIND("-",J1088)-1)+RIGHT(J1088,LEN(J1088)-FIND("-",J1088)))/2)</f>
        <v>15</v>
      </c>
      <c r="N1088" s="2">
        <f>ROUND(E1088 * 0.7+F1088 * 0.2+G1088 * 0.1,2)</f>
        <v>51.9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55</v>
      </c>
      <c r="P1088" s="2">
        <f>E1088 - O1088</f>
        <v>-3</v>
      </c>
      <c r="Q1088" s="2">
        <f>ROUND(
  SIGN(P1088)*
  IF(ABS(P1088)&lt;=10,ABS(P1088)*0.5,
     IF(ABS(P1088)&lt;=15,5+(ABS(P1088)-10)*(1.67/5),
        6.67+(ABS(P1088)-15)*0.333)),
2)</f>
        <v>-1.5</v>
      </c>
    </row>
    <row r="1089" spans="1:17" ht="34.5" customHeight="1" x14ac:dyDescent="0.3">
      <c r="B1089" s="2">
        <v>1088</v>
      </c>
      <c r="C1089" s="13">
        <f>ROUND(MAX(MIN(N1089 + Q1089, 100), 0), 2)</f>
        <v>50.33</v>
      </c>
      <c r="D1089" s="2" t="s">
        <v>1007</v>
      </c>
      <c r="E1089" s="7">
        <v>61</v>
      </c>
      <c r="F1089" s="2">
        <v>57</v>
      </c>
      <c r="G1089" s="2">
        <v>49</v>
      </c>
      <c r="H1089" s="2" t="s">
        <v>379</v>
      </c>
      <c r="I1089" s="2" t="s">
        <v>537</v>
      </c>
      <c r="J1089" s="3" t="s">
        <v>28</v>
      </c>
      <c r="M1089" s="2">
        <f>IF(J1089="1000+", 1000, (LEFT(J1089,FIND("-",J1089)-1)+RIGHT(J1089,LEN(J1089)-FIND("-",J1089)))/2)</f>
        <v>200</v>
      </c>
      <c r="N1089" s="2">
        <f>ROUND(E1089 * 0.7+F1089 * 0.2+G1089 * 0.1,2)</f>
        <v>59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82</v>
      </c>
      <c r="P1089" s="2">
        <f>E1089 - O1089</f>
        <v>-21</v>
      </c>
      <c r="Q1089" s="2">
        <f>ROUND(
  SIGN(P1089)*
  IF(ABS(P1089)&lt;=10,ABS(P1089)*0.5,
     IF(ABS(P1089)&lt;=15,5+(ABS(P1089)-10)*(1.67/5),
        6.67+(ABS(P1089)-15)*0.333)),
2)</f>
        <v>-8.67</v>
      </c>
    </row>
    <row r="1090" spans="1:17" ht="34.5" customHeight="1" x14ac:dyDescent="0.3">
      <c r="A1090" s="2">
        <v>2026</v>
      </c>
      <c r="B1090" s="2">
        <v>1089</v>
      </c>
      <c r="C1090" s="13">
        <f>ROUND(MAX(MIN(N1090 + Q1090, 100), 0), 2)</f>
        <v>50.3</v>
      </c>
      <c r="D1090" s="2" t="s">
        <v>1492</v>
      </c>
      <c r="E1090" s="2">
        <v>57</v>
      </c>
      <c r="F1090" s="2">
        <v>40</v>
      </c>
      <c r="G1090" s="2">
        <v>49</v>
      </c>
      <c r="H1090" s="2" t="s">
        <v>1518</v>
      </c>
      <c r="I1090" s="2" t="s">
        <v>36</v>
      </c>
      <c r="J1090" s="3" t="s">
        <v>1534</v>
      </c>
      <c r="M1090" s="2">
        <f>IF(J1090="1000+", 1000, (LEFT(J1090,FIND("-",J1090)-1)+RIGHT(J1090,LEN(J1090)-FIND("-",J1090)))/2)</f>
        <v>30</v>
      </c>
      <c r="N1090" s="2">
        <f>ROUND(E1090 * 0.7+F1090 * 0.2+G1090 * 0.1,2)</f>
        <v>52.8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62</v>
      </c>
      <c r="P1090" s="2">
        <f>E1090 - O1090</f>
        <v>-5</v>
      </c>
      <c r="Q1090" s="2">
        <f>ROUND(
  SIGN(P1090)*
  IF(ABS(P1090)&lt;=10,ABS(P1090)*0.5,
     IF(ABS(P1090)&lt;=15,5+(ABS(P1090)-10)*(1.67/5),
        6.67+(ABS(P1090)-15)*0.333)),
2)</f>
        <v>-2.5</v>
      </c>
    </row>
    <row r="1091" spans="1:17" ht="34.5" customHeight="1" x14ac:dyDescent="0.3">
      <c r="B1091" s="2">
        <v>1090</v>
      </c>
      <c r="C1091" s="13">
        <f>ROUND(MAX(MIN(N1091 + Q1091, 100), 0), 2)</f>
        <v>50.3</v>
      </c>
      <c r="D1091" s="2" t="s">
        <v>1019</v>
      </c>
      <c r="E1091" s="2">
        <v>53</v>
      </c>
      <c r="F1091" s="2">
        <v>55</v>
      </c>
      <c r="G1091" s="2">
        <v>32</v>
      </c>
      <c r="H1091" s="2" t="s">
        <v>968</v>
      </c>
      <c r="I1091" s="2" t="s">
        <v>36</v>
      </c>
      <c r="J1091" s="3" t="s">
        <v>37</v>
      </c>
      <c r="M1091" s="2">
        <f>IF(J1091="1000+", 1000, (LEFT(J1091,FIND("-",J1091)-1)+RIGHT(J1091,LEN(J1091)-FIND("-",J1091)))/2)</f>
        <v>15</v>
      </c>
      <c r="N1091" s="2">
        <f>ROUND(E1091 * 0.7+F1091 * 0.2+G1091 * 0.1,2)</f>
        <v>51.3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55</v>
      </c>
      <c r="P1091" s="2">
        <f>E1091 - O1091</f>
        <v>-2</v>
      </c>
      <c r="Q1091" s="2">
        <f>ROUND(
  SIGN(P1091)*
  IF(ABS(P1091)&lt;=10,ABS(P1091)*0.5,
     IF(ABS(P1091)&lt;=15,5+(ABS(P1091)-10)*(1.67/5),
        6.67+(ABS(P1091)-15)*0.333)),
2)</f>
        <v>-1</v>
      </c>
    </row>
    <row r="1092" spans="1:17" ht="34.5" customHeight="1" x14ac:dyDescent="0.3">
      <c r="B1092" s="2">
        <v>1091</v>
      </c>
      <c r="C1092" s="13">
        <f>ROUND(MAX(MIN(N1092 + Q1092, 100), 0), 2)</f>
        <v>50.3</v>
      </c>
      <c r="D1092" s="2" t="s">
        <v>1082</v>
      </c>
      <c r="E1092" s="7">
        <v>62</v>
      </c>
      <c r="F1092" s="7">
        <v>63</v>
      </c>
      <c r="G1092" s="2">
        <v>53</v>
      </c>
      <c r="H1092" s="2" t="s">
        <v>624</v>
      </c>
      <c r="I1092" s="2" t="s">
        <v>637</v>
      </c>
      <c r="J1092" s="3" t="s">
        <v>42</v>
      </c>
      <c r="M1092" s="2">
        <f>IF(J1092="1000+", 1000, (LEFT(J1092,FIND("-",J1092)-1)+RIGHT(J1092,LEN(J1092)-FIND("-",J1092)))/2)</f>
        <v>600</v>
      </c>
      <c r="N1092" s="2">
        <f>ROUND(E1092 * 0.7+F1092 * 0.2+G1092 * 0.1,2)</f>
        <v>61.3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90</v>
      </c>
      <c r="P1092" s="2">
        <f>E1092 - O1092</f>
        <v>-28</v>
      </c>
      <c r="Q1092" s="2">
        <f>ROUND(
  SIGN(P1092)*
  IF(ABS(P1092)&lt;=10,ABS(P1092)*0.5,
     IF(ABS(P1092)&lt;=15,5+(ABS(P1092)-10)*(1.67/5),
        6.67+(ABS(P1092)-15)*0.333)),
2)</f>
        <v>-11</v>
      </c>
    </row>
    <row r="1093" spans="1:17" ht="34.5" customHeight="1" x14ac:dyDescent="0.3">
      <c r="B1093" s="2">
        <v>1092</v>
      </c>
      <c r="C1093" s="13">
        <f>ROUND(MAX(MIN(N1093 + Q1093, 100), 0), 2)</f>
        <v>50.3</v>
      </c>
      <c r="D1093" s="2" t="s">
        <v>961</v>
      </c>
      <c r="E1093" s="2">
        <v>55</v>
      </c>
      <c r="F1093" s="2">
        <v>55</v>
      </c>
      <c r="G1093" s="7">
        <v>68</v>
      </c>
      <c r="H1093" s="2" t="s">
        <v>61</v>
      </c>
      <c r="I1093" s="2" t="s">
        <v>22</v>
      </c>
      <c r="J1093" s="3" t="s">
        <v>23</v>
      </c>
      <c r="M1093" s="2">
        <f>IF(J1093="1000+", 1000, (LEFT(J1093,FIND("-",J1093)-1)+RIGHT(J1093,LEN(J1093)-FIND("-",J1093)))/2)</f>
        <v>60</v>
      </c>
      <c r="N1093" s="2">
        <f>ROUND(E1093 * 0.7+F1093 * 0.2+G1093 * 0.1,2)</f>
        <v>56.3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68</v>
      </c>
      <c r="P1093" s="2">
        <f>E1093 - O1093</f>
        <v>-13</v>
      </c>
      <c r="Q1093" s="2">
        <f>ROUND(
  SIGN(P1093)*
  IF(ABS(P1093)&lt;=10,ABS(P1093)*0.5,
     IF(ABS(P1093)&lt;=15,5+(ABS(P1093)-10)*(1.67/5),
        6.67+(ABS(P1093)-15)*0.333)),
2)</f>
        <v>-6</v>
      </c>
    </row>
    <row r="1094" spans="1:17" ht="34.5" customHeight="1" x14ac:dyDescent="0.3">
      <c r="A1094" s="2">
        <v>2026</v>
      </c>
      <c r="B1094" s="2">
        <v>1093</v>
      </c>
      <c r="C1094" s="13">
        <f>ROUND(MAX(MIN(N1094 + Q1094, 100), 0), 2)</f>
        <v>50.3</v>
      </c>
      <c r="D1094" s="2" t="s">
        <v>1370</v>
      </c>
      <c r="E1094" s="2">
        <v>52</v>
      </c>
      <c r="F1094" s="7">
        <v>68</v>
      </c>
      <c r="G1094" s="2">
        <v>43</v>
      </c>
      <c r="H1094" s="2" t="s">
        <v>1382</v>
      </c>
      <c r="I1094" s="2" t="s">
        <v>36</v>
      </c>
      <c r="J1094" s="3" t="s">
        <v>1392</v>
      </c>
      <c r="M1094" s="2">
        <f>IF(J1094="1000+", 1000, (LEFT(J1094,FIND("-",J1094)-1)+RIGHT(J1094,LEN(J1094)-FIND("-",J1094)))/2)</f>
        <v>20</v>
      </c>
      <c r="N1094" s="2">
        <f>ROUND(E1094 * 0.7+F1094 * 0.2+G1094 * 0.1,2)</f>
        <v>54.3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60</v>
      </c>
      <c r="P1094" s="2">
        <f>E1094 - O1094</f>
        <v>-8</v>
      </c>
      <c r="Q1094" s="2">
        <f>ROUND(
  SIGN(P1094)*
  IF(ABS(P1094)&lt;=10,ABS(P1094)*0.5,
     IF(ABS(P1094)&lt;=15,5+(ABS(P1094)-10)*(1.67/5),
        6.67+(ABS(P1094)-15)*0.333)),
2)</f>
        <v>-4</v>
      </c>
    </row>
    <row r="1095" spans="1:17" ht="34.5" customHeight="1" x14ac:dyDescent="0.3">
      <c r="A1095" s="2">
        <v>2026</v>
      </c>
      <c r="B1095" s="2">
        <v>1094</v>
      </c>
      <c r="C1095" s="13">
        <f>ROUND(MAX(MIN(N1095 + Q1095, 100), 0), 2)</f>
        <v>50.3</v>
      </c>
      <c r="D1095" s="2" t="s">
        <v>1926</v>
      </c>
      <c r="E1095" s="2">
        <v>52</v>
      </c>
      <c r="F1095" s="7">
        <v>64</v>
      </c>
      <c r="G1095" s="2">
        <v>51</v>
      </c>
      <c r="H1095" s="2" t="s">
        <v>1483</v>
      </c>
      <c r="I1095" s="2" t="s">
        <v>36</v>
      </c>
      <c r="J1095" s="3" t="s">
        <v>1261</v>
      </c>
      <c r="M1095" s="2">
        <f>IF(J1095="1000+", 1000, (LEFT(J1095,FIND("-",J1095)-1)+RIGHT(J1095,LEN(J1095)-FIND("-",J1095)))/2)</f>
        <v>20</v>
      </c>
      <c r="N1095" s="2">
        <f>ROUND(E1095 * 0.7+F1095 * 0.2+G1095 * 0.1,2)</f>
        <v>54.3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60</v>
      </c>
      <c r="P1095" s="2">
        <f>E1095 - O1095</f>
        <v>-8</v>
      </c>
      <c r="Q1095" s="2">
        <f>ROUND(
  SIGN(P1095)*
  IF(ABS(P1095)&lt;=10,ABS(P1095)*0.5,
     IF(ABS(P1095)&lt;=15,5+(ABS(P1095)-10)*(1.67/5),
        6.67+(ABS(P1095)-15)*0.333)),
2)</f>
        <v>-4</v>
      </c>
    </row>
    <row r="1096" spans="1:17" ht="34.5" customHeight="1" x14ac:dyDescent="0.3">
      <c r="B1096" s="2">
        <v>1095</v>
      </c>
      <c r="C1096" s="13">
        <f>ROUND(MAX(MIN(N1096 + Q1096, 100), 0), 2)</f>
        <v>50.1</v>
      </c>
      <c r="D1096" s="2" t="s">
        <v>986</v>
      </c>
      <c r="E1096" s="2">
        <v>58</v>
      </c>
      <c r="F1096" s="2">
        <v>50</v>
      </c>
      <c r="G1096" s="2">
        <v>45</v>
      </c>
      <c r="H1096" s="2" t="s">
        <v>48</v>
      </c>
      <c r="I1096" s="2" t="s">
        <v>72</v>
      </c>
      <c r="J1096" s="3" t="s">
        <v>23</v>
      </c>
      <c r="M1096" s="2">
        <f>IF(J1096="1000+", 1000, (LEFT(J1096,FIND("-",J1096)-1)+RIGHT(J1096,LEN(J1096)-FIND("-",J1096)))/2)</f>
        <v>60</v>
      </c>
      <c r="N1096" s="2">
        <f>ROUND(E1096 * 0.7+F1096 * 0.2+G1096 * 0.1,2)</f>
        <v>55.1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68</v>
      </c>
      <c r="P1096" s="2">
        <f>E1096 - O1096</f>
        <v>-10</v>
      </c>
      <c r="Q1096" s="2">
        <f>ROUND(
  SIGN(P1096)*
  IF(ABS(P1096)&lt;=10,ABS(P1096)*0.5,
     IF(ABS(P1096)&lt;=15,5+(ABS(P1096)-10)*(1.67/5),
        6.67+(ABS(P1096)-15)*0.333)),
2)</f>
        <v>-5</v>
      </c>
    </row>
    <row r="1097" spans="1:17" ht="34.5" customHeight="1" x14ac:dyDescent="0.3">
      <c r="A1097" s="2">
        <v>2026</v>
      </c>
      <c r="B1097" s="2">
        <v>1096</v>
      </c>
      <c r="C1097" s="13">
        <f>ROUND(MAX(MIN(N1097 + Q1097, 100), 0), 2)</f>
        <v>50.1</v>
      </c>
      <c r="D1097" s="2" t="s">
        <v>1607</v>
      </c>
      <c r="E1097" s="2">
        <v>53</v>
      </c>
      <c r="F1097" s="2">
        <v>55</v>
      </c>
      <c r="G1097" s="7">
        <v>65</v>
      </c>
      <c r="H1097" s="2" t="s">
        <v>1616</v>
      </c>
      <c r="I1097" s="2" t="s">
        <v>298</v>
      </c>
      <c r="J1097" s="3" t="s">
        <v>1621</v>
      </c>
      <c r="M1097" s="2">
        <f>IF(J1097="1000+", 1000, (LEFT(J1097,FIND("-",J1097)-1)+RIGHT(J1097,LEN(J1097)-FIND("-",J1097)))/2)</f>
        <v>30</v>
      </c>
      <c r="N1097" s="2">
        <f>ROUND(E1097 * 0.7+F1097 * 0.2+G1097 * 0.1,2)</f>
        <v>54.6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62</v>
      </c>
      <c r="P1097" s="2">
        <f>E1097 - O1097</f>
        <v>-9</v>
      </c>
      <c r="Q1097" s="2">
        <f>ROUND(
  SIGN(P1097)*
  IF(ABS(P1097)&lt;=10,ABS(P1097)*0.5,
     IF(ABS(P1097)&lt;=15,5+(ABS(P1097)-10)*(1.67/5),
        6.67+(ABS(P1097)-15)*0.333)),
2)</f>
        <v>-4.5</v>
      </c>
    </row>
    <row r="1098" spans="1:17" ht="34.5" customHeight="1" x14ac:dyDescent="0.3">
      <c r="B1098" s="2">
        <v>1097</v>
      </c>
      <c r="C1098" s="13">
        <f>ROUND(MAX(MIN(N1098 + Q1098, 100), 0), 2)</f>
        <v>50.03</v>
      </c>
      <c r="D1098" s="2" t="s">
        <v>1041</v>
      </c>
      <c r="E1098" s="7">
        <v>60</v>
      </c>
      <c r="F1098" s="7">
        <v>66</v>
      </c>
      <c r="G1098" s="7">
        <v>65</v>
      </c>
      <c r="H1098" s="2" t="s">
        <v>174</v>
      </c>
      <c r="I1098" s="2" t="s">
        <v>100</v>
      </c>
      <c r="J1098" s="3" t="s">
        <v>42</v>
      </c>
      <c r="M1098" s="2">
        <f>IF(J1098="1000+", 1000, (LEFT(J1098,FIND("-",J1098)-1)+RIGHT(J1098,LEN(J1098)-FIND("-",J1098)))/2)</f>
        <v>600</v>
      </c>
      <c r="N1098" s="2">
        <f>ROUND(E1098 * 0.7+F1098 * 0.2+G1098 * 0.1,2)</f>
        <v>61.7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90</v>
      </c>
      <c r="P1098" s="2">
        <f>E1098 - O1098</f>
        <v>-30</v>
      </c>
      <c r="Q1098" s="2">
        <f>ROUND(
  SIGN(P1098)*
  IF(ABS(P1098)&lt;=10,ABS(P1098)*0.5,
     IF(ABS(P1098)&lt;=15,5+(ABS(P1098)-10)*(1.67/5),
        6.67+(ABS(P1098)-15)*0.333)),
2)</f>
        <v>-11.67</v>
      </c>
    </row>
    <row r="1099" spans="1:17" ht="34.5" customHeight="1" x14ac:dyDescent="0.3">
      <c r="B1099" s="2">
        <v>1098</v>
      </c>
      <c r="C1099" s="13">
        <f>ROUND(MAX(MIN(N1099 + Q1099, 100), 0), 2)</f>
        <v>50</v>
      </c>
      <c r="D1099" s="2" t="s">
        <v>979</v>
      </c>
      <c r="E1099" s="2">
        <v>54</v>
      </c>
      <c r="F1099" s="2">
        <v>56</v>
      </c>
      <c r="G1099" s="2">
        <v>50</v>
      </c>
      <c r="H1099" s="2" t="s">
        <v>48</v>
      </c>
      <c r="I1099" s="2" t="s">
        <v>72</v>
      </c>
      <c r="J1099" s="3" t="s">
        <v>146</v>
      </c>
      <c r="M1099" s="2">
        <f>IF(J1099="1000+", 1000, (LEFT(J1099,FIND("-",J1099)-1)+RIGHT(J1099,LEN(J1099)-FIND("-",J1099)))/2)</f>
        <v>30</v>
      </c>
      <c r="N1099" s="2">
        <f>ROUND(E1099 * 0.7+F1099 * 0.2+G1099 * 0.1,2)</f>
        <v>54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62</v>
      </c>
      <c r="P1099" s="2">
        <f>E1099 - O1099</f>
        <v>-8</v>
      </c>
      <c r="Q1099" s="2">
        <f>ROUND(
  SIGN(P1099)*
  IF(ABS(P1099)&lt;=10,ABS(P1099)*0.5,
     IF(ABS(P1099)&lt;=15,5+(ABS(P1099)-10)*(1.67/5),
        6.67+(ABS(P1099)-15)*0.333)),
2)</f>
        <v>-4</v>
      </c>
    </row>
    <row r="1100" spans="1:17" ht="34.5" customHeight="1" x14ac:dyDescent="0.3">
      <c r="B1100" s="2">
        <v>1099</v>
      </c>
      <c r="C1100" s="13">
        <f>ROUND(MAX(MIN(N1100 + Q1100, 100), 0), 2)</f>
        <v>49.93</v>
      </c>
      <c r="D1100" s="2" t="s">
        <v>952</v>
      </c>
      <c r="E1100" s="2">
        <v>53</v>
      </c>
      <c r="F1100" s="5">
        <v>74</v>
      </c>
      <c r="G1100" s="2">
        <v>47</v>
      </c>
      <c r="H1100" s="2" t="s">
        <v>953</v>
      </c>
      <c r="I1100" s="2" t="s">
        <v>17</v>
      </c>
      <c r="J1100" s="3" t="s">
        <v>23</v>
      </c>
      <c r="M1100" s="2">
        <f>IF(J1100="1000+", 1000, (LEFT(J1100,FIND("-",J1100)-1)+RIGHT(J1100,LEN(J1100)-FIND("-",J1100)))/2)</f>
        <v>60</v>
      </c>
      <c r="N1100" s="2">
        <f>ROUND(E1100 * 0.7+F1100 * 0.2+G1100 * 0.1,2)</f>
        <v>56.6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68</v>
      </c>
      <c r="P1100" s="2">
        <f>E1100 - O1100</f>
        <v>-15</v>
      </c>
      <c r="Q1100" s="2">
        <f>ROUND(
  SIGN(P1100)*
  IF(ABS(P1100)&lt;=10,ABS(P1100)*0.5,
     IF(ABS(P1100)&lt;=15,5+(ABS(P1100)-10)*(1.67/5),
        6.67+(ABS(P1100)-15)*0.333)),
2)</f>
        <v>-6.67</v>
      </c>
    </row>
    <row r="1101" spans="1:17" ht="34.5" customHeight="1" x14ac:dyDescent="0.3">
      <c r="B1101" s="2">
        <v>1100</v>
      </c>
      <c r="C1101" s="13">
        <f>ROUND(MAX(MIN(N1101 + Q1101, 100), 0), 2)</f>
        <v>49.93</v>
      </c>
      <c r="D1101" s="2" t="s">
        <v>914</v>
      </c>
      <c r="E1101" s="2">
        <v>50</v>
      </c>
      <c r="F1101" s="5">
        <v>77</v>
      </c>
      <c r="G1101" s="7">
        <v>62</v>
      </c>
      <c r="H1101" s="2" t="s">
        <v>624</v>
      </c>
      <c r="I1101" s="2" t="s">
        <v>72</v>
      </c>
      <c r="J1101" s="3" t="s">
        <v>32</v>
      </c>
      <c r="M1101" s="2">
        <f>IF(J1101="1000+", 1000, (LEFT(J1101,FIND("-",J1101)-1)+RIGHT(J1101,LEN(J1101)-FIND("-",J1101)))/2)</f>
        <v>45</v>
      </c>
      <c r="N1101" s="2">
        <f>ROUND(E1101 * 0.7+F1101 * 0.2+G1101 * 0.1,2)</f>
        <v>56.6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65</v>
      </c>
      <c r="P1101" s="2">
        <f>E1101 - O1101</f>
        <v>-15</v>
      </c>
      <c r="Q1101" s="2">
        <f>ROUND(
  SIGN(P1101)*
  IF(ABS(P1101)&lt;=10,ABS(P1101)*0.5,
     IF(ABS(P1101)&lt;=15,5+(ABS(P1101)-10)*(1.67/5),
        6.67+(ABS(P1101)-15)*0.333)),
2)</f>
        <v>-6.67</v>
      </c>
    </row>
    <row r="1102" spans="1:17" ht="34.5" customHeight="1" x14ac:dyDescent="0.3">
      <c r="B1102" s="2">
        <v>1101</v>
      </c>
      <c r="C1102" s="13">
        <f>ROUND(MAX(MIN(N1102 + Q1102, 100), 0), 2)</f>
        <v>49.9</v>
      </c>
      <c r="D1102" s="2" t="s">
        <v>1025</v>
      </c>
      <c r="E1102" s="2">
        <v>59</v>
      </c>
      <c r="F1102" s="7">
        <v>60</v>
      </c>
      <c r="G1102" s="2">
        <v>36</v>
      </c>
      <c r="H1102" s="2" t="s">
        <v>31</v>
      </c>
      <c r="I1102" s="2" t="s">
        <v>165</v>
      </c>
      <c r="J1102" s="3" t="s">
        <v>140</v>
      </c>
      <c r="M1102" s="2">
        <f>IF(J1102="1000+", 1000, (LEFT(J1102,FIND("-",J1102)-1)+RIGHT(J1102,LEN(J1102)-FIND("-",J1102)))/2)</f>
        <v>115</v>
      </c>
      <c r="N1102" s="2">
        <f>ROUND(E1102 * 0.7+F1102 * 0.2+G1102 * 0.1,2)</f>
        <v>56.9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75</v>
      </c>
      <c r="P1102" s="2">
        <f>E1102 - O1102</f>
        <v>-16</v>
      </c>
      <c r="Q1102" s="2">
        <f>ROUND(
  SIGN(P1102)*
  IF(ABS(P1102)&lt;=10,ABS(P1102)*0.5,
     IF(ABS(P1102)&lt;=15,5+(ABS(P1102)-10)*(1.67/5),
        6.67+(ABS(P1102)-15)*0.333)),
2)</f>
        <v>-7</v>
      </c>
    </row>
    <row r="1103" spans="1:17" ht="34.5" customHeight="1" x14ac:dyDescent="0.3">
      <c r="B1103" s="2">
        <v>1102</v>
      </c>
      <c r="C1103" s="13">
        <f>ROUND(MAX(MIN(N1103 + Q1103, 100), 0), 2)</f>
        <v>49.8</v>
      </c>
      <c r="D1103" s="2" t="s">
        <v>992</v>
      </c>
      <c r="E1103" s="2">
        <v>57</v>
      </c>
      <c r="F1103" s="2">
        <v>57</v>
      </c>
      <c r="G1103" s="2">
        <v>45</v>
      </c>
      <c r="H1103" s="2" t="s">
        <v>87</v>
      </c>
      <c r="I1103" s="2" t="s">
        <v>22</v>
      </c>
      <c r="J1103" s="3" t="s">
        <v>18</v>
      </c>
      <c r="M1103" s="2">
        <f>IF(J1103="1000+", 1000, (LEFT(J1103,FIND("-",J1103)-1)+RIGHT(J1103,LEN(J1103)-FIND("-",J1103)))/2)</f>
        <v>75</v>
      </c>
      <c r="N1103" s="2">
        <f>ROUND(E1103 * 0.7+F1103 * 0.2+G1103 * 0.1,2)</f>
        <v>55.8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70</v>
      </c>
      <c r="P1103" s="2">
        <f>E1103 - O1103</f>
        <v>-13</v>
      </c>
      <c r="Q1103" s="2">
        <f>ROUND(
  SIGN(P1103)*
  IF(ABS(P1103)&lt;=10,ABS(P1103)*0.5,
     IF(ABS(P1103)&lt;=15,5+(ABS(P1103)-10)*(1.67/5),
        6.67+(ABS(P1103)-15)*0.333)),
2)</f>
        <v>-6</v>
      </c>
    </row>
    <row r="1104" spans="1:17" ht="34.5" customHeight="1" x14ac:dyDescent="0.3">
      <c r="B1104" s="2">
        <v>1103</v>
      </c>
      <c r="C1104" s="13">
        <f>ROUND(MAX(MIN(N1104 + Q1104, 100), 0), 2)</f>
        <v>49.7</v>
      </c>
      <c r="D1104" s="2" t="s">
        <v>940</v>
      </c>
      <c r="E1104" s="2">
        <v>52</v>
      </c>
      <c r="F1104" s="7">
        <v>65</v>
      </c>
      <c r="G1104" s="7">
        <v>63</v>
      </c>
      <c r="H1104" s="2" t="s">
        <v>48</v>
      </c>
      <c r="I1104" s="2" t="s">
        <v>559</v>
      </c>
      <c r="J1104" s="3" t="s">
        <v>32</v>
      </c>
      <c r="M1104" s="2">
        <f>IF(J1104="1000+", 1000, (LEFT(J1104,FIND("-",J1104)-1)+RIGHT(J1104,LEN(J1104)-FIND("-",J1104)))/2)</f>
        <v>45</v>
      </c>
      <c r="N1104" s="2">
        <f>ROUND(E1104 * 0.7+F1104 * 0.2+G1104 * 0.1,2)</f>
        <v>55.7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65</v>
      </c>
      <c r="P1104" s="2">
        <f>E1104 - O1104</f>
        <v>-13</v>
      </c>
      <c r="Q1104" s="2">
        <f>ROUND(
  SIGN(P1104)*
  IF(ABS(P1104)&lt;=10,ABS(P1104)*0.5,
     IF(ABS(P1104)&lt;=15,5+(ABS(P1104)-10)*(1.67/5),
        6.67+(ABS(P1104)-15)*0.333)),
2)</f>
        <v>-6</v>
      </c>
    </row>
    <row r="1105" spans="1:17" ht="34.5" customHeight="1" x14ac:dyDescent="0.3">
      <c r="B1105" s="2">
        <v>1104</v>
      </c>
      <c r="C1105" s="13">
        <f>ROUND(MAX(MIN(N1105 + Q1105, 100), 0), 2)</f>
        <v>49.67</v>
      </c>
      <c r="D1105" s="2" t="s">
        <v>955</v>
      </c>
      <c r="E1105" s="2">
        <v>54</v>
      </c>
      <c r="F1105" s="2">
        <v>57</v>
      </c>
      <c r="G1105" s="2">
        <v>58</v>
      </c>
      <c r="H1105" s="2" t="s">
        <v>48</v>
      </c>
      <c r="I1105" s="2" t="s">
        <v>273</v>
      </c>
      <c r="J1105" s="3" t="s">
        <v>32</v>
      </c>
      <c r="M1105" s="2">
        <f>IF(J1105="1000+", 1000, (LEFT(J1105,FIND("-",J1105)-1)+RIGHT(J1105,LEN(J1105)-FIND("-",J1105)))/2)</f>
        <v>45</v>
      </c>
      <c r="N1105" s="2">
        <f>ROUND(E1105 * 0.7+F1105 * 0.2+G1105 * 0.1,2)</f>
        <v>55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65</v>
      </c>
      <c r="P1105" s="2">
        <f>E1105 - O1105</f>
        <v>-11</v>
      </c>
      <c r="Q1105" s="2">
        <f>ROUND(
  SIGN(P1105)*
  IF(ABS(P1105)&lt;=10,ABS(P1105)*0.5,
     IF(ABS(P1105)&lt;=15,5+(ABS(P1105)-10)*(1.67/5),
        6.67+(ABS(P1105)-15)*0.333)),
2)</f>
        <v>-5.33</v>
      </c>
    </row>
    <row r="1106" spans="1:17" ht="34.5" customHeight="1" x14ac:dyDescent="0.3">
      <c r="B1106" s="2">
        <v>1105</v>
      </c>
      <c r="C1106" s="13">
        <f>ROUND(MAX(MIN(N1106 + Q1106, 100), 0), 2)</f>
        <v>49.63</v>
      </c>
      <c r="D1106" s="2" t="s">
        <v>983</v>
      </c>
      <c r="E1106" s="2">
        <v>54</v>
      </c>
      <c r="F1106" s="7">
        <v>65</v>
      </c>
      <c r="G1106" s="7">
        <v>65</v>
      </c>
      <c r="H1106" s="2" t="s">
        <v>302</v>
      </c>
      <c r="I1106" s="2" t="s">
        <v>22</v>
      </c>
      <c r="J1106" s="3" t="s">
        <v>122</v>
      </c>
      <c r="M1106" s="2">
        <f>IF(J1106="1000+", 1000, (LEFT(J1106,FIND("-",J1106)-1)+RIGHT(J1106,LEN(J1106)-FIND("-",J1106)))/2)</f>
        <v>105</v>
      </c>
      <c r="N1106" s="2">
        <f>ROUND(E1106 * 0.7+F1106 * 0.2+G1106 * 0.1,2)</f>
        <v>57.3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72</v>
      </c>
      <c r="P1106" s="2">
        <f>E1106 - O1106</f>
        <v>-18</v>
      </c>
      <c r="Q1106" s="2">
        <f>ROUND(
  SIGN(P1106)*
  IF(ABS(P1106)&lt;=10,ABS(P1106)*0.5,
     IF(ABS(P1106)&lt;=15,5+(ABS(P1106)-10)*(1.67/5),
        6.67+(ABS(P1106)-15)*0.333)),
2)</f>
        <v>-7.67</v>
      </c>
    </row>
    <row r="1107" spans="1:17" ht="34.5" customHeight="1" x14ac:dyDescent="0.3">
      <c r="B1107" s="2">
        <v>1106</v>
      </c>
      <c r="C1107" s="13">
        <f>ROUND(MAX(MIN(N1107 + Q1107, 100), 0), 2)</f>
        <v>49.53</v>
      </c>
      <c r="D1107" s="2" t="s">
        <v>996</v>
      </c>
      <c r="E1107" s="2">
        <v>58</v>
      </c>
      <c r="F1107" s="7">
        <v>62</v>
      </c>
      <c r="G1107" s="7">
        <v>62</v>
      </c>
      <c r="H1107" s="2" t="s">
        <v>783</v>
      </c>
      <c r="I1107" s="2" t="s">
        <v>394</v>
      </c>
      <c r="J1107" s="3" t="s">
        <v>28</v>
      </c>
      <c r="M1107" s="2">
        <f>IF(J1107="1000+", 1000, (LEFT(J1107,FIND("-",J1107)-1)+RIGHT(J1107,LEN(J1107)-FIND("-",J1107)))/2)</f>
        <v>200</v>
      </c>
      <c r="N1107" s="2">
        <f>ROUND(E1107 * 0.7+F1107 * 0.2+G1107 * 0.1,2)</f>
        <v>59.2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82</v>
      </c>
      <c r="P1107" s="2">
        <f>E1107 - O1107</f>
        <v>-24</v>
      </c>
      <c r="Q1107" s="2">
        <f>ROUND(
  SIGN(P1107)*
  IF(ABS(P1107)&lt;=10,ABS(P1107)*0.5,
     IF(ABS(P1107)&lt;=15,5+(ABS(P1107)-10)*(1.67/5),
        6.67+(ABS(P1107)-15)*0.333)),
2)</f>
        <v>-9.67</v>
      </c>
    </row>
    <row r="1108" spans="1:17" ht="34.5" customHeight="1" x14ac:dyDescent="0.3">
      <c r="B1108" s="2">
        <v>1107</v>
      </c>
      <c r="C1108" s="13">
        <f>ROUND(MAX(MIN(N1108 + Q1108, 100), 0), 2)</f>
        <v>49.5</v>
      </c>
      <c r="D1108" s="2" t="s">
        <v>1047</v>
      </c>
      <c r="E1108" s="7">
        <v>60</v>
      </c>
      <c r="F1108" s="2">
        <v>45</v>
      </c>
      <c r="G1108" s="2">
        <v>35</v>
      </c>
      <c r="H1108" s="2" t="s">
        <v>48</v>
      </c>
      <c r="I1108" s="2" t="s">
        <v>637</v>
      </c>
      <c r="J1108" s="3" t="s">
        <v>18</v>
      </c>
      <c r="M1108" s="2">
        <f>IF(J1108="1000+", 1000, (LEFT(J1108,FIND("-",J1108)-1)+RIGHT(J1108,LEN(J1108)-FIND("-",J1108)))/2)</f>
        <v>75</v>
      </c>
      <c r="N1108" s="2">
        <f>ROUND(E1108 * 0.7+F1108 * 0.2+G1108 * 0.1,2)</f>
        <v>54.5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70</v>
      </c>
      <c r="P1108" s="2">
        <f>E1108 - O1108</f>
        <v>-10</v>
      </c>
      <c r="Q1108" s="2">
        <f>ROUND(
  SIGN(P1108)*
  IF(ABS(P1108)&lt;=10,ABS(P1108)*0.5,
     IF(ABS(P1108)&lt;=15,5+(ABS(P1108)-10)*(1.67/5),
        6.67+(ABS(P1108)-15)*0.333)),
2)</f>
        <v>-5</v>
      </c>
    </row>
    <row r="1109" spans="1:17" ht="34.5" customHeight="1" x14ac:dyDescent="0.3">
      <c r="B1109" s="2">
        <v>1108</v>
      </c>
      <c r="C1109" s="13">
        <f>ROUND(MAX(MIN(N1109 + Q1109, 100), 0), 2)</f>
        <v>49.5</v>
      </c>
      <c r="D1109" s="2" t="s">
        <v>1005</v>
      </c>
      <c r="E1109" s="2">
        <v>55</v>
      </c>
      <c r="F1109" s="2">
        <v>55</v>
      </c>
      <c r="G1109" s="2">
        <v>50</v>
      </c>
      <c r="H1109" s="2" t="s">
        <v>48</v>
      </c>
      <c r="I1109" s="2" t="s">
        <v>36</v>
      </c>
      <c r="J1109" s="3" t="s">
        <v>32</v>
      </c>
      <c r="M1109" s="2">
        <f>IF(J1109="1000+", 1000, (LEFT(J1109,FIND("-",J1109)-1)+RIGHT(J1109,LEN(J1109)-FIND("-",J1109)))/2)</f>
        <v>45</v>
      </c>
      <c r="N1109" s="2">
        <f>ROUND(E1109 * 0.7+F1109 * 0.2+G1109 * 0.1,2)</f>
        <v>54.5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65</v>
      </c>
      <c r="P1109" s="2">
        <f>E1109 - O1109</f>
        <v>-10</v>
      </c>
      <c r="Q1109" s="2">
        <f>ROUND(
  SIGN(P1109)*
  IF(ABS(P1109)&lt;=10,ABS(P1109)*0.5,
     IF(ABS(P1109)&lt;=15,5+(ABS(P1109)-10)*(1.67/5),
        6.67+(ABS(P1109)-15)*0.333)),
2)</f>
        <v>-5</v>
      </c>
    </row>
    <row r="1110" spans="1:17" ht="34.5" customHeight="1" x14ac:dyDescent="0.3">
      <c r="B1110" s="2">
        <v>1109</v>
      </c>
      <c r="C1110" s="13">
        <f>ROUND(MAX(MIN(N1110 + Q1110, 100), 0), 2)</f>
        <v>49.43</v>
      </c>
      <c r="D1110" s="2" t="s">
        <v>964</v>
      </c>
      <c r="E1110" s="2">
        <v>52</v>
      </c>
      <c r="F1110" s="5">
        <v>72</v>
      </c>
      <c r="G1110" s="7">
        <v>63</v>
      </c>
      <c r="H1110" s="2" t="s">
        <v>58</v>
      </c>
      <c r="I1110" s="2" t="s">
        <v>49</v>
      </c>
      <c r="J1110" s="3" t="s">
        <v>18</v>
      </c>
      <c r="M1110" s="2">
        <f>IF(J1110="1000+", 1000, (LEFT(J1110,FIND("-",J1110)-1)+RIGHT(J1110,LEN(J1110)-FIND("-",J1110)))/2)</f>
        <v>75</v>
      </c>
      <c r="N1110" s="2">
        <f>ROUND(E1110 * 0.7+F1110 * 0.2+G1110 * 0.1,2)</f>
        <v>57.1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70</v>
      </c>
      <c r="P1110" s="2">
        <f>E1110 - O1110</f>
        <v>-18</v>
      </c>
      <c r="Q1110" s="2">
        <f>ROUND(
  SIGN(P1110)*
  IF(ABS(P1110)&lt;=10,ABS(P1110)*0.5,
     IF(ABS(P1110)&lt;=15,5+(ABS(P1110)-10)*(1.67/5),
        6.67+(ABS(P1110)-15)*0.333)),
2)</f>
        <v>-7.67</v>
      </c>
    </row>
    <row r="1111" spans="1:17" ht="34.5" customHeight="1" x14ac:dyDescent="0.3">
      <c r="B1111" s="2">
        <v>1110</v>
      </c>
      <c r="C1111" s="13">
        <f>ROUND(MAX(MIN(N1111 + Q1111, 100), 0), 2)</f>
        <v>49.4</v>
      </c>
      <c r="D1111" s="2" t="s">
        <v>1066</v>
      </c>
      <c r="E1111" s="2">
        <v>55</v>
      </c>
      <c r="F1111" s="6">
        <v>86</v>
      </c>
      <c r="G1111" s="6">
        <v>87</v>
      </c>
      <c r="H1111" s="2" t="s">
        <v>31</v>
      </c>
      <c r="I1111" s="2" t="s">
        <v>79</v>
      </c>
      <c r="J1111" s="3" t="s">
        <v>50</v>
      </c>
      <c r="M1111" s="2">
        <f>IF(J1111="1000+", 1000, (LEFT(J1111,FIND("-",J1111)-1)+RIGHT(J1111,LEN(J1111)-FIND("-",J1111)))/2)</f>
        <v>1000</v>
      </c>
      <c r="N1111" s="2">
        <f>ROUND(E1111 * 0.7+F1111 * 0.2+G1111 * 0.1,2)</f>
        <v>64.400000000000006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95</v>
      </c>
      <c r="P1111" s="2">
        <f>E1111 - O1111</f>
        <v>-40</v>
      </c>
      <c r="Q1111" s="2">
        <f>ROUND(
  SIGN(P1111)*
  IF(ABS(P1111)&lt;=10,ABS(P1111)*0.5,
     IF(ABS(P1111)&lt;=15,5+(ABS(P1111)-10)*(1.67/5),
        6.67+(ABS(P1111)-15)*0.333)),
2)</f>
        <v>-15</v>
      </c>
    </row>
    <row r="1112" spans="1:17" ht="34.5" customHeight="1" x14ac:dyDescent="0.3">
      <c r="B1112" s="2">
        <v>1111</v>
      </c>
      <c r="C1112" s="13">
        <f>ROUND(MAX(MIN(N1112 + Q1112, 100), 0), 2)</f>
        <v>49.34</v>
      </c>
      <c r="D1112" s="2" t="s">
        <v>1062</v>
      </c>
      <c r="E1112" s="2">
        <v>57</v>
      </c>
      <c r="F1112" s="5">
        <v>75</v>
      </c>
      <c r="G1112" s="5">
        <v>71</v>
      </c>
      <c r="H1112" s="2" t="s">
        <v>61</v>
      </c>
      <c r="I1112" s="2" t="s">
        <v>79</v>
      </c>
      <c r="J1112" s="3" t="s">
        <v>42</v>
      </c>
      <c r="M1112" s="2">
        <f>IF(J1112="1000+", 1000, (LEFT(J1112,FIND("-",J1112)-1)+RIGHT(J1112,LEN(J1112)-FIND("-",J1112)))/2)</f>
        <v>600</v>
      </c>
      <c r="N1112" s="2">
        <f>ROUND(E1112 * 0.7+F1112 * 0.2+G1112 * 0.1,2)</f>
        <v>62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90</v>
      </c>
      <c r="P1112" s="2">
        <f>E1112 - O1112</f>
        <v>-33</v>
      </c>
      <c r="Q1112" s="2">
        <f>ROUND(
  SIGN(P1112)*
  IF(ABS(P1112)&lt;=10,ABS(P1112)*0.5,
     IF(ABS(P1112)&lt;=15,5+(ABS(P1112)-10)*(1.67/5),
        6.67+(ABS(P1112)-15)*0.333)),
2)</f>
        <v>-12.66</v>
      </c>
    </row>
    <row r="1113" spans="1:17" ht="34.5" customHeight="1" x14ac:dyDescent="0.3">
      <c r="B1113" s="2">
        <v>1112</v>
      </c>
      <c r="C1113" s="13">
        <f>ROUND(MAX(MIN(N1113 + Q1113, 100), 0), 2)</f>
        <v>49.3</v>
      </c>
      <c r="D1113" s="2" t="s">
        <v>1080</v>
      </c>
      <c r="E1113" s="2">
        <v>50</v>
      </c>
      <c r="F1113" s="2">
        <v>50</v>
      </c>
      <c r="G1113" s="2">
        <v>43</v>
      </c>
      <c r="H1113" s="2" t="s">
        <v>104</v>
      </c>
      <c r="I1113" s="2" t="s">
        <v>447</v>
      </c>
      <c r="J1113" s="3" t="s">
        <v>92</v>
      </c>
      <c r="M1113" s="2">
        <f>IF(J1113="1000+", 1000, (LEFT(J1113,FIND("-",J1113)-1)+RIGHT(J1113,LEN(J1113)-FIND("-",J1113)))/2)</f>
        <v>12.5</v>
      </c>
      <c r="N1113" s="2">
        <f>ROUND(E1113 * 0.7+F1113 * 0.2+G1113 * 0.1,2)</f>
        <v>49.3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50</v>
      </c>
      <c r="P1113" s="2">
        <f>E1113 - O1113</f>
        <v>0</v>
      </c>
      <c r="Q1113" s="2">
        <f>ROUND(
  SIGN(P1113)*
  IF(ABS(P1113)&lt;=10,ABS(P1113)*0.5,
     IF(ABS(P1113)&lt;=15,5+(ABS(P1113)-10)*(1.67/5),
        6.67+(ABS(P1113)-15)*0.333)),
2)</f>
        <v>0</v>
      </c>
    </row>
    <row r="1114" spans="1:17" ht="34.5" customHeight="1" x14ac:dyDescent="0.3">
      <c r="B1114" s="2">
        <v>1113</v>
      </c>
      <c r="C1114" s="13">
        <f>ROUND(MAX(MIN(N1114 + Q1114, 100), 0), 2)</f>
        <v>49.26</v>
      </c>
      <c r="D1114" s="2" t="s">
        <v>999</v>
      </c>
      <c r="E1114" s="2">
        <v>56</v>
      </c>
      <c r="F1114" s="2">
        <v>56</v>
      </c>
      <c r="G1114" s="2">
        <v>52</v>
      </c>
      <c r="H1114" s="2" t="s">
        <v>21</v>
      </c>
      <c r="I1114" s="2" t="s">
        <v>22</v>
      </c>
      <c r="J1114" s="3" t="s">
        <v>18</v>
      </c>
      <c r="M1114" s="2">
        <f>IF(J1114="1000+", 1000, (LEFT(J1114,FIND("-",J1114)-1)+RIGHT(J1114,LEN(J1114)-FIND("-",J1114)))/2)</f>
        <v>75</v>
      </c>
      <c r="N1114" s="2">
        <f>ROUND(E1114 * 0.7+F1114 * 0.2+G1114 * 0.1,2)</f>
        <v>55.6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70</v>
      </c>
      <c r="P1114" s="2">
        <f>E1114 - O1114</f>
        <v>-14</v>
      </c>
      <c r="Q1114" s="2">
        <f>ROUND(
  SIGN(P1114)*
  IF(ABS(P1114)&lt;=10,ABS(P1114)*0.5,
     IF(ABS(P1114)&lt;=15,5+(ABS(P1114)-10)*(1.67/5),
        6.67+(ABS(P1114)-15)*0.333)),
2)</f>
        <v>-6.34</v>
      </c>
    </row>
    <row r="1115" spans="1:17" ht="34.5" customHeight="1" x14ac:dyDescent="0.3">
      <c r="B1115" s="2">
        <v>1114</v>
      </c>
      <c r="C1115" s="13">
        <f>ROUND(MAX(MIN(N1115 + Q1115, 100), 0), 2)</f>
        <v>49.23</v>
      </c>
      <c r="D1115" s="2" t="s">
        <v>990</v>
      </c>
      <c r="E1115" s="2">
        <v>55</v>
      </c>
      <c r="F1115" s="2">
        <v>58</v>
      </c>
      <c r="G1115" s="2">
        <v>58</v>
      </c>
      <c r="H1115" s="2" t="s">
        <v>71</v>
      </c>
      <c r="I1115" s="2" t="s">
        <v>447</v>
      </c>
      <c r="J1115" s="3" t="s">
        <v>18</v>
      </c>
      <c r="M1115" s="2">
        <f>IF(J1115="1000+", 1000, (LEFT(J1115,FIND("-",J1115)-1)+RIGHT(J1115,LEN(J1115)-FIND("-",J1115)))/2)</f>
        <v>75</v>
      </c>
      <c r="N1115" s="2">
        <f>ROUND(E1115 * 0.7+F1115 * 0.2+G1115 * 0.1,2)</f>
        <v>55.9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70</v>
      </c>
      <c r="P1115" s="2">
        <f>E1115 - O1115</f>
        <v>-15</v>
      </c>
      <c r="Q1115" s="2">
        <f>ROUND(
  SIGN(P1115)*
  IF(ABS(P1115)&lt;=10,ABS(P1115)*0.5,
     IF(ABS(P1115)&lt;=15,5+(ABS(P1115)-10)*(1.67/5),
        6.67+(ABS(P1115)-15)*0.333)),
2)</f>
        <v>-6.67</v>
      </c>
    </row>
    <row r="1116" spans="1:17" ht="34.5" customHeight="1" x14ac:dyDescent="0.3">
      <c r="B1116" s="2">
        <v>1115</v>
      </c>
      <c r="C1116" s="13">
        <f>ROUND(MAX(MIN(N1116 + Q1116, 100), 0), 2)</f>
        <v>49.2</v>
      </c>
      <c r="D1116" s="2" t="s">
        <v>995</v>
      </c>
      <c r="E1116" s="2">
        <v>54</v>
      </c>
      <c r="F1116" s="2">
        <v>50</v>
      </c>
      <c r="G1116" s="2">
        <v>44</v>
      </c>
      <c r="H1116" s="2" t="s">
        <v>12</v>
      </c>
      <c r="I1116" s="2" t="s">
        <v>447</v>
      </c>
      <c r="J1116" s="3" t="s">
        <v>132</v>
      </c>
      <c r="M1116" s="2">
        <f>IF(J1116="1000+", 1000, (LEFT(J1116,FIND("-",J1116)-1)+RIGHT(J1116,LEN(J1116)-FIND("-",J1116)))/2)</f>
        <v>20</v>
      </c>
      <c r="N1116" s="2">
        <f>ROUND(E1116 * 0.7+F1116 * 0.2+G1116 * 0.1,2)</f>
        <v>52.2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60</v>
      </c>
      <c r="P1116" s="2">
        <f>E1116 - O1116</f>
        <v>-6</v>
      </c>
      <c r="Q1116" s="2">
        <f>ROUND(
  SIGN(P1116)*
  IF(ABS(P1116)&lt;=10,ABS(P1116)*0.5,
     IF(ABS(P1116)&lt;=15,5+(ABS(P1116)-10)*(1.67/5),
        6.67+(ABS(P1116)-15)*0.333)),
2)</f>
        <v>-3</v>
      </c>
    </row>
    <row r="1117" spans="1:17" ht="34.5" customHeight="1" x14ac:dyDescent="0.3">
      <c r="A1117" s="2">
        <v>2026</v>
      </c>
      <c r="B1117" s="2">
        <v>1116</v>
      </c>
      <c r="C1117" s="13">
        <f>ROUND(MAX(MIN(N1117 + Q1117, 100), 0), 2)</f>
        <v>49.2</v>
      </c>
      <c r="D1117" s="2" t="s">
        <v>1844</v>
      </c>
      <c r="E1117" s="2">
        <v>52</v>
      </c>
      <c r="F1117" s="2">
        <v>58</v>
      </c>
      <c r="G1117" s="2">
        <v>52</v>
      </c>
      <c r="H1117" s="2" t="s">
        <v>1856</v>
      </c>
      <c r="I1117" s="2" t="s">
        <v>36</v>
      </c>
      <c r="J1117" s="3" t="s">
        <v>1261</v>
      </c>
      <c r="M1117" s="2">
        <f>IF(J1117="1000+", 1000, (LEFT(J1117,FIND("-",J1117)-1)+RIGHT(J1117,LEN(J1117)-FIND("-",J1117)))/2)</f>
        <v>20</v>
      </c>
      <c r="N1117" s="2">
        <f>ROUND(E1117 * 0.7+F1117 * 0.2+G1117 * 0.1,2)</f>
        <v>53.2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60</v>
      </c>
      <c r="P1117" s="2">
        <f>E1117 - O1117</f>
        <v>-8</v>
      </c>
      <c r="Q1117" s="2">
        <f>ROUND(
  SIGN(P1117)*
  IF(ABS(P1117)&lt;=10,ABS(P1117)*0.5,
     IF(ABS(P1117)&lt;=15,5+(ABS(P1117)-10)*(1.67/5),
        6.67+(ABS(P1117)-15)*0.333)),
2)</f>
        <v>-4</v>
      </c>
    </row>
    <row r="1118" spans="1:17" ht="34.5" customHeight="1" x14ac:dyDescent="0.3">
      <c r="B1118" s="2">
        <v>1117</v>
      </c>
      <c r="C1118" s="13">
        <f>ROUND(MAX(MIN(N1118 + Q1118, 100), 0), 2)</f>
        <v>49</v>
      </c>
      <c r="D1118" s="2" t="s">
        <v>1031</v>
      </c>
      <c r="E1118" s="7">
        <v>61</v>
      </c>
      <c r="F1118" s="2">
        <v>54</v>
      </c>
      <c r="G1118" s="2">
        <v>35</v>
      </c>
      <c r="H1118" s="2" t="s">
        <v>624</v>
      </c>
      <c r="I1118" s="2" t="s">
        <v>1032</v>
      </c>
      <c r="J1118" s="3" t="s">
        <v>88</v>
      </c>
      <c r="M1118" s="2">
        <f>IF(J1118="1000+", 1000, (LEFT(J1118,FIND("-",J1118)-1)+RIGHT(J1118,LEN(J1118)-FIND("-",J1118)))/2)</f>
        <v>150</v>
      </c>
      <c r="N1118" s="2">
        <f>ROUND(E1118 * 0.7+F1118 * 0.2+G1118 * 0.1,2)</f>
        <v>57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80</v>
      </c>
      <c r="P1118" s="2">
        <f>E1118 - O1118</f>
        <v>-19</v>
      </c>
      <c r="Q1118" s="2">
        <f>ROUND(
  SIGN(P1118)*
  IF(ABS(P1118)&lt;=10,ABS(P1118)*0.5,
     IF(ABS(P1118)&lt;=15,5+(ABS(P1118)-10)*(1.67/5),
        6.67+(ABS(P1118)-15)*0.333)),
2)</f>
        <v>-8</v>
      </c>
    </row>
    <row r="1119" spans="1:17" ht="34.5" customHeight="1" x14ac:dyDescent="0.3">
      <c r="A1119" s="2">
        <v>2026</v>
      </c>
      <c r="B1119" s="2">
        <v>1118</v>
      </c>
      <c r="C1119" s="13">
        <f>ROUND(MAX(MIN(N1119 + Q1119, 100), 0), 2)</f>
        <v>49</v>
      </c>
      <c r="D1119" s="11" t="s">
        <v>1338</v>
      </c>
      <c r="E1119" s="2">
        <v>52</v>
      </c>
      <c r="F1119" s="7">
        <v>62</v>
      </c>
      <c r="G1119" s="2">
        <v>52</v>
      </c>
      <c r="H1119" s="11" t="s">
        <v>1256</v>
      </c>
      <c r="I1119" s="2" t="s">
        <v>36</v>
      </c>
      <c r="J1119" s="19" t="s">
        <v>1263</v>
      </c>
      <c r="M1119" s="2">
        <f>IF(J1119="1000+", 1000, (LEFT(J1119,FIND("-",J1119)-1)+RIGHT(J1119,LEN(J1119)-FIND("-",J1119)))/2)</f>
        <v>30</v>
      </c>
      <c r="N1119" s="2">
        <f>ROUND(E1119 * 0.7+F1119 * 0.2+G1119 * 0.1,2)</f>
        <v>54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62</v>
      </c>
      <c r="P1119" s="2">
        <f>E1119 - O1119</f>
        <v>-10</v>
      </c>
      <c r="Q1119" s="2">
        <f>ROUND(
  SIGN(P1119)*
  IF(ABS(P1119)&lt;=10,ABS(P1119)*0.5,
     IF(ABS(P1119)&lt;=15,5+(ABS(P1119)-10)*(1.67/5),
        6.67+(ABS(P1119)-15)*0.333)),
2)</f>
        <v>-5</v>
      </c>
    </row>
    <row r="1120" spans="1:17" ht="34.5" customHeight="1" x14ac:dyDescent="0.3">
      <c r="A1120" s="2">
        <v>2026</v>
      </c>
      <c r="B1120" s="2">
        <v>1119</v>
      </c>
      <c r="C1120" s="13">
        <f>ROUND(MAX(MIN(N1120 + Q1120, 100), 0), 2)</f>
        <v>49</v>
      </c>
      <c r="D1120" s="2" t="s">
        <v>2016</v>
      </c>
      <c r="E1120" s="2">
        <v>53</v>
      </c>
      <c r="F1120" s="2">
        <v>57</v>
      </c>
      <c r="G1120" s="2">
        <v>50</v>
      </c>
      <c r="H1120" s="2" t="s">
        <v>1256</v>
      </c>
      <c r="I1120" s="2" t="s">
        <v>36</v>
      </c>
      <c r="J1120" s="3" t="s">
        <v>1263</v>
      </c>
      <c r="M1120" s="2">
        <f>IF(J1120="1000+", 1000, (LEFT(J1120,FIND("-",J1120)-1)+RIGHT(J1120,LEN(J1120)-FIND("-",J1120)))/2)</f>
        <v>30</v>
      </c>
      <c r="N1120" s="2">
        <f>ROUND(E1120 * 0.7+F1120 * 0.2+G1120 * 0.1,2)</f>
        <v>53.5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62</v>
      </c>
      <c r="P1120" s="2">
        <f>E1120 - O1120</f>
        <v>-9</v>
      </c>
      <c r="Q1120" s="2">
        <f>ROUND(
  SIGN(P1120)*
  IF(ABS(P1120)&lt;=10,ABS(P1120)*0.5,
     IF(ABS(P1120)&lt;=15,5+(ABS(P1120)-10)*(1.67/5),
        6.67+(ABS(P1120)-15)*0.333)),
2)</f>
        <v>-4.5</v>
      </c>
    </row>
    <row r="1121" spans="1:17" ht="34.5" customHeight="1" x14ac:dyDescent="0.3">
      <c r="A1121" s="2">
        <v>2026</v>
      </c>
      <c r="B1121" s="2">
        <v>1120</v>
      </c>
      <c r="C1121" s="13">
        <f>ROUND(MAX(MIN(N1121 + Q1121, 100), 0), 2)</f>
        <v>49</v>
      </c>
      <c r="D1121" s="2" t="s">
        <v>2016</v>
      </c>
      <c r="E1121" s="2">
        <v>53</v>
      </c>
      <c r="F1121" s="2">
        <v>57</v>
      </c>
      <c r="G1121" s="2">
        <v>50</v>
      </c>
      <c r="H1121" s="2" t="s">
        <v>1256</v>
      </c>
      <c r="I1121" s="2" t="s">
        <v>36</v>
      </c>
      <c r="J1121" s="3" t="s">
        <v>1263</v>
      </c>
      <c r="M1121" s="2">
        <f>IF(J1121="1000+", 1000, (LEFT(J1121,FIND("-",J1121)-1)+RIGHT(J1121,LEN(J1121)-FIND("-",J1121)))/2)</f>
        <v>30</v>
      </c>
      <c r="N1121" s="2">
        <f>ROUND(E1121 * 0.7+F1121 * 0.2+G1121 * 0.1,2)</f>
        <v>53.5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62</v>
      </c>
      <c r="P1121" s="2">
        <f>E1121 - O1121</f>
        <v>-9</v>
      </c>
      <c r="Q1121" s="2">
        <f>ROUND(
  SIGN(P1121)*
  IF(ABS(P1121)&lt;=10,ABS(P1121)*0.5,
     IF(ABS(P1121)&lt;=15,5+(ABS(P1121)-10)*(1.67/5),
        6.67+(ABS(P1121)-15)*0.333)),
2)</f>
        <v>-4.5</v>
      </c>
    </row>
    <row r="1122" spans="1:17" ht="34.5" customHeight="1" x14ac:dyDescent="0.3">
      <c r="B1122" s="2">
        <v>1121</v>
      </c>
      <c r="C1122" s="13">
        <f>ROUND(MAX(MIN(N1122 + Q1122, 100), 0), 2)</f>
        <v>48.96</v>
      </c>
      <c r="D1122" s="2" t="s">
        <v>1026</v>
      </c>
      <c r="E1122" s="7">
        <v>60</v>
      </c>
      <c r="F1122" s="2">
        <v>59</v>
      </c>
      <c r="G1122" s="2">
        <v>35</v>
      </c>
      <c r="H1122" s="2" t="s">
        <v>322</v>
      </c>
      <c r="I1122" s="2" t="s">
        <v>72</v>
      </c>
      <c r="J1122" s="3" t="s">
        <v>88</v>
      </c>
      <c r="M1122" s="2">
        <f>IF(J1122="1000+", 1000, (LEFT(J1122,FIND("-",J1122)-1)+RIGHT(J1122,LEN(J1122)-FIND("-",J1122)))/2)</f>
        <v>150</v>
      </c>
      <c r="N1122" s="2">
        <f>ROUND(E1122 * 0.7+F1122 * 0.2+G1122 * 0.1,2)</f>
        <v>57.3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80</v>
      </c>
      <c r="P1122" s="2">
        <f>E1122 - O1122</f>
        <v>-20</v>
      </c>
      <c r="Q1122" s="2">
        <f>ROUND(
  SIGN(P1122)*
  IF(ABS(P1122)&lt;=10,ABS(P1122)*0.5,
     IF(ABS(P1122)&lt;=15,5+(ABS(P1122)-10)*(1.67/5),
        6.67+(ABS(P1122)-15)*0.333)),
2)</f>
        <v>-8.34</v>
      </c>
    </row>
    <row r="1123" spans="1:17" ht="34.5" customHeight="1" x14ac:dyDescent="0.3">
      <c r="B1123" s="2">
        <v>1122</v>
      </c>
      <c r="C1123" s="13">
        <f>ROUND(MAX(MIN(N1123 + Q1123, 100), 0), 2)</f>
        <v>48.9</v>
      </c>
      <c r="D1123" s="2" t="s">
        <v>1018</v>
      </c>
      <c r="E1123" s="2">
        <v>50</v>
      </c>
      <c r="F1123" s="2">
        <v>55</v>
      </c>
      <c r="G1123" s="2">
        <v>54</v>
      </c>
      <c r="H1123" s="2" t="s">
        <v>206</v>
      </c>
      <c r="I1123" s="2" t="s">
        <v>36</v>
      </c>
      <c r="J1123" s="3" t="s">
        <v>37</v>
      </c>
      <c r="M1123" s="2">
        <f>IF(J1123="1000+", 1000, (LEFT(J1123,FIND("-",J1123)-1)+RIGHT(J1123,LEN(J1123)-FIND("-",J1123)))/2)</f>
        <v>15</v>
      </c>
      <c r="N1123" s="2">
        <f>ROUND(E1123 * 0.7+F1123 * 0.2+G1123 * 0.1,2)</f>
        <v>51.4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55</v>
      </c>
      <c r="P1123" s="2">
        <f>E1123 - O1123</f>
        <v>-5</v>
      </c>
      <c r="Q1123" s="2">
        <f>ROUND(
  SIGN(P1123)*
  IF(ABS(P1123)&lt;=10,ABS(P1123)*0.5,
     IF(ABS(P1123)&lt;=15,5+(ABS(P1123)-10)*(1.67/5),
        6.67+(ABS(P1123)-15)*0.333)),
2)</f>
        <v>-2.5</v>
      </c>
    </row>
    <row r="1124" spans="1:17" ht="34.5" customHeight="1" x14ac:dyDescent="0.3">
      <c r="B1124" s="2">
        <v>1123</v>
      </c>
      <c r="C1124" s="13">
        <f>ROUND(MAX(MIN(N1124 + Q1124, 100), 0), 2)</f>
        <v>48.9</v>
      </c>
      <c r="D1124" s="2" t="s">
        <v>947</v>
      </c>
      <c r="E1124" s="2">
        <v>51</v>
      </c>
      <c r="F1124" s="6">
        <v>89</v>
      </c>
      <c r="G1124" s="5">
        <v>74</v>
      </c>
      <c r="H1124" s="2" t="s">
        <v>53</v>
      </c>
      <c r="I1124" s="2" t="s">
        <v>79</v>
      </c>
      <c r="J1124" s="3" t="s">
        <v>28</v>
      </c>
      <c r="M1124" s="2">
        <f>IF(J1124="1000+", 1000, (LEFT(J1124,FIND("-",J1124)-1)+RIGHT(J1124,LEN(J1124)-FIND("-",J1124)))/2)</f>
        <v>200</v>
      </c>
      <c r="N1124" s="2">
        <f>ROUND(E1124 * 0.7+F1124 * 0.2+G1124 * 0.1,2)</f>
        <v>60.9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82</v>
      </c>
      <c r="P1124" s="2">
        <f>E1124 - O1124</f>
        <v>-31</v>
      </c>
      <c r="Q1124" s="2">
        <f>ROUND(
  SIGN(P1124)*
  IF(ABS(P1124)&lt;=10,ABS(P1124)*0.5,
     IF(ABS(P1124)&lt;=15,5+(ABS(P1124)-10)*(1.67/5),
        6.67+(ABS(P1124)-15)*0.333)),
2)</f>
        <v>-12</v>
      </c>
    </row>
    <row r="1125" spans="1:17" ht="34.5" customHeight="1" x14ac:dyDescent="0.3">
      <c r="B1125" s="2">
        <v>1124</v>
      </c>
      <c r="C1125" s="13">
        <f>ROUND(MAX(MIN(N1125 + Q1125, 100), 0), 2)</f>
        <v>48.77</v>
      </c>
      <c r="D1125" s="2" t="s">
        <v>967</v>
      </c>
      <c r="E1125" s="2">
        <v>53</v>
      </c>
      <c r="F1125" s="5">
        <v>75</v>
      </c>
      <c r="G1125" s="6">
        <v>80</v>
      </c>
      <c r="H1125" s="2" t="s">
        <v>968</v>
      </c>
      <c r="I1125" s="2" t="s">
        <v>382</v>
      </c>
      <c r="J1125" s="3" t="s">
        <v>28</v>
      </c>
      <c r="M1125" s="2">
        <f>IF(J1125="1000+", 1000, (LEFT(J1125,FIND("-",J1125)-1)+RIGHT(J1125,LEN(J1125)-FIND("-",J1125)))/2)</f>
        <v>200</v>
      </c>
      <c r="N1125" s="2">
        <f>ROUND(E1125 * 0.7+F1125 * 0.2+G1125 * 0.1,2)</f>
        <v>60.1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82</v>
      </c>
      <c r="P1125" s="2">
        <f>E1125 - O1125</f>
        <v>-29</v>
      </c>
      <c r="Q1125" s="2">
        <f>ROUND(
  SIGN(P1125)*
  IF(ABS(P1125)&lt;=10,ABS(P1125)*0.5,
     IF(ABS(P1125)&lt;=15,5+(ABS(P1125)-10)*(1.67/5),
        6.67+(ABS(P1125)-15)*0.333)),
2)</f>
        <v>-11.33</v>
      </c>
    </row>
    <row r="1126" spans="1:17" ht="34.5" customHeight="1" x14ac:dyDescent="0.3">
      <c r="B1126" s="2">
        <v>1125</v>
      </c>
      <c r="C1126" s="13">
        <f>ROUND(MAX(MIN(N1126 + Q1126, 100), 0), 2)</f>
        <v>48.7</v>
      </c>
      <c r="D1126" s="2" t="s">
        <v>1096</v>
      </c>
      <c r="E1126" s="7">
        <v>62</v>
      </c>
      <c r="F1126" s="2">
        <v>40</v>
      </c>
      <c r="G1126" s="2">
        <v>33</v>
      </c>
      <c r="H1126" s="2" t="s">
        <v>135</v>
      </c>
      <c r="I1126" s="2" t="s">
        <v>36</v>
      </c>
      <c r="J1126" s="3" t="s">
        <v>140</v>
      </c>
      <c r="M1126" s="2">
        <f>IF(J1126="1000+", 1000, (LEFT(J1126,FIND("-",J1126)-1)+RIGHT(J1126,LEN(J1126)-FIND("-",J1126)))/2)</f>
        <v>115</v>
      </c>
      <c r="N1126" s="2">
        <f>ROUND(E1126 * 0.7+F1126 * 0.2+G1126 * 0.1,2)</f>
        <v>54.7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75</v>
      </c>
      <c r="P1126" s="2">
        <f>E1126 - O1126</f>
        <v>-13</v>
      </c>
      <c r="Q1126" s="2">
        <f>ROUND(
  SIGN(P1126)*
  IF(ABS(P1126)&lt;=10,ABS(P1126)*0.5,
     IF(ABS(P1126)&lt;=15,5+(ABS(P1126)-10)*(1.67/5),
        6.67+(ABS(P1126)-15)*0.333)),
2)</f>
        <v>-6</v>
      </c>
    </row>
    <row r="1127" spans="1:17" ht="34.5" customHeight="1" x14ac:dyDescent="0.3">
      <c r="B1127" s="2">
        <v>1126</v>
      </c>
      <c r="C1127" s="13">
        <f>ROUND(MAX(MIN(N1127 + Q1127, 100), 0), 2)</f>
        <v>48.7</v>
      </c>
      <c r="D1127" s="2" t="s">
        <v>1011</v>
      </c>
      <c r="E1127" s="2">
        <v>53</v>
      </c>
      <c r="F1127" s="2">
        <v>58</v>
      </c>
      <c r="G1127" s="4">
        <v>90</v>
      </c>
      <c r="H1127" s="2" t="s">
        <v>71</v>
      </c>
      <c r="I1127" s="2" t="s">
        <v>72</v>
      </c>
      <c r="J1127" s="3" t="s">
        <v>140</v>
      </c>
      <c r="M1127" s="2">
        <f>IF(J1127="1000+", 1000, (LEFT(J1127,FIND("-",J1127)-1)+RIGHT(J1127,LEN(J1127)-FIND("-",J1127)))/2)</f>
        <v>115</v>
      </c>
      <c r="N1127" s="2">
        <f>ROUND(E1127 * 0.7+F1127 * 0.2+G1127 * 0.1,2)</f>
        <v>57.7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75</v>
      </c>
      <c r="P1127" s="2">
        <f>E1127 - O1127</f>
        <v>-22</v>
      </c>
      <c r="Q1127" s="2">
        <f>ROUND(
  SIGN(P1127)*
  IF(ABS(P1127)&lt;=10,ABS(P1127)*0.5,
     IF(ABS(P1127)&lt;=15,5+(ABS(P1127)-10)*(1.67/5),
        6.67+(ABS(P1127)-15)*0.333)),
2)</f>
        <v>-9</v>
      </c>
    </row>
    <row r="1128" spans="1:17" ht="34.5" customHeight="1" x14ac:dyDescent="0.3">
      <c r="B1128" s="2">
        <v>1127</v>
      </c>
      <c r="C1128" s="13">
        <f>ROUND(MAX(MIN(N1128 + Q1128, 100), 0), 2)</f>
        <v>48.66</v>
      </c>
      <c r="D1128" s="2" t="s">
        <v>1017</v>
      </c>
      <c r="E1128" s="2">
        <v>56</v>
      </c>
      <c r="F1128" s="2">
        <v>54</v>
      </c>
      <c r="G1128" s="2">
        <v>50</v>
      </c>
      <c r="H1128" s="2" t="s">
        <v>490</v>
      </c>
      <c r="I1128" s="2" t="s">
        <v>72</v>
      </c>
      <c r="J1128" s="3" t="s">
        <v>18</v>
      </c>
      <c r="M1128" s="2">
        <f>IF(J1128="1000+", 1000, (LEFT(J1128,FIND("-",J1128)-1)+RIGHT(J1128,LEN(J1128)-FIND("-",J1128)))/2)</f>
        <v>75</v>
      </c>
      <c r="N1128" s="2">
        <f>ROUND(E1128 * 0.7+F1128 * 0.2+G1128 * 0.1,2)</f>
        <v>55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70</v>
      </c>
      <c r="P1128" s="2">
        <f>E1128 - O1128</f>
        <v>-14</v>
      </c>
      <c r="Q1128" s="2">
        <f>ROUND(
  SIGN(P1128)*
  IF(ABS(P1128)&lt;=10,ABS(P1128)*0.5,
     IF(ABS(P1128)&lt;=15,5+(ABS(P1128)-10)*(1.67/5),
        6.67+(ABS(P1128)-15)*0.333)),
2)</f>
        <v>-6.34</v>
      </c>
    </row>
    <row r="1129" spans="1:17" ht="34.5" customHeight="1" x14ac:dyDescent="0.3">
      <c r="B1129" s="2">
        <v>1128</v>
      </c>
      <c r="C1129" s="13">
        <f>ROUND(MAX(MIN(N1129 + Q1129, 100), 0), 2)</f>
        <v>48.66</v>
      </c>
      <c r="D1129" s="2" t="s">
        <v>1024</v>
      </c>
      <c r="E1129" s="2">
        <v>55</v>
      </c>
      <c r="F1129" s="7">
        <v>66</v>
      </c>
      <c r="G1129" s="2">
        <v>53</v>
      </c>
      <c r="H1129" s="2" t="s">
        <v>163</v>
      </c>
      <c r="I1129" s="2" t="s">
        <v>218</v>
      </c>
      <c r="J1129" s="3" t="s">
        <v>140</v>
      </c>
      <c r="M1129" s="2">
        <f>IF(J1129="1000+", 1000, (LEFT(J1129,FIND("-",J1129)-1)+RIGHT(J1129,LEN(J1129)-FIND("-",J1129)))/2)</f>
        <v>115</v>
      </c>
      <c r="N1129" s="2">
        <f>ROUND(E1129 * 0.7+F1129 * 0.2+G1129 * 0.1,2)</f>
        <v>57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75</v>
      </c>
      <c r="P1129" s="2">
        <f>E1129 - O1129</f>
        <v>-20</v>
      </c>
      <c r="Q1129" s="2">
        <f>ROUND(
  SIGN(P1129)*
  IF(ABS(P1129)&lt;=10,ABS(P1129)*0.5,
     IF(ABS(P1129)&lt;=15,5+(ABS(P1129)-10)*(1.67/5),
        6.67+(ABS(P1129)-15)*0.333)),
2)</f>
        <v>-8.34</v>
      </c>
    </row>
    <row r="1130" spans="1:17" ht="34.5" customHeight="1" x14ac:dyDescent="0.3">
      <c r="B1130" s="2">
        <v>1129</v>
      </c>
      <c r="C1130" s="13">
        <f>ROUND(MAX(MIN(N1130 + Q1130, 100), 0), 2)</f>
        <v>48.63</v>
      </c>
      <c r="D1130" s="2" t="s">
        <v>1039</v>
      </c>
      <c r="E1130" s="2">
        <v>57</v>
      </c>
      <c r="F1130" s="2">
        <v>58</v>
      </c>
      <c r="G1130" s="2">
        <v>48</v>
      </c>
      <c r="H1130" s="2" t="s">
        <v>12</v>
      </c>
      <c r="I1130" s="2" t="s">
        <v>183</v>
      </c>
      <c r="J1130" s="3" t="s">
        <v>140</v>
      </c>
      <c r="M1130" s="2">
        <f>IF(J1130="1000+", 1000, (LEFT(J1130,FIND("-",J1130)-1)+RIGHT(J1130,LEN(J1130)-FIND("-",J1130)))/2)</f>
        <v>115</v>
      </c>
      <c r="N1130" s="2">
        <f>ROUND(E1130 * 0.7+F1130 * 0.2+G1130 * 0.1,2)</f>
        <v>56.3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75</v>
      </c>
      <c r="P1130" s="2">
        <f>E1130 - O1130</f>
        <v>-18</v>
      </c>
      <c r="Q1130" s="2">
        <f>ROUND(
  SIGN(P1130)*
  IF(ABS(P1130)&lt;=10,ABS(P1130)*0.5,
     IF(ABS(P1130)&lt;=15,5+(ABS(P1130)-10)*(1.67/5),
        6.67+(ABS(P1130)-15)*0.333)),
2)</f>
        <v>-7.67</v>
      </c>
    </row>
    <row r="1131" spans="1:17" ht="34.5" customHeight="1" x14ac:dyDescent="0.3">
      <c r="B1131" s="2">
        <v>1130</v>
      </c>
      <c r="C1131" s="13">
        <f>ROUND(MAX(MIN(N1131 + Q1131, 100), 0), 2)</f>
        <v>48.6</v>
      </c>
      <c r="D1131" s="2" t="s">
        <v>1021</v>
      </c>
      <c r="E1131" s="2">
        <v>53</v>
      </c>
      <c r="F1131" s="2">
        <v>50</v>
      </c>
      <c r="G1131" s="2">
        <v>50</v>
      </c>
      <c r="H1131" s="2" t="s">
        <v>104</v>
      </c>
      <c r="I1131" s="2" t="s">
        <v>447</v>
      </c>
      <c r="J1131" s="3" t="s">
        <v>132</v>
      </c>
      <c r="M1131" s="2">
        <f>IF(J1131="1000+", 1000, (LEFT(J1131,FIND("-",J1131)-1)+RIGHT(J1131,LEN(J1131)-FIND("-",J1131)))/2)</f>
        <v>20</v>
      </c>
      <c r="N1131" s="2">
        <f>ROUND(E1131 * 0.7+F1131 * 0.2+G1131 * 0.1,2)</f>
        <v>52.1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60</v>
      </c>
      <c r="P1131" s="2">
        <f>E1131 - O1131</f>
        <v>-7</v>
      </c>
      <c r="Q1131" s="2">
        <f>ROUND(
  SIGN(P1131)*
  IF(ABS(P1131)&lt;=10,ABS(P1131)*0.5,
     IF(ABS(P1131)&lt;=15,5+(ABS(P1131)-10)*(1.67/5),
        6.67+(ABS(P1131)-15)*0.333)),
2)</f>
        <v>-3.5</v>
      </c>
    </row>
    <row r="1132" spans="1:17" ht="34.5" customHeight="1" x14ac:dyDescent="0.3">
      <c r="B1132" s="2">
        <v>1131</v>
      </c>
      <c r="C1132" s="13">
        <f>ROUND(MAX(MIN(N1132 + Q1132, 100), 0), 2)</f>
        <v>48.6</v>
      </c>
      <c r="D1132" s="2" t="s">
        <v>1000</v>
      </c>
      <c r="E1132" s="2">
        <v>53</v>
      </c>
      <c r="F1132" s="2">
        <v>54</v>
      </c>
      <c r="G1132" s="2">
        <v>52</v>
      </c>
      <c r="H1132" s="2" t="s">
        <v>48</v>
      </c>
      <c r="I1132" s="2" t="s">
        <v>36</v>
      </c>
      <c r="J1132" s="3" t="s">
        <v>146</v>
      </c>
      <c r="M1132" s="2">
        <f>IF(J1132="1000+", 1000, (LEFT(J1132,FIND("-",J1132)-1)+RIGHT(J1132,LEN(J1132)-FIND("-",J1132)))/2)</f>
        <v>30</v>
      </c>
      <c r="N1132" s="2">
        <f>ROUND(E1132 * 0.7+F1132 * 0.2+G1132 * 0.1,2)</f>
        <v>53.1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62</v>
      </c>
      <c r="P1132" s="2">
        <f>E1132 - O1132</f>
        <v>-9</v>
      </c>
      <c r="Q1132" s="2">
        <f>ROUND(
  SIGN(P1132)*
  IF(ABS(P1132)&lt;=10,ABS(P1132)*0.5,
     IF(ABS(P1132)&lt;=15,5+(ABS(P1132)-10)*(1.67/5),
        6.67+(ABS(P1132)-15)*0.333)),
2)</f>
        <v>-4.5</v>
      </c>
    </row>
    <row r="1133" spans="1:17" ht="34.5" customHeight="1" x14ac:dyDescent="0.3">
      <c r="B1133" s="2">
        <v>1132</v>
      </c>
      <c r="C1133" s="13">
        <f>ROUND(MAX(MIN(N1133 + Q1133, 100), 0), 2)</f>
        <v>48.6</v>
      </c>
      <c r="D1133" s="2" t="s">
        <v>989</v>
      </c>
      <c r="E1133" s="2">
        <v>51</v>
      </c>
      <c r="F1133" s="7">
        <v>67</v>
      </c>
      <c r="G1133" s="2">
        <v>40</v>
      </c>
      <c r="H1133" s="2" t="s">
        <v>104</v>
      </c>
      <c r="I1133" s="2" t="s">
        <v>36</v>
      </c>
      <c r="J1133" s="3" t="s">
        <v>132</v>
      </c>
      <c r="M1133" s="2">
        <f>IF(J1133="1000+", 1000, (LEFT(J1133,FIND("-",J1133)-1)+RIGHT(J1133,LEN(J1133)-FIND("-",J1133)))/2)</f>
        <v>20</v>
      </c>
      <c r="N1133" s="2">
        <f>ROUND(E1133 * 0.7+F1133 * 0.2+G1133 * 0.1,2)</f>
        <v>53.1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60</v>
      </c>
      <c r="P1133" s="2">
        <f>E1133 - O1133</f>
        <v>-9</v>
      </c>
      <c r="Q1133" s="2">
        <f>ROUND(
  SIGN(P1133)*
  IF(ABS(P1133)&lt;=10,ABS(P1133)*0.5,
     IF(ABS(P1133)&lt;=15,5+(ABS(P1133)-10)*(1.67/5),
        6.67+(ABS(P1133)-15)*0.333)),
2)</f>
        <v>-4.5</v>
      </c>
    </row>
    <row r="1134" spans="1:17" ht="34.5" customHeight="1" x14ac:dyDescent="0.3">
      <c r="A1134" s="2">
        <v>2026</v>
      </c>
      <c r="B1134" s="2">
        <v>1133</v>
      </c>
      <c r="C1134" s="13">
        <f>ROUND(MAX(MIN(N1134 + Q1134, 100), 0), 2)</f>
        <v>48.57</v>
      </c>
      <c r="D1134" s="11" t="s">
        <v>1269</v>
      </c>
      <c r="E1134" s="2">
        <v>51</v>
      </c>
      <c r="F1134" s="7">
        <v>64</v>
      </c>
      <c r="G1134" s="2">
        <v>54</v>
      </c>
      <c r="H1134" s="11" t="s">
        <v>1256</v>
      </c>
      <c r="I1134" s="2" t="s">
        <v>36</v>
      </c>
      <c r="J1134" s="19" t="s">
        <v>1263</v>
      </c>
      <c r="M1134" s="2">
        <f>IF(J1134="1000+", 1000, (LEFT(J1134,FIND("-",J1134)-1)+RIGHT(J1134,LEN(J1134)-FIND("-",J1134)))/2)</f>
        <v>30</v>
      </c>
      <c r="N1134" s="2">
        <f>ROUND(E1134 * 0.7+F1134 * 0.2+G1134 * 0.1,2)</f>
        <v>53.9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62</v>
      </c>
      <c r="P1134" s="2">
        <f>E1134 - O1134</f>
        <v>-11</v>
      </c>
      <c r="Q1134" s="2">
        <f>ROUND(
  SIGN(P1134)*
  IF(ABS(P1134)&lt;=10,ABS(P1134)*0.5,
     IF(ABS(P1134)&lt;=15,5+(ABS(P1134)-10)*(1.67/5),
        6.67+(ABS(P1134)-15)*0.333)),
2)</f>
        <v>-5.33</v>
      </c>
    </row>
    <row r="1135" spans="1:17" ht="34.5" customHeight="1" x14ac:dyDescent="0.3">
      <c r="B1135" s="2">
        <v>1134</v>
      </c>
      <c r="C1135" s="13">
        <f>ROUND(MAX(MIN(N1135 + Q1135, 100), 0), 2)</f>
        <v>48.5</v>
      </c>
      <c r="D1135" s="2" t="s">
        <v>1006</v>
      </c>
      <c r="E1135" s="2">
        <v>52</v>
      </c>
      <c r="F1135" s="7">
        <v>65</v>
      </c>
      <c r="G1135" s="2">
        <v>51</v>
      </c>
      <c r="H1135" s="2" t="s">
        <v>12</v>
      </c>
      <c r="I1135" s="2" t="s">
        <v>36</v>
      </c>
      <c r="J1135" s="3" t="s">
        <v>32</v>
      </c>
      <c r="M1135" s="2">
        <f>IF(J1135="1000+", 1000, (LEFT(J1135,FIND("-",J1135)-1)+RIGHT(J1135,LEN(J1135)-FIND("-",J1135)))/2)</f>
        <v>45</v>
      </c>
      <c r="N1135" s="2">
        <f>ROUND(E1135 * 0.7+F1135 * 0.2+G1135 * 0.1,2)</f>
        <v>54.5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65</v>
      </c>
      <c r="P1135" s="2">
        <f>E1135 - O1135</f>
        <v>-13</v>
      </c>
      <c r="Q1135" s="2">
        <f>ROUND(
  SIGN(P1135)*
  IF(ABS(P1135)&lt;=10,ABS(P1135)*0.5,
     IF(ABS(P1135)&lt;=15,5+(ABS(P1135)-10)*(1.67/5),
        6.67+(ABS(P1135)-15)*0.333)),
2)</f>
        <v>-6</v>
      </c>
    </row>
    <row r="1136" spans="1:17" ht="34.5" customHeight="1" x14ac:dyDescent="0.3">
      <c r="A1136" s="2">
        <v>2026</v>
      </c>
      <c r="B1136" s="2">
        <v>1135</v>
      </c>
      <c r="C1136" s="13">
        <f>ROUND(MAX(MIN(N1136 + Q1136, 100), 0), 2)</f>
        <v>48.4</v>
      </c>
      <c r="D1136" s="2" t="s">
        <v>1466</v>
      </c>
      <c r="E1136" s="2">
        <v>52</v>
      </c>
      <c r="F1136" s="2">
        <v>56</v>
      </c>
      <c r="G1136" s="2">
        <v>48</v>
      </c>
      <c r="H1136" s="2" t="s">
        <v>1474</v>
      </c>
      <c r="I1136" s="2" t="s">
        <v>36</v>
      </c>
      <c r="J1136" s="3" t="s">
        <v>1479</v>
      </c>
      <c r="M1136" s="2">
        <f>IF(J1136="1000+", 1000, (LEFT(J1136,FIND("-",J1136)-1)+RIGHT(J1136,LEN(J1136)-FIND("-",J1136)))/2)</f>
        <v>20</v>
      </c>
      <c r="N1136" s="2">
        <f>ROUND(E1136 * 0.7+F1136 * 0.2+G1136 * 0.1,2)</f>
        <v>52.4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60</v>
      </c>
      <c r="P1136" s="2">
        <f>E1136 - O1136</f>
        <v>-8</v>
      </c>
      <c r="Q1136" s="2">
        <f>ROUND(
  SIGN(P1136)*
  IF(ABS(P1136)&lt;=10,ABS(P1136)*0.5,
     IF(ABS(P1136)&lt;=15,5+(ABS(P1136)-10)*(1.67/5),
        6.67+(ABS(P1136)-15)*0.333)),
2)</f>
        <v>-4</v>
      </c>
    </row>
    <row r="1137" spans="1:17" ht="34.5" customHeight="1" x14ac:dyDescent="0.3">
      <c r="B1137" s="2">
        <v>1136</v>
      </c>
      <c r="C1137" s="13">
        <f>ROUND(MAX(MIN(N1137 + Q1137, 100), 0), 2)</f>
        <v>48.37</v>
      </c>
      <c r="D1137" s="2" t="s">
        <v>1013</v>
      </c>
      <c r="E1137" s="2">
        <v>56</v>
      </c>
      <c r="F1137" s="7">
        <v>65</v>
      </c>
      <c r="G1137" s="5">
        <v>75</v>
      </c>
      <c r="H1137" s="2" t="s">
        <v>87</v>
      </c>
      <c r="I1137" s="2" t="s">
        <v>79</v>
      </c>
      <c r="J1137" s="3" t="s">
        <v>14</v>
      </c>
      <c r="M1137" s="2">
        <f>IF(J1137="1000+", 1000, (LEFT(J1137,FIND("-",J1137)-1)+RIGHT(J1137,LEN(J1137)-FIND("-",J1137)))/2)</f>
        <v>225</v>
      </c>
      <c r="N1137" s="2">
        <f>ROUND(E1137 * 0.7+F1137 * 0.2+G1137 * 0.1,2)</f>
        <v>59.7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85</v>
      </c>
      <c r="P1137" s="2">
        <f>E1137 - O1137</f>
        <v>-29</v>
      </c>
      <c r="Q1137" s="2">
        <f>ROUND(
  SIGN(P1137)*
  IF(ABS(P1137)&lt;=10,ABS(P1137)*0.5,
     IF(ABS(P1137)&lt;=15,5+(ABS(P1137)-10)*(1.67/5),
        6.67+(ABS(P1137)-15)*0.333)),
2)</f>
        <v>-11.33</v>
      </c>
    </row>
    <row r="1138" spans="1:17" ht="34.5" customHeight="1" x14ac:dyDescent="0.3">
      <c r="A1138" s="2">
        <v>2026</v>
      </c>
      <c r="B1138" s="2">
        <v>1137</v>
      </c>
      <c r="C1138" s="13">
        <f>ROUND(MAX(MIN(N1138 + Q1138, 100), 0), 2)</f>
        <v>48.33</v>
      </c>
      <c r="D1138" s="11" t="s">
        <v>1328</v>
      </c>
      <c r="E1138" s="2">
        <v>55</v>
      </c>
      <c r="F1138" s="7">
        <v>60</v>
      </c>
      <c r="G1138" s="2">
        <v>45</v>
      </c>
      <c r="H1138" s="11" t="s">
        <v>1333</v>
      </c>
      <c r="I1138" s="11" t="s">
        <v>1259</v>
      </c>
      <c r="J1138" s="19" t="s">
        <v>1264</v>
      </c>
      <c r="M1138" s="2">
        <f>IF(J1138="1000+", 1000, (LEFT(J1138,FIND("-",J1138)-1)+RIGHT(J1138,LEN(J1138)-FIND("-",J1138)))/2)</f>
        <v>75</v>
      </c>
      <c r="N1138" s="2">
        <f>ROUND(E1138 * 0.7+F1138 * 0.2+G1138 * 0.1,2)</f>
        <v>55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70</v>
      </c>
      <c r="P1138" s="2">
        <f>E1138 - O1138</f>
        <v>-15</v>
      </c>
      <c r="Q1138" s="2">
        <f>ROUND(
  SIGN(P1138)*
  IF(ABS(P1138)&lt;=10,ABS(P1138)*0.5,
     IF(ABS(P1138)&lt;=15,5+(ABS(P1138)-10)*(1.67/5),
        6.67+(ABS(P1138)-15)*0.333)),
2)</f>
        <v>-6.67</v>
      </c>
    </row>
    <row r="1139" spans="1:17" ht="34.5" customHeight="1" x14ac:dyDescent="0.3">
      <c r="B1139" s="2">
        <v>1138</v>
      </c>
      <c r="C1139" s="13">
        <f>ROUND(MAX(MIN(N1139 + Q1139, 100), 0), 2)</f>
        <v>48.33</v>
      </c>
      <c r="D1139" s="2" t="s">
        <v>1016</v>
      </c>
      <c r="E1139" s="2">
        <v>56</v>
      </c>
      <c r="F1139" s="7">
        <v>61</v>
      </c>
      <c r="G1139" s="7">
        <v>66</v>
      </c>
      <c r="H1139" s="2" t="s">
        <v>197</v>
      </c>
      <c r="I1139" s="2" t="s">
        <v>228</v>
      </c>
      <c r="J1139" s="3" t="s">
        <v>88</v>
      </c>
      <c r="M1139" s="2">
        <f>IF(J1139="1000+", 1000, (LEFT(J1139,FIND("-",J1139)-1)+RIGHT(J1139,LEN(J1139)-FIND("-",J1139)))/2)</f>
        <v>150</v>
      </c>
      <c r="N1139" s="2">
        <f>ROUND(E1139 * 0.7+F1139 * 0.2+G1139 * 0.1,2)</f>
        <v>58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80</v>
      </c>
      <c r="P1139" s="2">
        <f>E1139 - O1139</f>
        <v>-24</v>
      </c>
      <c r="Q1139" s="2">
        <f>ROUND(
  SIGN(P1139)*
  IF(ABS(P1139)&lt;=10,ABS(P1139)*0.5,
     IF(ABS(P1139)&lt;=15,5+(ABS(P1139)-10)*(1.67/5),
        6.67+(ABS(P1139)-15)*0.333)),
2)</f>
        <v>-9.67</v>
      </c>
    </row>
    <row r="1140" spans="1:17" ht="34.5" customHeight="1" x14ac:dyDescent="0.3">
      <c r="B1140" s="2">
        <v>1139</v>
      </c>
      <c r="C1140" s="13">
        <f>ROUND(MAX(MIN(N1140 + Q1140, 100), 0), 2)</f>
        <v>48.3</v>
      </c>
      <c r="D1140" s="2" t="s">
        <v>1093</v>
      </c>
      <c r="E1140" s="2">
        <v>50</v>
      </c>
      <c r="F1140" s="2">
        <v>50</v>
      </c>
      <c r="G1140" s="2">
        <v>33</v>
      </c>
      <c r="H1140" s="2" t="s">
        <v>104</v>
      </c>
      <c r="I1140" s="2" t="s">
        <v>447</v>
      </c>
      <c r="J1140" s="3" t="s">
        <v>1574</v>
      </c>
      <c r="M1140" s="2">
        <f>IF(J1140="1000+", 1000, (LEFT(J1140,FIND("-",J1140)-1)+RIGHT(J1140,LEN(J1140)-FIND("-",J1140)))/2)</f>
        <v>12.5</v>
      </c>
      <c r="N1140" s="2">
        <f>ROUND(E1140 * 0.7+F1140 * 0.2+G1140 * 0.1,2)</f>
        <v>48.3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50</v>
      </c>
      <c r="P1140" s="2">
        <f>E1140 - O1140</f>
        <v>0</v>
      </c>
      <c r="Q1140" s="2">
        <f>ROUND(
  SIGN(P1140)*
  IF(ABS(P1140)&lt;=10,ABS(P1140)*0.5,
     IF(ABS(P1140)&lt;=15,5+(ABS(P1140)-10)*(1.67/5),
        6.67+(ABS(P1140)-15)*0.333)),
2)</f>
        <v>0</v>
      </c>
    </row>
    <row r="1141" spans="1:17" ht="34.5" customHeight="1" x14ac:dyDescent="0.3">
      <c r="A1141" s="2">
        <v>2026</v>
      </c>
      <c r="B1141" s="2">
        <v>1140</v>
      </c>
      <c r="C1141" s="13">
        <f>ROUND(MAX(MIN(N1141 + Q1141, 100), 0), 2)</f>
        <v>48.3</v>
      </c>
      <c r="D1141" s="11" t="s">
        <v>1308</v>
      </c>
      <c r="E1141" s="2">
        <v>54</v>
      </c>
      <c r="F1141" s="2">
        <v>50</v>
      </c>
      <c r="G1141" s="2">
        <v>45</v>
      </c>
      <c r="H1141" s="11" t="s">
        <v>1257</v>
      </c>
      <c r="I1141" s="11" t="s">
        <v>1288</v>
      </c>
      <c r="J1141" s="19" t="s">
        <v>1263</v>
      </c>
      <c r="M1141" s="2">
        <f>IF(J1141="1000+", 1000, (LEFT(J1141,FIND("-",J1141)-1)+RIGHT(J1141,LEN(J1141)-FIND("-",J1141)))/2)</f>
        <v>30</v>
      </c>
      <c r="N1141" s="2">
        <f>ROUND(E1141 * 0.7+F1141 * 0.2+G1141 * 0.1,2)</f>
        <v>52.3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62</v>
      </c>
      <c r="P1141" s="2">
        <f>E1141 - O1141</f>
        <v>-8</v>
      </c>
      <c r="Q1141" s="2">
        <f>ROUND(
  SIGN(P1141)*
  IF(ABS(P1141)&lt;=10,ABS(P1141)*0.5,
     IF(ABS(P1141)&lt;=15,5+(ABS(P1141)-10)*(1.67/5),
        6.67+(ABS(P1141)-15)*0.333)),
2)</f>
        <v>-4</v>
      </c>
    </row>
    <row r="1142" spans="1:17" ht="34.5" customHeight="1" x14ac:dyDescent="0.3">
      <c r="B1142" s="2">
        <v>1141</v>
      </c>
      <c r="C1142" s="13">
        <f>ROUND(MAX(MIN(N1142 + Q1142, 100), 0), 2)</f>
        <v>48.27</v>
      </c>
      <c r="D1142" s="2" t="s">
        <v>966</v>
      </c>
      <c r="E1142" s="2">
        <v>53</v>
      </c>
      <c r="F1142" s="6">
        <v>84</v>
      </c>
      <c r="G1142" s="7">
        <v>67</v>
      </c>
      <c r="H1142" s="2" t="s">
        <v>31</v>
      </c>
      <c r="I1142" s="2" t="s">
        <v>119</v>
      </c>
      <c r="J1142" s="3" t="s">
        <v>14</v>
      </c>
      <c r="M1142" s="2">
        <f>IF(J1142="1000+", 1000, (LEFT(J1142,FIND("-",J1142)-1)+RIGHT(J1142,LEN(J1142)-FIND("-",J1142)))/2)</f>
        <v>225</v>
      </c>
      <c r="N1142" s="2">
        <f>ROUND(E1142 * 0.7+F1142 * 0.2+G1142 * 0.1,2)</f>
        <v>60.6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85</v>
      </c>
      <c r="P1142" s="2">
        <f>E1142 - O1142</f>
        <v>-32</v>
      </c>
      <c r="Q1142" s="2">
        <f>ROUND(
  SIGN(P1142)*
  IF(ABS(P1142)&lt;=10,ABS(P1142)*0.5,
     IF(ABS(P1142)&lt;=15,5+(ABS(P1142)-10)*(1.67/5),
        6.67+(ABS(P1142)-15)*0.333)),
2)</f>
        <v>-12.33</v>
      </c>
    </row>
    <row r="1143" spans="1:17" ht="34.5" customHeight="1" x14ac:dyDescent="0.3">
      <c r="B1143" s="2">
        <v>1142</v>
      </c>
      <c r="C1143" s="13">
        <f>ROUND(MAX(MIN(N1143 + Q1143, 100), 0), 2)</f>
        <v>48.2</v>
      </c>
      <c r="D1143" s="2" t="s">
        <v>1107</v>
      </c>
      <c r="E1143" s="2">
        <v>50</v>
      </c>
      <c r="F1143" s="2">
        <v>50</v>
      </c>
      <c r="G1143" s="2">
        <v>32</v>
      </c>
      <c r="H1143" s="2" t="s">
        <v>104</v>
      </c>
      <c r="I1143" s="2" t="s">
        <v>447</v>
      </c>
      <c r="J1143" s="3" t="s">
        <v>92</v>
      </c>
      <c r="M1143" s="2">
        <f>IF(J1143="1000+", 1000, (LEFT(J1143,FIND("-",J1143)-1)+RIGHT(J1143,LEN(J1143)-FIND("-",J1143)))/2)</f>
        <v>12.5</v>
      </c>
      <c r="N1143" s="2">
        <f>ROUND(E1143 * 0.7+F1143 * 0.2+G1143 * 0.1,2)</f>
        <v>48.2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50</v>
      </c>
      <c r="P1143" s="2">
        <f>E1143 - O1143</f>
        <v>0</v>
      </c>
      <c r="Q1143" s="2">
        <f>ROUND(
  SIGN(P1143)*
  IF(ABS(P1143)&lt;=10,ABS(P1143)*0.5,
     IF(ABS(P1143)&lt;=15,5+(ABS(P1143)-10)*(1.67/5),
        6.67+(ABS(P1143)-15)*0.333)),
2)</f>
        <v>0</v>
      </c>
    </row>
    <row r="1144" spans="1:17" ht="34.5" customHeight="1" x14ac:dyDescent="0.3">
      <c r="A1144" s="2">
        <v>2026</v>
      </c>
      <c r="B1144" s="2">
        <v>1143</v>
      </c>
      <c r="C1144" s="13">
        <f>ROUND(MAX(MIN(N1144 + Q1144, 100), 0), 2)</f>
        <v>48.17</v>
      </c>
      <c r="D1144" s="2" t="s">
        <v>1990</v>
      </c>
      <c r="E1144" s="2">
        <v>54</v>
      </c>
      <c r="F1144" s="2">
        <v>59</v>
      </c>
      <c r="G1144" s="2">
        <v>39</v>
      </c>
      <c r="H1144" s="2" t="s">
        <v>1994</v>
      </c>
      <c r="I1144" s="2" t="s">
        <v>22</v>
      </c>
      <c r="J1144" s="3" t="s">
        <v>1262</v>
      </c>
      <c r="M1144" s="2">
        <f>IF(J1144="1000+", 1000, (LEFT(J1144,FIND("-",J1144)-1)+RIGHT(J1144,LEN(J1144)-FIND("-",J1144)))/2)</f>
        <v>45</v>
      </c>
      <c r="N1144" s="2">
        <f>ROUND(E1144 * 0.7+F1144 * 0.2+G1144 * 0.1,2)</f>
        <v>53.5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65</v>
      </c>
      <c r="P1144" s="2">
        <f>E1144 - O1144</f>
        <v>-11</v>
      </c>
      <c r="Q1144" s="2">
        <f>ROUND(
  SIGN(P1144)*
  IF(ABS(P1144)&lt;=10,ABS(P1144)*0.5,
     IF(ABS(P1144)&lt;=15,5+(ABS(P1144)-10)*(1.67/5),
        6.67+(ABS(P1144)-15)*0.333)),
2)</f>
        <v>-5.33</v>
      </c>
    </row>
    <row r="1145" spans="1:17" ht="34.5" customHeight="1" x14ac:dyDescent="0.3">
      <c r="A1145" s="2">
        <v>2026</v>
      </c>
      <c r="B1145" s="2">
        <v>1144</v>
      </c>
      <c r="C1145" s="13">
        <f>ROUND(MAX(MIN(N1145 + Q1145, 100), 0), 2)</f>
        <v>48.13</v>
      </c>
      <c r="D1145" s="2" t="s">
        <v>2030</v>
      </c>
      <c r="E1145" s="2">
        <v>55</v>
      </c>
      <c r="F1145" s="2">
        <v>55</v>
      </c>
      <c r="G1145" s="2">
        <v>53</v>
      </c>
      <c r="H1145" s="2" t="s">
        <v>1256</v>
      </c>
      <c r="I1145" s="2" t="s">
        <v>1276</v>
      </c>
      <c r="J1145" s="3" t="s">
        <v>1264</v>
      </c>
      <c r="M1145" s="2">
        <f>IF(J1145="1000+", 1000, (LEFT(J1145,FIND("-",J1145)-1)+RIGHT(J1145,LEN(J1145)-FIND("-",J1145)))/2)</f>
        <v>75</v>
      </c>
      <c r="N1145" s="2">
        <f>ROUND(E1145 * 0.7+F1145 * 0.2+G1145 * 0.1,2)</f>
        <v>54.8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70</v>
      </c>
      <c r="P1145" s="2">
        <f>E1145 - O1145</f>
        <v>-15</v>
      </c>
      <c r="Q1145" s="2">
        <f>ROUND(
  SIGN(P1145)*
  IF(ABS(P1145)&lt;=10,ABS(P1145)*0.5,
     IF(ABS(P1145)&lt;=15,5+(ABS(P1145)-10)*(1.67/5),
        6.67+(ABS(P1145)-15)*0.333)),
2)</f>
        <v>-6.67</v>
      </c>
    </row>
    <row r="1146" spans="1:17" ht="34.5" customHeight="1" x14ac:dyDescent="0.3">
      <c r="B1146" s="2">
        <v>1145</v>
      </c>
      <c r="C1146" s="13">
        <f>ROUND(MAX(MIN(N1146 + Q1146, 100), 0), 2)</f>
        <v>48.1</v>
      </c>
      <c r="D1146" s="2" t="s">
        <v>1043</v>
      </c>
      <c r="E1146" s="2">
        <v>53</v>
      </c>
      <c r="F1146" s="2">
        <v>50</v>
      </c>
      <c r="G1146" s="2">
        <v>45</v>
      </c>
      <c r="H1146" s="2" t="s">
        <v>31</v>
      </c>
      <c r="I1146" s="2" t="s">
        <v>447</v>
      </c>
      <c r="J1146" s="3" t="s">
        <v>132</v>
      </c>
      <c r="M1146" s="2">
        <f>IF(J1146="1000+", 1000, (LEFT(J1146,FIND("-",J1146)-1)+RIGHT(J1146,LEN(J1146)-FIND("-",J1146)))/2)</f>
        <v>20</v>
      </c>
      <c r="N1146" s="2">
        <f>ROUND(E1146 * 0.7+F1146 * 0.2+G1146 * 0.1,2)</f>
        <v>51.6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60</v>
      </c>
      <c r="P1146" s="2">
        <f>E1146 - O1146</f>
        <v>-7</v>
      </c>
      <c r="Q1146" s="2">
        <f>ROUND(
  SIGN(P1146)*
  IF(ABS(P1146)&lt;=10,ABS(P1146)*0.5,
     IF(ABS(P1146)&lt;=15,5+(ABS(P1146)-10)*(1.67/5),
        6.67+(ABS(P1146)-15)*0.333)),
2)</f>
        <v>-3.5</v>
      </c>
    </row>
    <row r="1147" spans="1:17" ht="34.5" customHeight="1" x14ac:dyDescent="0.3">
      <c r="B1147" s="2">
        <v>1146</v>
      </c>
      <c r="C1147" s="13">
        <f>ROUND(MAX(MIN(N1147 + Q1147, 100), 0), 2)</f>
        <v>48.1</v>
      </c>
      <c r="D1147" s="2" t="s">
        <v>1014</v>
      </c>
      <c r="E1147" s="2">
        <v>52</v>
      </c>
      <c r="F1147" s="2">
        <v>55</v>
      </c>
      <c r="G1147" s="7">
        <v>67</v>
      </c>
      <c r="H1147" s="2" t="s">
        <v>75</v>
      </c>
      <c r="I1147" s="2" t="s">
        <v>72</v>
      </c>
      <c r="J1147" s="3" t="s">
        <v>32</v>
      </c>
      <c r="M1147" s="2">
        <f>IF(J1147="1000+", 1000, (LEFT(J1147,FIND("-",J1147)-1)+RIGHT(J1147,LEN(J1147)-FIND("-",J1147)))/2)</f>
        <v>45</v>
      </c>
      <c r="N1147" s="2">
        <f>ROUND(E1147 * 0.7+F1147 * 0.2+G1147 * 0.1,2)</f>
        <v>54.1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65</v>
      </c>
      <c r="P1147" s="2">
        <f>E1147 - O1147</f>
        <v>-13</v>
      </c>
      <c r="Q1147" s="2">
        <f>ROUND(
  SIGN(P1147)*
  IF(ABS(P1147)&lt;=10,ABS(P1147)*0.5,
     IF(ABS(P1147)&lt;=15,5+(ABS(P1147)-10)*(1.67/5),
        6.67+(ABS(P1147)-15)*0.333)),
2)</f>
        <v>-6</v>
      </c>
    </row>
    <row r="1148" spans="1:17" ht="34.5" customHeight="1" x14ac:dyDescent="0.3">
      <c r="B1148" s="2">
        <v>1147</v>
      </c>
      <c r="C1148" s="13">
        <f>ROUND(MAX(MIN(N1148 + Q1148, 100), 0), 2)</f>
        <v>48</v>
      </c>
      <c r="D1148" s="2" t="s">
        <v>1089</v>
      </c>
      <c r="E1148" s="7">
        <v>60</v>
      </c>
      <c r="F1148" s="2">
        <v>40</v>
      </c>
      <c r="G1148" s="2">
        <v>30</v>
      </c>
      <c r="H1148" s="2" t="s">
        <v>104</v>
      </c>
      <c r="I1148" s="2" t="s">
        <v>157</v>
      </c>
      <c r="J1148" s="3" t="s">
        <v>18</v>
      </c>
      <c r="M1148" s="2">
        <f>IF(J1148="1000+", 1000, (LEFT(J1148,FIND("-",J1148)-1)+RIGHT(J1148,LEN(J1148)-FIND("-",J1148)))/2)</f>
        <v>75</v>
      </c>
      <c r="N1148" s="2">
        <f>ROUND(E1148 * 0.7+F1148 * 0.2+G1148 * 0.1,2)</f>
        <v>53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70</v>
      </c>
      <c r="P1148" s="2">
        <f>E1148 - O1148</f>
        <v>-10</v>
      </c>
      <c r="Q1148" s="2">
        <f>ROUND(
  SIGN(P1148)*
  IF(ABS(P1148)&lt;=10,ABS(P1148)*0.5,
     IF(ABS(P1148)&lt;=15,5+(ABS(P1148)-10)*(1.67/5),
        6.67+(ABS(P1148)-15)*0.333)),
2)</f>
        <v>-5</v>
      </c>
    </row>
    <row r="1149" spans="1:17" ht="34.5" customHeight="1" x14ac:dyDescent="0.3">
      <c r="B1149" s="2">
        <v>1148</v>
      </c>
      <c r="C1149" s="13">
        <f>ROUND(MAX(MIN(N1149 + Q1149, 100), 0), 2)</f>
        <v>48</v>
      </c>
      <c r="D1149" s="2" t="s">
        <v>1100</v>
      </c>
      <c r="E1149" s="2">
        <v>50</v>
      </c>
      <c r="F1149" s="2">
        <v>50</v>
      </c>
      <c r="G1149" s="2">
        <v>30</v>
      </c>
      <c r="H1149" s="2" t="s">
        <v>31</v>
      </c>
      <c r="I1149" s="2" t="s">
        <v>72</v>
      </c>
      <c r="J1149" s="3" t="s">
        <v>92</v>
      </c>
      <c r="M1149" s="2">
        <f>IF(J1149="1000+", 1000, (LEFT(J1149,FIND("-",J1149)-1)+RIGHT(J1149,LEN(J1149)-FIND("-",J1149)))/2)</f>
        <v>12.5</v>
      </c>
      <c r="N1149" s="2">
        <f>ROUND(E1149 * 0.7+F1149 * 0.2+G1149 * 0.1,2)</f>
        <v>48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50</v>
      </c>
      <c r="P1149" s="2">
        <f>E1149 - O1149</f>
        <v>0</v>
      </c>
      <c r="Q1149" s="2">
        <f>ROUND(
  SIGN(P1149)*
  IF(ABS(P1149)&lt;=10,ABS(P1149)*0.5,
     IF(ABS(P1149)&lt;=15,5+(ABS(P1149)-10)*(1.67/5),
        6.67+(ABS(P1149)-15)*0.333)),
2)</f>
        <v>0</v>
      </c>
    </row>
    <row r="1150" spans="1:17" ht="34.5" customHeight="1" x14ac:dyDescent="0.3">
      <c r="B1150" s="2">
        <v>1149</v>
      </c>
      <c r="C1150" s="13">
        <f>ROUND(MAX(MIN(N1150 + Q1150, 100), 0), 2)</f>
        <v>48</v>
      </c>
      <c r="D1150" s="2" t="s">
        <v>1033</v>
      </c>
      <c r="E1150" s="2">
        <v>55</v>
      </c>
      <c r="F1150" s="2">
        <v>50</v>
      </c>
      <c r="G1150" s="2">
        <v>45</v>
      </c>
      <c r="H1150" s="2" t="s">
        <v>48</v>
      </c>
      <c r="I1150" s="2" t="s">
        <v>72</v>
      </c>
      <c r="J1150" s="3" t="s">
        <v>32</v>
      </c>
      <c r="M1150" s="2">
        <f>IF(J1150="1000+", 1000, (LEFT(J1150,FIND("-",J1150)-1)+RIGHT(J1150,LEN(J1150)-FIND("-",J1150)))/2)</f>
        <v>45</v>
      </c>
      <c r="N1150" s="2">
        <f>ROUND(E1150 * 0.7+F1150 * 0.2+G1150 * 0.1,2)</f>
        <v>53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65</v>
      </c>
      <c r="P1150" s="2">
        <f>E1150 - O1150</f>
        <v>-10</v>
      </c>
      <c r="Q1150" s="2">
        <f>ROUND(
  SIGN(P1150)*
  IF(ABS(P1150)&lt;=10,ABS(P1150)*0.5,
     IF(ABS(P1150)&lt;=15,5+(ABS(P1150)-10)*(1.67/5),
        6.67+(ABS(P1150)-15)*0.333)),
2)</f>
        <v>-5</v>
      </c>
    </row>
    <row r="1151" spans="1:17" ht="34.5" customHeight="1" x14ac:dyDescent="0.3">
      <c r="A1151" s="2">
        <v>2026</v>
      </c>
      <c r="B1151" s="2">
        <v>1150</v>
      </c>
      <c r="C1151" s="13">
        <f>ROUND(MAX(MIN(N1151 + Q1151, 100), 0), 2)</f>
        <v>48</v>
      </c>
      <c r="D1151" s="2" t="s">
        <v>1363</v>
      </c>
      <c r="E1151" s="2">
        <v>52</v>
      </c>
      <c r="F1151" s="7">
        <v>68</v>
      </c>
      <c r="G1151" s="2">
        <v>50</v>
      </c>
      <c r="H1151" s="2" t="s">
        <v>1256</v>
      </c>
      <c r="I1151" s="2" t="s">
        <v>1353</v>
      </c>
      <c r="J1151" s="3" t="s">
        <v>1302</v>
      </c>
      <c r="M1151" s="2">
        <f>IF(J1151="1000+", 1000, (LEFT(J1151,FIND("-",J1151)-1)+RIGHT(J1151,LEN(J1151)-FIND("-",J1151)))/2)</f>
        <v>60</v>
      </c>
      <c r="N1151" s="2">
        <f>ROUND(E1151 * 0.7+F1151 * 0.2+G1151 * 0.1,2)</f>
        <v>55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68</v>
      </c>
      <c r="P1151" s="2">
        <f>E1151 - O1151</f>
        <v>-16</v>
      </c>
      <c r="Q1151" s="2">
        <f>ROUND(
  SIGN(P1151)*
  IF(ABS(P1151)&lt;=10,ABS(P1151)*0.5,
     IF(ABS(P1151)&lt;=15,5+(ABS(P1151)-10)*(1.67/5),
        6.67+(ABS(P1151)-15)*0.333)),
2)</f>
        <v>-7</v>
      </c>
    </row>
    <row r="1152" spans="1:17" ht="34.5" customHeight="1" x14ac:dyDescent="0.3">
      <c r="B1152" s="2">
        <v>1151</v>
      </c>
      <c r="C1152" s="13">
        <f>ROUND(MAX(MIN(N1152 + Q1152, 100), 0), 2)</f>
        <v>47.93</v>
      </c>
      <c r="D1152" s="2" t="s">
        <v>1022</v>
      </c>
      <c r="E1152" s="2">
        <v>53</v>
      </c>
      <c r="F1152" s="2">
        <v>58</v>
      </c>
      <c r="G1152" s="2">
        <v>59</v>
      </c>
      <c r="H1152" s="2" t="s">
        <v>31</v>
      </c>
      <c r="I1152" s="2" t="s">
        <v>22</v>
      </c>
      <c r="J1152" s="3" t="s">
        <v>23</v>
      </c>
      <c r="M1152" s="2">
        <f>IF(J1152="1000+", 1000, (LEFT(J1152,FIND("-",J1152)-1)+RIGHT(J1152,LEN(J1152)-FIND("-",J1152)))/2)</f>
        <v>60</v>
      </c>
      <c r="N1152" s="2">
        <f>ROUND(E1152 * 0.7+F1152 * 0.2+G1152 * 0.1,2)</f>
        <v>54.6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68</v>
      </c>
      <c r="P1152" s="2">
        <f>E1152 - O1152</f>
        <v>-15</v>
      </c>
      <c r="Q1152" s="2">
        <f>ROUND(
  SIGN(P1152)*
  IF(ABS(P1152)&lt;=10,ABS(P1152)*0.5,
     IF(ABS(P1152)&lt;=15,5+(ABS(P1152)-10)*(1.67/5),
        6.67+(ABS(P1152)-15)*0.333)),
2)</f>
        <v>-6.67</v>
      </c>
    </row>
    <row r="1153" spans="1:17" ht="34.5" customHeight="1" x14ac:dyDescent="0.3">
      <c r="B1153" s="2">
        <v>1152</v>
      </c>
      <c r="C1153" s="13">
        <f>ROUND(MAX(MIN(N1153 + Q1153, 100), 0), 2)</f>
        <v>47.93</v>
      </c>
      <c r="D1153" s="2" t="s">
        <v>1002</v>
      </c>
      <c r="E1153" s="2">
        <v>52</v>
      </c>
      <c r="F1153" s="7">
        <v>65</v>
      </c>
      <c r="G1153" s="7">
        <v>62</v>
      </c>
      <c r="H1153" s="2" t="s">
        <v>135</v>
      </c>
      <c r="I1153" s="2" t="s">
        <v>49</v>
      </c>
      <c r="J1153" s="3" t="s">
        <v>18</v>
      </c>
      <c r="M1153" s="2">
        <f>IF(J1153="1000+", 1000, (LEFT(J1153,FIND("-",J1153)-1)+RIGHT(J1153,LEN(J1153)-FIND("-",J1153)))/2)</f>
        <v>75</v>
      </c>
      <c r="N1153" s="2">
        <f>ROUND(E1153 * 0.7+F1153 * 0.2+G1153 * 0.1,2)</f>
        <v>55.6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70</v>
      </c>
      <c r="P1153" s="2">
        <f>E1153 - O1153</f>
        <v>-18</v>
      </c>
      <c r="Q1153" s="2">
        <f>ROUND(
  SIGN(P1153)*
  IF(ABS(P1153)&lt;=10,ABS(P1153)*0.5,
     IF(ABS(P1153)&lt;=15,5+(ABS(P1153)-10)*(1.67/5),
        6.67+(ABS(P1153)-15)*0.333)),
2)</f>
        <v>-7.67</v>
      </c>
    </row>
    <row r="1154" spans="1:17" ht="34.5" customHeight="1" x14ac:dyDescent="0.3">
      <c r="B1154" s="2">
        <v>1153</v>
      </c>
      <c r="C1154" s="13">
        <f>ROUND(MAX(MIN(N1154 + Q1154, 100), 0), 2)</f>
        <v>47.9</v>
      </c>
      <c r="D1154" s="2" t="s">
        <v>1102</v>
      </c>
      <c r="E1154" s="7">
        <v>61</v>
      </c>
      <c r="F1154" s="2">
        <v>32</v>
      </c>
      <c r="G1154" s="2">
        <v>33</v>
      </c>
      <c r="H1154" s="2" t="s">
        <v>206</v>
      </c>
      <c r="I1154" s="2" t="s">
        <v>154</v>
      </c>
      <c r="J1154" s="3" t="s">
        <v>18</v>
      </c>
      <c r="M1154" s="2">
        <f>IF(J1154="1000+", 1000, (LEFT(J1154,FIND("-",J1154)-1)+RIGHT(J1154,LEN(J1154)-FIND("-",J1154)))/2)</f>
        <v>75</v>
      </c>
      <c r="N1154" s="2">
        <f>ROUND(E1154 * 0.7+F1154 * 0.2+G1154 * 0.1,2)</f>
        <v>52.4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70</v>
      </c>
      <c r="P1154" s="2">
        <f>E1154 - O1154</f>
        <v>-9</v>
      </c>
      <c r="Q1154" s="2">
        <f>ROUND(
  SIGN(P1154)*
  IF(ABS(P1154)&lt;=10,ABS(P1154)*0.5,
     IF(ABS(P1154)&lt;=15,5+(ABS(P1154)-10)*(1.67/5),
        6.67+(ABS(P1154)-15)*0.333)),
2)</f>
        <v>-4.5</v>
      </c>
    </row>
    <row r="1155" spans="1:17" ht="34.5" customHeight="1" x14ac:dyDescent="0.3">
      <c r="A1155" s="2">
        <v>2026</v>
      </c>
      <c r="B1155" s="2">
        <v>1154</v>
      </c>
      <c r="C1155" s="13">
        <f>ROUND(MAX(MIN(N1155 + Q1155, 100), 0), 2)</f>
        <v>47.9</v>
      </c>
      <c r="D1155" s="2" t="s">
        <v>1880</v>
      </c>
      <c r="E1155" s="2">
        <v>48</v>
      </c>
      <c r="F1155" s="7">
        <v>60</v>
      </c>
      <c r="G1155" s="2">
        <v>33</v>
      </c>
      <c r="H1155" s="2" t="s">
        <v>1896</v>
      </c>
      <c r="I1155" s="2" t="s">
        <v>36</v>
      </c>
      <c r="J1155" s="3" t="s">
        <v>1574</v>
      </c>
      <c r="M1155" s="2">
        <f>IF(J1155="1000+", 1000, (LEFT(J1155,FIND("-",J1155)-1)+RIGHT(J1155,LEN(J1155)-FIND("-",J1155)))/2)</f>
        <v>12.5</v>
      </c>
      <c r="N1155" s="2">
        <f>ROUND(E1155 * 0.7+F1155 * 0.2+G1155 * 0.1,2)</f>
        <v>48.9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50</v>
      </c>
      <c r="P1155" s="2">
        <f>E1155 - O1155</f>
        <v>-2</v>
      </c>
      <c r="Q1155" s="2">
        <f>ROUND(
  SIGN(P1155)*
  IF(ABS(P1155)&lt;=10,ABS(P1155)*0.5,
     IF(ABS(P1155)&lt;=15,5+(ABS(P1155)-10)*(1.67/5),
        6.67+(ABS(P1155)-15)*0.333)),
2)</f>
        <v>-1</v>
      </c>
    </row>
    <row r="1156" spans="1:17" ht="34.5" customHeight="1" x14ac:dyDescent="0.3">
      <c r="B1156" s="2">
        <v>1155</v>
      </c>
      <c r="C1156" s="13">
        <f>ROUND(MAX(MIN(N1156 + Q1156, 100), 0), 2)</f>
        <v>47.9</v>
      </c>
      <c r="D1156" s="2" t="s">
        <v>1010</v>
      </c>
      <c r="E1156" s="2">
        <v>52</v>
      </c>
      <c r="F1156" s="2">
        <v>59</v>
      </c>
      <c r="G1156" s="2">
        <v>47</v>
      </c>
      <c r="H1156" s="2" t="s">
        <v>31</v>
      </c>
      <c r="I1156" s="2" t="s">
        <v>36</v>
      </c>
      <c r="J1156" s="3" t="s">
        <v>146</v>
      </c>
      <c r="M1156" s="2">
        <f>IF(J1156="1000+", 1000, (LEFT(J1156,FIND("-",J1156)-1)+RIGHT(J1156,LEN(J1156)-FIND("-",J1156)))/2)</f>
        <v>30</v>
      </c>
      <c r="N1156" s="2">
        <f>ROUND(E1156 * 0.7+F1156 * 0.2+G1156 * 0.1,2)</f>
        <v>52.9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62</v>
      </c>
      <c r="P1156" s="2">
        <f>E1156 - O1156</f>
        <v>-10</v>
      </c>
      <c r="Q1156" s="2">
        <f>ROUND(
  SIGN(P1156)*
  IF(ABS(P1156)&lt;=10,ABS(P1156)*0.5,
     IF(ABS(P1156)&lt;=15,5+(ABS(P1156)-10)*(1.67/5),
        6.67+(ABS(P1156)-15)*0.333)),
2)</f>
        <v>-5</v>
      </c>
    </row>
    <row r="1157" spans="1:17" ht="34.5" customHeight="1" x14ac:dyDescent="0.3">
      <c r="B1157" s="2">
        <v>1156</v>
      </c>
      <c r="C1157" s="13">
        <f>ROUND(MAX(MIN(N1157 + Q1157, 100), 0), 2)</f>
        <v>47.87</v>
      </c>
      <c r="D1157" s="2" t="s">
        <v>1012</v>
      </c>
      <c r="E1157" s="2">
        <v>54</v>
      </c>
      <c r="F1157" s="7">
        <v>68</v>
      </c>
      <c r="G1157" s="7">
        <v>68</v>
      </c>
      <c r="H1157" s="2" t="s">
        <v>743</v>
      </c>
      <c r="I1157" s="2" t="s">
        <v>22</v>
      </c>
      <c r="J1157" s="3" t="s">
        <v>88</v>
      </c>
      <c r="M1157" s="2">
        <f>IF(J1157="1000+", 1000, (LEFT(J1157,FIND("-",J1157)-1)+RIGHT(J1157,LEN(J1157)-FIND("-",J1157)))/2)</f>
        <v>150</v>
      </c>
      <c r="N1157" s="2">
        <f>ROUND(E1157 * 0.7+F1157 * 0.2+G1157 * 0.1,2)</f>
        <v>58.2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80</v>
      </c>
      <c r="P1157" s="2">
        <f>E1157 - O1157</f>
        <v>-26</v>
      </c>
      <c r="Q1157" s="2">
        <f>ROUND(
  SIGN(P1157)*
  IF(ABS(P1157)&lt;=10,ABS(P1157)*0.5,
     IF(ABS(P1157)&lt;=15,5+(ABS(P1157)-10)*(1.67/5),
        6.67+(ABS(P1157)-15)*0.333)),
2)</f>
        <v>-10.33</v>
      </c>
    </row>
    <row r="1158" spans="1:17" ht="34.5" customHeight="1" x14ac:dyDescent="0.3">
      <c r="A1158" s="2">
        <v>2026</v>
      </c>
      <c r="B1158" s="2">
        <v>1157</v>
      </c>
      <c r="C1158" s="13">
        <f>ROUND(MAX(MIN(N1158 + Q1158, 100), 0), 2)</f>
        <v>47.8</v>
      </c>
      <c r="D1158" s="2" t="s">
        <v>1712</v>
      </c>
      <c r="E1158" s="2">
        <v>52</v>
      </c>
      <c r="F1158" s="2">
        <v>58</v>
      </c>
      <c r="G1158" s="2">
        <v>48</v>
      </c>
      <c r="H1158" s="2" t="s">
        <v>1723</v>
      </c>
      <c r="I1158" s="2" t="s">
        <v>1728</v>
      </c>
      <c r="J1158" s="3" t="s">
        <v>1735</v>
      </c>
      <c r="M1158" s="2">
        <f>IF(J1158="1000+", 1000, (LEFT(J1158,FIND("-",J1158)-1)+RIGHT(J1158,LEN(J1158)-FIND("-",J1158)))/2)</f>
        <v>30</v>
      </c>
      <c r="N1158" s="2">
        <f>ROUND(E1158 * 0.7+F1158 * 0.2+G1158 * 0.1,2)</f>
        <v>52.8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62</v>
      </c>
      <c r="P1158" s="2">
        <f>E1158 - O1158</f>
        <v>-10</v>
      </c>
      <c r="Q1158" s="2">
        <f>ROUND(
  SIGN(P1158)*
  IF(ABS(P1158)&lt;=10,ABS(P1158)*0.5,
     IF(ABS(P1158)&lt;=15,5+(ABS(P1158)-10)*(1.67/5),
        6.67+(ABS(P1158)-15)*0.333)),
2)</f>
        <v>-5</v>
      </c>
    </row>
    <row r="1159" spans="1:17" ht="34.5" customHeight="1" x14ac:dyDescent="0.3">
      <c r="B1159" s="2">
        <v>1158</v>
      </c>
      <c r="C1159" s="13">
        <f>ROUND(MAX(MIN(N1159 + Q1159, 100), 0), 2)</f>
        <v>47.7</v>
      </c>
      <c r="D1159" s="2" t="s">
        <v>1042</v>
      </c>
      <c r="E1159" s="2">
        <v>55</v>
      </c>
      <c r="F1159" s="2">
        <v>51</v>
      </c>
      <c r="G1159" s="2">
        <v>40</v>
      </c>
      <c r="H1159" s="2" t="s">
        <v>61</v>
      </c>
      <c r="I1159" s="2" t="s">
        <v>72</v>
      </c>
      <c r="J1159" s="3" t="s">
        <v>32</v>
      </c>
      <c r="M1159" s="2">
        <f>IF(J1159="1000+", 1000, (LEFT(J1159,FIND("-",J1159)-1)+RIGHT(J1159,LEN(J1159)-FIND("-",J1159)))/2)</f>
        <v>45</v>
      </c>
      <c r="N1159" s="2">
        <f>ROUND(E1159 * 0.7+F1159 * 0.2+G1159 * 0.1,2)</f>
        <v>52.7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65</v>
      </c>
      <c r="P1159" s="2">
        <f>E1159 - O1159</f>
        <v>-10</v>
      </c>
      <c r="Q1159" s="2">
        <f>ROUND(
  SIGN(P1159)*
  IF(ABS(P1159)&lt;=10,ABS(P1159)*0.5,
     IF(ABS(P1159)&lt;=15,5+(ABS(P1159)-10)*(1.67/5),
        6.67+(ABS(P1159)-15)*0.333)),
2)</f>
        <v>-5</v>
      </c>
    </row>
    <row r="1160" spans="1:17" ht="34.5" customHeight="1" x14ac:dyDescent="0.3">
      <c r="B1160" s="2">
        <v>1159</v>
      </c>
      <c r="C1160" s="13">
        <f>ROUND(MAX(MIN(N1160 + Q1160, 100), 0), 2)</f>
        <v>47.7</v>
      </c>
      <c r="D1160" s="2" t="s">
        <v>1053</v>
      </c>
      <c r="E1160" s="2">
        <v>50</v>
      </c>
      <c r="F1160" s="2">
        <v>50</v>
      </c>
      <c r="G1160" s="2">
        <v>52</v>
      </c>
      <c r="H1160" s="2" t="s">
        <v>16</v>
      </c>
      <c r="I1160" s="2" t="s">
        <v>72</v>
      </c>
      <c r="J1160" s="3" t="s">
        <v>37</v>
      </c>
      <c r="M1160" s="2">
        <f>IF(J1160="1000+", 1000, (LEFT(J1160,FIND("-",J1160)-1)+RIGHT(J1160,LEN(J1160)-FIND("-",J1160)))/2)</f>
        <v>15</v>
      </c>
      <c r="N1160" s="2">
        <f>ROUND(E1160 * 0.7+F1160 * 0.2+G1160 * 0.1,2)</f>
        <v>50.2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55</v>
      </c>
      <c r="P1160" s="2">
        <f>E1160 - O1160</f>
        <v>-5</v>
      </c>
      <c r="Q1160" s="2">
        <f>ROUND(
  SIGN(P1160)*
  IF(ABS(P1160)&lt;=10,ABS(P1160)*0.5,
     IF(ABS(P1160)&lt;=15,5+(ABS(P1160)-10)*(1.67/5),
        6.67+(ABS(P1160)-15)*0.333)),
2)</f>
        <v>-2.5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47.7</v>
      </c>
      <c r="D1161" s="2" t="s">
        <v>2012</v>
      </c>
      <c r="E1161" s="2">
        <v>52</v>
      </c>
      <c r="F1161" s="2">
        <v>54</v>
      </c>
      <c r="G1161" s="2">
        <v>45</v>
      </c>
      <c r="H1161" s="2" t="s">
        <v>1617</v>
      </c>
      <c r="I1161" s="2" t="s">
        <v>1259</v>
      </c>
      <c r="J1161" s="3" t="s">
        <v>1261</v>
      </c>
      <c r="M1161" s="2">
        <f>IF(J1161="1000+", 1000, (LEFT(J1161,FIND("-",J1161)-1)+RIGHT(J1161,LEN(J1161)-FIND("-",J1161)))/2)</f>
        <v>20</v>
      </c>
      <c r="N1161" s="2">
        <f>ROUND(E1161 * 0.7+F1161 * 0.2+G1161 * 0.1,2)</f>
        <v>51.7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60</v>
      </c>
      <c r="P1161" s="2">
        <f>E1161 - O1161</f>
        <v>-8</v>
      </c>
      <c r="Q1161" s="2">
        <f>ROUND(
  SIGN(P1161)*
  IF(ABS(P1161)&lt;=10,ABS(P1161)*0.5,
     IF(ABS(P1161)&lt;=15,5+(ABS(P1161)-10)*(1.67/5),
        6.67+(ABS(P1161)-15)*0.333)),
2)</f>
        <v>-4</v>
      </c>
    </row>
    <row r="1162" spans="1:17" ht="34.5" customHeight="1" x14ac:dyDescent="0.3">
      <c r="A1162" s="2">
        <v>2026</v>
      </c>
      <c r="B1162" s="2">
        <v>1161</v>
      </c>
      <c r="C1162" s="13">
        <f>ROUND(MAX(MIN(N1162 + Q1162, 100), 0), 2)</f>
        <v>47.6</v>
      </c>
      <c r="D1162" s="2" t="s">
        <v>1355</v>
      </c>
      <c r="E1162" s="2">
        <v>58</v>
      </c>
      <c r="F1162" s="2">
        <v>35</v>
      </c>
      <c r="G1162" s="2">
        <v>20</v>
      </c>
      <c r="H1162" s="2" t="s">
        <v>1256</v>
      </c>
      <c r="I1162" s="2" t="s">
        <v>1258</v>
      </c>
      <c r="J1162" s="3" t="s">
        <v>1263</v>
      </c>
      <c r="M1162" s="2">
        <f>IF(J1162="1000+", 1000, (LEFT(J1162,FIND("-",J1162)-1)+RIGHT(J1162,LEN(J1162)-FIND("-",J1162)))/2)</f>
        <v>30</v>
      </c>
      <c r="N1162" s="2">
        <f>ROUND(E1162 * 0.7+F1162 * 0.2+G1162 * 0.1,2)</f>
        <v>49.6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62</v>
      </c>
      <c r="P1162" s="2">
        <f>E1162 - O1162</f>
        <v>-4</v>
      </c>
      <c r="Q1162" s="2">
        <f>ROUND(
  SIGN(P1162)*
  IF(ABS(P1162)&lt;=10,ABS(P1162)*0.5,
     IF(ABS(P1162)&lt;=15,5+(ABS(P1162)-10)*(1.67/5),
        6.67+(ABS(P1162)-15)*0.333)),
2)</f>
        <v>-2</v>
      </c>
    </row>
    <row r="1163" spans="1:17" ht="34.5" customHeight="1" x14ac:dyDescent="0.3">
      <c r="B1163" s="2">
        <v>1162</v>
      </c>
      <c r="C1163" s="13">
        <f>ROUND(MAX(MIN(N1163 + Q1163, 100), 0), 2)</f>
        <v>47.54</v>
      </c>
      <c r="D1163" s="2" t="s">
        <v>993</v>
      </c>
      <c r="E1163" s="2">
        <v>54</v>
      </c>
      <c r="F1163" s="5">
        <v>70</v>
      </c>
      <c r="G1163" s="6">
        <v>84</v>
      </c>
      <c r="H1163" s="2" t="s">
        <v>48</v>
      </c>
      <c r="I1163" s="2" t="s">
        <v>49</v>
      </c>
      <c r="J1163" s="3" t="s">
        <v>65</v>
      </c>
      <c r="M1163" s="2">
        <f>IF(J1163="1000+", 1000, (LEFT(J1163,FIND("-",J1163)-1)+RIGHT(J1163,LEN(J1163)-FIND("-",J1163)))/2)</f>
        <v>250</v>
      </c>
      <c r="N1163" s="2">
        <f>ROUND(E1163 * 0.7+F1163 * 0.2+G1163 * 0.1,2)</f>
        <v>60.2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87</v>
      </c>
      <c r="P1163" s="2">
        <f>E1163 - O1163</f>
        <v>-33</v>
      </c>
      <c r="Q1163" s="2">
        <f>ROUND(
  SIGN(P1163)*
  IF(ABS(P1163)&lt;=10,ABS(P1163)*0.5,
     IF(ABS(P1163)&lt;=15,5+(ABS(P1163)-10)*(1.67/5),
        6.67+(ABS(P1163)-15)*0.333)),
2)</f>
        <v>-12.66</v>
      </c>
    </row>
    <row r="1164" spans="1:17" ht="34.5" customHeight="1" x14ac:dyDescent="0.3">
      <c r="B1164" s="2">
        <v>1163</v>
      </c>
      <c r="C1164" s="13">
        <f>ROUND(MAX(MIN(N1164 + Q1164, 100), 0), 2)</f>
        <v>47.53</v>
      </c>
      <c r="D1164" s="2" t="s">
        <v>994</v>
      </c>
      <c r="E1164" s="2">
        <v>50</v>
      </c>
      <c r="F1164" s="6">
        <v>81</v>
      </c>
      <c r="G1164" s="2">
        <v>20</v>
      </c>
      <c r="H1164" s="2" t="s">
        <v>31</v>
      </c>
      <c r="I1164" s="2" t="s">
        <v>36</v>
      </c>
      <c r="J1164" s="3" t="s">
        <v>146</v>
      </c>
      <c r="M1164" s="2">
        <f>IF(J1164="1000+", 1000, (LEFT(J1164,FIND("-",J1164)-1)+RIGHT(J1164,LEN(J1164)-FIND("-",J1164)))/2)</f>
        <v>30</v>
      </c>
      <c r="N1164" s="2">
        <f>ROUND(E1164 * 0.7+F1164 * 0.2+G1164 * 0.1,2)</f>
        <v>53.2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62</v>
      </c>
      <c r="P1164" s="2">
        <f>E1164 - O1164</f>
        <v>-12</v>
      </c>
      <c r="Q1164" s="2">
        <f>ROUND(
  SIGN(P1164)*
  IF(ABS(P1164)&lt;=10,ABS(P1164)*0.5,
     IF(ABS(P1164)&lt;=15,5+(ABS(P1164)-10)*(1.67/5),
        6.67+(ABS(P1164)-15)*0.333)),
2)</f>
        <v>-5.67</v>
      </c>
    </row>
    <row r="1165" spans="1:17" ht="34.5" customHeight="1" x14ac:dyDescent="0.3">
      <c r="A1165" s="2">
        <v>2026</v>
      </c>
      <c r="B1165" s="2">
        <v>1164</v>
      </c>
      <c r="C1165" s="13">
        <f>ROUND(MAX(MIN(N1165 + Q1165, 100), 0), 2)</f>
        <v>47.53</v>
      </c>
      <c r="D1165" s="2" t="s">
        <v>1608</v>
      </c>
      <c r="E1165" s="2">
        <v>50</v>
      </c>
      <c r="F1165" s="2">
        <v>55</v>
      </c>
      <c r="G1165" s="5">
        <v>72</v>
      </c>
      <c r="H1165" s="2" t="s">
        <v>1616</v>
      </c>
      <c r="I1165" s="2" t="s">
        <v>298</v>
      </c>
      <c r="J1165" s="3" t="s">
        <v>1621</v>
      </c>
      <c r="M1165" s="2">
        <f>IF(J1165="1000+", 1000, (LEFT(J1165,FIND("-",J1165)-1)+RIGHT(J1165,LEN(J1165)-FIND("-",J1165)))/2)</f>
        <v>30</v>
      </c>
      <c r="N1165" s="2">
        <f>ROUND(E1165 * 0.7+F1165 * 0.2+G1165 * 0.1,2)</f>
        <v>53.2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62</v>
      </c>
      <c r="P1165" s="2">
        <f>E1165 - O1165</f>
        <v>-12</v>
      </c>
      <c r="Q1165" s="2">
        <f>ROUND(
  SIGN(P1165)*
  IF(ABS(P1165)&lt;=10,ABS(P1165)*0.5,
     IF(ABS(P1165)&lt;=15,5+(ABS(P1165)-10)*(1.67/5),
        6.67+(ABS(P1165)-15)*0.333)),
2)</f>
        <v>-5.67</v>
      </c>
    </row>
    <row r="1166" spans="1:17" ht="34.5" customHeight="1" x14ac:dyDescent="0.3">
      <c r="B1166" s="2">
        <v>1165</v>
      </c>
      <c r="C1166" s="13">
        <f>ROUND(MAX(MIN(N1166 + Q1166, 100), 0), 2)</f>
        <v>47.5</v>
      </c>
      <c r="D1166" s="2" t="s">
        <v>1034</v>
      </c>
      <c r="E1166" s="2">
        <v>54</v>
      </c>
      <c r="F1166" s="2">
        <v>50</v>
      </c>
      <c r="G1166" s="2">
        <v>37</v>
      </c>
      <c r="H1166" s="2" t="s">
        <v>171</v>
      </c>
      <c r="I1166" s="2" t="s">
        <v>72</v>
      </c>
      <c r="J1166" s="3" t="s">
        <v>146</v>
      </c>
      <c r="M1166" s="2">
        <f>IF(J1166="1000+", 1000, (LEFT(J1166,FIND("-",J1166)-1)+RIGHT(J1166,LEN(J1166)-FIND("-",J1166)))/2)</f>
        <v>30</v>
      </c>
      <c r="N1166" s="2">
        <f>ROUND(E1166 * 0.7+F1166 * 0.2+G1166 * 0.1,2)</f>
        <v>51.5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62</v>
      </c>
      <c r="P1166" s="2">
        <f>E1166 - O1166</f>
        <v>-8</v>
      </c>
      <c r="Q1166" s="2">
        <f>ROUND(
  SIGN(P1166)*
  IF(ABS(P1166)&lt;=10,ABS(P1166)*0.5,
     IF(ABS(P1166)&lt;=15,5+(ABS(P1166)-10)*(1.67/5),
        6.67+(ABS(P1166)-15)*0.333)),
2)</f>
        <v>-4</v>
      </c>
    </row>
    <row r="1167" spans="1:17" ht="34.5" customHeight="1" x14ac:dyDescent="0.3">
      <c r="B1167" s="2">
        <v>1166</v>
      </c>
      <c r="C1167" s="13">
        <f>ROUND(MAX(MIN(N1167 + Q1167, 100), 0), 2)</f>
        <v>47.5</v>
      </c>
      <c r="D1167" s="2" t="s">
        <v>1023</v>
      </c>
      <c r="E1167" s="2">
        <v>53</v>
      </c>
      <c r="F1167" s="2">
        <v>53</v>
      </c>
      <c r="G1167" s="2">
        <v>43</v>
      </c>
      <c r="H1167" s="2" t="s">
        <v>48</v>
      </c>
      <c r="I1167" s="2" t="s">
        <v>72</v>
      </c>
      <c r="J1167" s="3" t="s">
        <v>146</v>
      </c>
      <c r="M1167" s="2">
        <f>IF(J1167="1000+", 1000, (LEFT(J1167,FIND("-",J1167)-1)+RIGHT(J1167,LEN(J1167)-FIND("-",J1167)))/2)</f>
        <v>30</v>
      </c>
      <c r="N1167" s="2">
        <f>ROUND(E1167 * 0.7+F1167 * 0.2+G1167 * 0.1,2)</f>
        <v>52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62</v>
      </c>
      <c r="P1167" s="2">
        <f>E1167 - O1167</f>
        <v>-9</v>
      </c>
      <c r="Q1167" s="2">
        <f>ROUND(
  SIGN(P1167)*
  IF(ABS(P1167)&lt;=10,ABS(P1167)*0.5,
     IF(ABS(P1167)&lt;=15,5+(ABS(P1167)-10)*(1.67/5),
        6.67+(ABS(P1167)-15)*0.333)),
2)</f>
        <v>-4.5</v>
      </c>
    </row>
    <row r="1168" spans="1:17" ht="34.5" customHeight="1" x14ac:dyDescent="0.3">
      <c r="A1168" s="2">
        <v>2026</v>
      </c>
      <c r="B1168" s="2">
        <v>1167</v>
      </c>
      <c r="C1168" s="13">
        <f>ROUND(MAX(MIN(N1168 + Q1168, 100), 0), 2)</f>
        <v>47.5</v>
      </c>
      <c r="D1168" s="2" t="s">
        <v>1981</v>
      </c>
      <c r="E1168" s="2">
        <v>53</v>
      </c>
      <c r="F1168" s="2">
        <v>57</v>
      </c>
      <c r="G1168" s="2">
        <v>35</v>
      </c>
      <c r="H1168" s="2" t="s">
        <v>1994</v>
      </c>
      <c r="I1168" s="2" t="s">
        <v>1334</v>
      </c>
      <c r="J1168" s="3" t="s">
        <v>1263</v>
      </c>
      <c r="M1168" s="2">
        <f>IF(J1168="1000+", 1000, (LEFT(J1168,FIND("-",J1168)-1)+RIGHT(J1168,LEN(J1168)-FIND("-",J1168)))/2)</f>
        <v>30</v>
      </c>
      <c r="N1168" s="2">
        <f>ROUND(E1168 * 0.7+F1168 * 0.2+G1168 * 0.1,2)</f>
        <v>52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62</v>
      </c>
      <c r="P1168" s="2">
        <f>E1168 - O1168</f>
        <v>-9</v>
      </c>
      <c r="Q1168" s="2">
        <f>ROUND(
  SIGN(P1168)*
  IF(ABS(P1168)&lt;=10,ABS(P1168)*0.5,
     IF(ABS(P1168)&lt;=15,5+(ABS(P1168)-10)*(1.67/5),
        6.67+(ABS(P1168)-15)*0.333)),
2)</f>
        <v>-4.5</v>
      </c>
    </row>
    <row r="1169" spans="1:17" ht="34.5" customHeight="1" x14ac:dyDescent="0.3">
      <c r="B1169" s="2">
        <v>1168</v>
      </c>
      <c r="C1169" s="13">
        <f>ROUND(MAX(MIN(N1169 + Q1169, 100), 0), 2)</f>
        <v>47.46</v>
      </c>
      <c r="D1169" s="2" t="s">
        <v>1037</v>
      </c>
      <c r="E1169" s="2">
        <v>54</v>
      </c>
      <c r="F1169" s="2">
        <v>55</v>
      </c>
      <c r="G1169" s="2">
        <v>50</v>
      </c>
      <c r="H1169" s="2" t="s">
        <v>48</v>
      </c>
      <c r="I1169" s="2" t="s">
        <v>218</v>
      </c>
      <c r="J1169" s="3" t="s">
        <v>23</v>
      </c>
      <c r="M1169" s="2">
        <f>IF(J1169="1000+", 1000, (LEFT(J1169,FIND("-",J1169)-1)+RIGHT(J1169,LEN(J1169)-FIND("-",J1169)))/2)</f>
        <v>60</v>
      </c>
      <c r="N1169" s="2">
        <f>ROUND(E1169 * 0.7+F1169 * 0.2+G1169 * 0.1,2)</f>
        <v>53.8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68</v>
      </c>
      <c r="P1169" s="2">
        <f>E1169 - O1169</f>
        <v>-14</v>
      </c>
      <c r="Q1169" s="2">
        <f>ROUND(
  SIGN(P1169)*
  IF(ABS(P1169)&lt;=10,ABS(P1169)*0.5,
     IF(ABS(P1169)&lt;=15,5+(ABS(P1169)-10)*(1.67/5),
        6.67+(ABS(P1169)-15)*0.333)),
2)</f>
        <v>-6.34</v>
      </c>
    </row>
    <row r="1170" spans="1:17" ht="34.5" customHeight="1" x14ac:dyDescent="0.3">
      <c r="B1170" s="2">
        <v>1169</v>
      </c>
      <c r="C1170" s="13">
        <f>ROUND(MAX(MIN(N1170 + Q1170, 100), 0), 2)</f>
        <v>47.4</v>
      </c>
      <c r="D1170" s="2" t="s">
        <v>984</v>
      </c>
      <c r="E1170" s="2">
        <v>52</v>
      </c>
      <c r="F1170" s="2">
        <v>55</v>
      </c>
      <c r="G1170" s="2">
        <v>50</v>
      </c>
      <c r="H1170" s="2" t="s">
        <v>31</v>
      </c>
      <c r="I1170" s="2" t="s">
        <v>447</v>
      </c>
      <c r="J1170" s="3" t="s">
        <v>146</v>
      </c>
      <c r="M1170" s="2">
        <f>IF(J1170="1000+", 1000, (LEFT(J1170,FIND("-",J1170)-1)+RIGHT(J1170,LEN(J1170)-FIND("-",J1170)))/2)</f>
        <v>30</v>
      </c>
      <c r="N1170" s="2">
        <f>ROUND(E1170 * 0.7+F1170 * 0.2+G1170 * 0.1,2)</f>
        <v>52.4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62</v>
      </c>
      <c r="P1170" s="2">
        <f>E1170 - O1170</f>
        <v>-10</v>
      </c>
      <c r="Q1170" s="2">
        <f>ROUND(
  SIGN(P1170)*
  IF(ABS(P1170)&lt;=10,ABS(P1170)*0.5,
     IF(ABS(P1170)&lt;=15,5+(ABS(P1170)-10)*(1.67/5),
        6.67+(ABS(P1170)-15)*0.333)),
2)</f>
        <v>-5</v>
      </c>
    </row>
    <row r="1171" spans="1:17" ht="34.5" customHeight="1" x14ac:dyDescent="0.3">
      <c r="B1171" s="2">
        <v>1170</v>
      </c>
      <c r="C1171" s="13">
        <f>ROUND(MAX(MIN(N1171 + Q1171, 100), 0), 2)</f>
        <v>47.37</v>
      </c>
      <c r="D1171" s="2" t="s">
        <v>1029</v>
      </c>
      <c r="E1171" s="2">
        <v>56</v>
      </c>
      <c r="F1171" s="7">
        <v>65</v>
      </c>
      <c r="G1171" s="7">
        <v>65</v>
      </c>
      <c r="H1171" s="2" t="s">
        <v>434</v>
      </c>
      <c r="I1171" s="2" t="s">
        <v>22</v>
      </c>
      <c r="J1171" s="3" t="s">
        <v>14</v>
      </c>
      <c r="M1171" s="2">
        <f>IF(J1171="1000+", 1000, (LEFT(J1171,FIND("-",J1171)-1)+RIGHT(J1171,LEN(J1171)-FIND("-",J1171)))/2)</f>
        <v>225</v>
      </c>
      <c r="N1171" s="2">
        <f>ROUND(E1171 * 0.7+F1171 * 0.2+G1171 * 0.1,2)</f>
        <v>58.7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85</v>
      </c>
      <c r="P1171" s="2">
        <f>E1171 - O1171</f>
        <v>-29</v>
      </c>
      <c r="Q1171" s="2">
        <f>ROUND(
  SIGN(P1171)*
  IF(ABS(P1171)&lt;=10,ABS(P1171)*0.5,
     IF(ABS(P1171)&lt;=15,5+(ABS(P1171)-10)*(1.67/5),
        6.67+(ABS(P1171)-15)*0.333)),
2)</f>
        <v>-11.33</v>
      </c>
    </row>
    <row r="1172" spans="1:17" ht="34.5" customHeight="1" x14ac:dyDescent="0.3">
      <c r="B1172" s="2">
        <v>1171</v>
      </c>
      <c r="C1172" s="13">
        <f>ROUND(MAX(MIN(N1172 + Q1172, 100), 0), 2)</f>
        <v>47.34</v>
      </c>
      <c r="D1172" s="2" t="s">
        <v>974</v>
      </c>
      <c r="E1172" s="2">
        <v>52</v>
      </c>
      <c r="F1172" s="5">
        <v>75</v>
      </c>
      <c r="G1172" s="6">
        <v>86</v>
      </c>
      <c r="H1172" s="2" t="s">
        <v>48</v>
      </c>
      <c r="I1172" s="2" t="s">
        <v>72</v>
      </c>
      <c r="J1172" s="3" t="s">
        <v>14</v>
      </c>
      <c r="M1172" s="2">
        <f>IF(J1172="1000+", 1000, (LEFT(J1172,FIND("-",J1172)-1)+RIGHT(J1172,LEN(J1172)-FIND("-",J1172)))/2)</f>
        <v>225</v>
      </c>
      <c r="N1172" s="2">
        <f>ROUND(E1172 * 0.7+F1172 * 0.2+G1172 * 0.1,2)</f>
        <v>60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85</v>
      </c>
      <c r="P1172" s="2">
        <f>E1172 - O1172</f>
        <v>-33</v>
      </c>
      <c r="Q1172" s="2">
        <f>ROUND(
  SIGN(P1172)*
  IF(ABS(P1172)&lt;=10,ABS(P1172)*0.5,
     IF(ABS(P1172)&lt;=15,5+(ABS(P1172)-10)*(1.67/5),
        6.67+(ABS(P1172)-15)*0.333)),
2)</f>
        <v>-12.66</v>
      </c>
    </row>
    <row r="1173" spans="1:17" ht="34.5" customHeight="1" x14ac:dyDescent="0.3">
      <c r="B1173" s="2">
        <v>1172</v>
      </c>
      <c r="C1173" s="13">
        <f>ROUND(MAX(MIN(N1173 + Q1173, 100), 0), 2)</f>
        <v>47.3</v>
      </c>
      <c r="D1173" s="2" t="s">
        <v>1036</v>
      </c>
      <c r="E1173" s="2">
        <v>54</v>
      </c>
      <c r="F1173" s="2">
        <v>50</v>
      </c>
      <c r="G1173" s="2">
        <v>35</v>
      </c>
      <c r="H1173" s="2" t="s">
        <v>48</v>
      </c>
      <c r="I1173" s="2" t="s">
        <v>218</v>
      </c>
      <c r="J1173" s="3" t="s">
        <v>146</v>
      </c>
      <c r="M1173" s="2">
        <f>IF(J1173="1000+", 1000, (LEFT(J1173,FIND("-",J1173)-1)+RIGHT(J1173,LEN(J1173)-FIND("-",J1173)))/2)</f>
        <v>30</v>
      </c>
      <c r="N1173" s="2">
        <f>ROUND(E1173 * 0.7+F1173 * 0.2+G1173 * 0.1,2)</f>
        <v>51.3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62</v>
      </c>
      <c r="P1173" s="2">
        <f>E1173 - O1173</f>
        <v>-8</v>
      </c>
      <c r="Q1173" s="2">
        <f>ROUND(
  SIGN(P1173)*
  IF(ABS(P1173)&lt;=10,ABS(P1173)*0.5,
     IF(ABS(P1173)&lt;=15,5+(ABS(P1173)-10)*(1.67/5),
        6.67+(ABS(P1173)-15)*0.333)),
2)</f>
        <v>-4</v>
      </c>
    </row>
    <row r="1174" spans="1:17" ht="34.5" customHeight="1" x14ac:dyDescent="0.3">
      <c r="B1174" s="2">
        <v>1173</v>
      </c>
      <c r="C1174" s="13">
        <f>ROUND(MAX(MIN(N1174 + Q1174, 100), 0), 2)</f>
        <v>47.27</v>
      </c>
      <c r="D1174" s="2" t="s">
        <v>1015</v>
      </c>
      <c r="E1174" s="2">
        <v>51</v>
      </c>
      <c r="F1174" s="2">
        <v>50</v>
      </c>
      <c r="G1174" s="7">
        <v>69</v>
      </c>
      <c r="H1174" s="2" t="s">
        <v>61</v>
      </c>
      <c r="I1174" s="2" t="s">
        <v>447</v>
      </c>
      <c r="J1174" s="3" t="s">
        <v>146</v>
      </c>
      <c r="M1174" s="2">
        <f>IF(J1174="1000+", 1000, (LEFT(J1174,FIND("-",J1174)-1)+RIGHT(J1174,LEN(J1174)-FIND("-",J1174)))/2)</f>
        <v>30</v>
      </c>
      <c r="N1174" s="2">
        <f>ROUND(E1174 * 0.7+F1174 * 0.2+G1174 * 0.1,2)</f>
        <v>52.6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62</v>
      </c>
      <c r="P1174" s="2">
        <f>E1174 - O1174</f>
        <v>-11</v>
      </c>
      <c r="Q1174" s="2">
        <f>ROUND(
  SIGN(P1174)*
  IF(ABS(P1174)&lt;=10,ABS(P1174)*0.5,
     IF(ABS(P1174)&lt;=15,5+(ABS(P1174)-10)*(1.67/5),
        6.67+(ABS(P1174)-15)*0.333)),
2)</f>
        <v>-5.33</v>
      </c>
    </row>
    <row r="1175" spans="1:17" ht="34.5" customHeight="1" x14ac:dyDescent="0.3">
      <c r="B1175" s="2">
        <v>1174</v>
      </c>
      <c r="C1175" s="13">
        <f>ROUND(MAX(MIN(N1175 + Q1175, 100), 0), 2)</f>
        <v>47.26</v>
      </c>
      <c r="D1175" s="2" t="s">
        <v>1044</v>
      </c>
      <c r="E1175" s="2">
        <v>53</v>
      </c>
      <c r="F1175" s="2">
        <v>55</v>
      </c>
      <c r="G1175" s="7">
        <v>65</v>
      </c>
      <c r="H1175" s="2" t="s">
        <v>217</v>
      </c>
      <c r="I1175" s="2" t="s">
        <v>22</v>
      </c>
      <c r="J1175" s="3" t="s">
        <v>18</v>
      </c>
      <c r="M1175" s="2">
        <f>IF(J1175="1000+", 1000, (LEFT(J1175,FIND("-",J1175)-1)+RIGHT(J1175,LEN(J1175)-FIND("-",J1175)))/2)</f>
        <v>75</v>
      </c>
      <c r="N1175" s="2">
        <f>ROUND(E1175 * 0.7+F1175 * 0.2+G1175 * 0.1,2)</f>
        <v>54.6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70</v>
      </c>
      <c r="P1175" s="2">
        <f>E1175 - O1175</f>
        <v>-17</v>
      </c>
      <c r="Q1175" s="2">
        <f>ROUND(
  SIGN(P1175)*
  IF(ABS(P1175)&lt;=10,ABS(P1175)*0.5,
     IF(ABS(P1175)&lt;=15,5+(ABS(P1175)-10)*(1.67/5),
        6.67+(ABS(P1175)-15)*0.333)),
2)</f>
        <v>-7.34</v>
      </c>
    </row>
    <row r="1176" spans="1:17" ht="34.5" customHeight="1" x14ac:dyDescent="0.3">
      <c r="B1176" s="2">
        <v>1175</v>
      </c>
      <c r="C1176" s="13">
        <f>ROUND(MAX(MIN(N1176 + Q1176, 100), 0), 2)</f>
        <v>47.2</v>
      </c>
      <c r="D1176" s="2" t="s">
        <v>1028</v>
      </c>
      <c r="E1176" s="2">
        <v>52</v>
      </c>
      <c r="F1176" s="2">
        <v>50</v>
      </c>
      <c r="G1176" s="2">
        <v>48</v>
      </c>
      <c r="H1176" s="2" t="s">
        <v>462</v>
      </c>
      <c r="I1176" s="2" t="s">
        <v>36</v>
      </c>
      <c r="J1176" s="3" t="s">
        <v>132</v>
      </c>
      <c r="M1176" s="2">
        <f>IF(J1176="1000+", 1000, (LEFT(J1176,FIND("-",J1176)-1)+RIGHT(J1176,LEN(J1176)-FIND("-",J1176)))/2)</f>
        <v>20</v>
      </c>
      <c r="N1176" s="2">
        <f>ROUND(E1176 * 0.7+F1176 * 0.2+G1176 * 0.1,2)</f>
        <v>51.2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60</v>
      </c>
      <c r="P1176" s="2">
        <f>E1176 - O1176</f>
        <v>-8</v>
      </c>
      <c r="Q1176" s="2">
        <f>ROUND(
  SIGN(P1176)*
  IF(ABS(P1176)&lt;=10,ABS(P1176)*0.5,
     IF(ABS(P1176)&lt;=15,5+(ABS(P1176)-10)*(1.67/5),
        6.67+(ABS(P1176)-15)*0.333)),
2)</f>
        <v>-4</v>
      </c>
    </row>
    <row r="1177" spans="1:17" ht="34.5" customHeight="1" x14ac:dyDescent="0.3">
      <c r="B1177" s="2">
        <v>1176</v>
      </c>
      <c r="C1177" s="13">
        <f>ROUND(MAX(MIN(N1177 + Q1177, 100), 0), 2)</f>
        <v>47.13</v>
      </c>
      <c r="D1177" s="2" t="s">
        <v>1040</v>
      </c>
      <c r="E1177" s="2">
        <v>53</v>
      </c>
      <c r="F1177" s="2">
        <v>56</v>
      </c>
      <c r="G1177" s="2">
        <v>55</v>
      </c>
      <c r="H1177" s="2" t="s">
        <v>48</v>
      </c>
      <c r="I1177" s="2" t="s">
        <v>22</v>
      </c>
      <c r="J1177" s="3" t="s">
        <v>23</v>
      </c>
      <c r="M1177" s="2">
        <f>IF(J1177="1000+", 1000, (LEFT(J1177,FIND("-",J1177)-1)+RIGHT(J1177,LEN(J1177)-FIND("-",J1177)))/2)</f>
        <v>60</v>
      </c>
      <c r="N1177" s="2">
        <f>ROUND(E1177 * 0.7+F1177 * 0.2+G1177 * 0.1,2)</f>
        <v>53.8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68</v>
      </c>
      <c r="P1177" s="2">
        <f>E1177 - O1177</f>
        <v>-15</v>
      </c>
      <c r="Q1177" s="2">
        <f>ROUND(
  SIGN(P1177)*
  IF(ABS(P1177)&lt;=10,ABS(P1177)*0.5,
     IF(ABS(P1177)&lt;=15,5+(ABS(P1177)-10)*(1.67/5),
        6.67+(ABS(P1177)-15)*0.333)),
2)</f>
        <v>-6.67</v>
      </c>
    </row>
    <row r="1178" spans="1:17" ht="34.5" customHeight="1" x14ac:dyDescent="0.3">
      <c r="B1178" s="2">
        <v>1177</v>
      </c>
      <c r="C1178" s="13">
        <f>ROUND(MAX(MIN(N1178 + Q1178, 100), 0), 2)</f>
        <v>47.06</v>
      </c>
      <c r="D1178" s="2" t="s">
        <v>1049</v>
      </c>
      <c r="E1178" s="2">
        <v>54</v>
      </c>
      <c r="F1178" s="2">
        <v>59</v>
      </c>
      <c r="G1178" s="2">
        <v>38</v>
      </c>
      <c r="H1178" s="2" t="s">
        <v>423</v>
      </c>
      <c r="I1178" s="2" t="s">
        <v>218</v>
      </c>
      <c r="J1178" s="3" t="s">
        <v>23</v>
      </c>
      <c r="M1178" s="2">
        <f>IF(J1178="1000+", 1000, (LEFT(J1178,FIND("-",J1178)-1)+RIGHT(J1178,LEN(J1178)-FIND("-",J1178)))/2)</f>
        <v>60</v>
      </c>
      <c r="N1178" s="2">
        <f>ROUND(E1178 * 0.7+F1178 * 0.2+G1178 * 0.1,2)</f>
        <v>53.4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68</v>
      </c>
      <c r="P1178" s="2">
        <f>E1178 - O1178</f>
        <v>-14</v>
      </c>
      <c r="Q1178" s="2">
        <f>ROUND(
  SIGN(P1178)*
  IF(ABS(P1178)&lt;=10,ABS(P1178)*0.5,
     IF(ABS(P1178)&lt;=15,5+(ABS(P1178)-10)*(1.67/5),
        6.67+(ABS(P1178)-15)*0.333)),
2)</f>
        <v>-6.34</v>
      </c>
    </row>
    <row r="1179" spans="1:17" ht="34.5" customHeight="1" x14ac:dyDescent="0.3">
      <c r="A1179" s="2">
        <v>2026</v>
      </c>
      <c r="B1179" s="2">
        <v>1178</v>
      </c>
      <c r="C1179" s="13">
        <f>ROUND(MAX(MIN(N1179 + Q1179, 100), 0), 2)</f>
        <v>47</v>
      </c>
      <c r="D1179" s="2" t="s">
        <v>1883</v>
      </c>
      <c r="E1179" s="2">
        <v>53</v>
      </c>
      <c r="F1179" s="2">
        <v>25</v>
      </c>
      <c r="G1179" s="2">
        <v>34</v>
      </c>
      <c r="H1179" s="2" t="s">
        <v>1450</v>
      </c>
      <c r="I1179" s="2" t="s">
        <v>1259</v>
      </c>
      <c r="J1179" s="3" t="s">
        <v>1574</v>
      </c>
      <c r="M1179" s="2">
        <f>IF(J1179="1000+", 1000, (LEFT(J1179,FIND("-",J1179)-1)+RIGHT(J1179,LEN(J1179)-FIND("-",J1179)))/2)</f>
        <v>12.5</v>
      </c>
      <c r="N1179" s="2">
        <f>ROUND(E1179 * 0.7+F1179 * 0.2+G1179 * 0.1,2)</f>
        <v>45.5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50</v>
      </c>
      <c r="P1179" s="2">
        <f>E1179 - O1179</f>
        <v>3</v>
      </c>
      <c r="Q1179" s="2">
        <f>ROUND(
  SIGN(P1179)*
  IF(ABS(P1179)&lt;=10,ABS(P1179)*0.5,
     IF(ABS(P1179)&lt;=15,5+(ABS(P1179)-10)*(1.67/5),
        6.67+(ABS(P1179)-15)*0.333)),
2)</f>
        <v>1.5</v>
      </c>
    </row>
    <row r="1180" spans="1:17" ht="34.5" customHeight="1" x14ac:dyDescent="0.3">
      <c r="B1180" s="2">
        <v>1179</v>
      </c>
      <c r="C1180" s="13">
        <f>ROUND(MAX(MIN(N1180 + Q1180, 100), 0), 2)</f>
        <v>47</v>
      </c>
      <c r="D1180" s="2" t="s">
        <v>1060</v>
      </c>
      <c r="E1180" s="2">
        <v>55</v>
      </c>
      <c r="F1180" s="2">
        <v>40</v>
      </c>
      <c r="G1180" s="2">
        <v>40</v>
      </c>
      <c r="H1180" s="2" t="s">
        <v>48</v>
      </c>
      <c r="I1180" s="2" t="s">
        <v>316</v>
      </c>
      <c r="J1180" s="3" t="s">
        <v>146</v>
      </c>
      <c r="M1180" s="2">
        <f>IF(J1180="1000+", 1000, (LEFT(J1180,FIND("-",J1180)-1)+RIGHT(J1180,LEN(J1180)-FIND("-",J1180)))/2)</f>
        <v>30</v>
      </c>
      <c r="N1180" s="2">
        <f>ROUND(E1180 * 0.7+F1180 * 0.2+G1180 * 0.1,2)</f>
        <v>50.5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62</v>
      </c>
      <c r="P1180" s="2">
        <f>E1180 - O1180</f>
        <v>-7</v>
      </c>
      <c r="Q1180" s="2">
        <f>ROUND(
  SIGN(P1180)*
  IF(ABS(P1180)&lt;=10,ABS(P1180)*0.5,
     IF(ABS(P1180)&lt;=15,5+(ABS(P1180)-10)*(1.67/5),
        6.67+(ABS(P1180)-15)*0.333)),
2)</f>
        <v>-3.5</v>
      </c>
    </row>
    <row r="1181" spans="1:17" ht="34.5" customHeight="1" x14ac:dyDescent="0.3">
      <c r="B1181" s="2">
        <v>1180</v>
      </c>
      <c r="C1181" s="13">
        <f>ROUND(MAX(MIN(N1181 + Q1181, 100), 0), 2)</f>
        <v>47</v>
      </c>
      <c r="D1181" s="2" t="s">
        <v>1008</v>
      </c>
      <c r="E1181" s="2">
        <v>53</v>
      </c>
      <c r="F1181" s="5">
        <v>76</v>
      </c>
      <c r="G1181" s="5">
        <v>77</v>
      </c>
      <c r="H1181" s="2" t="s">
        <v>135</v>
      </c>
      <c r="I1181" s="2" t="s">
        <v>276</v>
      </c>
      <c r="J1181" s="3" t="s">
        <v>65</v>
      </c>
      <c r="M1181" s="2">
        <f>IF(J1181="1000+", 1000, (LEFT(J1181,FIND("-",J1181)-1)+RIGHT(J1181,LEN(J1181)-FIND("-",J1181)))/2)</f>
        <v>250</v>
      </c>
      <c r="N1181" s="2">
        <f>ROUND(E1181 * 0.7+F1181 * 0.2+G1181 * 0.1,2)</f>
        <v>60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87</v>
      </c>
      <c r="P1181" s="2">
        <f>E1181 - O1181</f>
        <v>-34</v>
      </c>
      <c r="Q1181" s="2">
        <f>ROUND(
  SIGN(P1181)*
  IF(ABS(P1181)&lt;=10,ABS(P1181)*0.5,
     IF(ABS(P1181)&lt;=15,5+(ABS(P1181)-10)*(1.67/5),
        6.67+(ABS(P1181)-15)*0.333)),
2)</f>
        <v>-13</v>
      </c>
    </row>
    <row r="1182" spans="1:17" ht="34.5" customHeight="1" x14ac:dyDescent="0.3">
      <c r="B1182" s="2">
        <v>1181</v>
      </c>
      <c r="C1182" s="13">
        <f>ROUND(MAX(MIN(N1182 + Q1182, 100), 0), 2)</f>
        <v>46.93</v>
      </c>
      <c r="D1182" s="2" t="s">
        <v>1045</v>
      </c>
      <c r="E1182" s="2">
        <v>52</v>
      </c>
      <c r="F1182" s="7">
        <v>65</v>
      </c>
      <c r="G1182" s="2">
        <v>52</v>
      </c>
      <c r="H1182" s="2" t="s">
        <v>104</v>
      </c>
      <c r="I1182" s="2" t="s">
        <v>22</v>
      </c>
      <c r="J1182" s="3" t="s">
        <v>18</v>
      </c>
      <c r="M1182" s="2">
        <f>IF(J1182="1000+", 1000, (LEFT(J1182,FIND("-",J1182)-1)+RIGHT(J1182,LEN(J1182)-FIND("-",J1182)))/2)</f>
        <v>75</v>
      </c>
      <c r="N1182" s="2">
        <f>ROUND(E1182 * 0.7+F1182 * 0.2+G1182 * 0.1,2)</f>
        <v>54.6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70</v>
      </c>
      <c r="P1182" s="2">
        <f>E1182 - O1182</f>
        <v>-18</v>
      </c>
      <c r="Q1182" s="2">
        <f>ROUND(
  SIGN(P1182)*
  IF(ABS(P1182)&lt;=10,ABS(P1182)*0.5,
     IF(ABS(P1182)&lt;=15,5+(ABS(P1182)-10)*(1.67/5),
        6.67+(ABS(P1182)-15)*0.333)),
2)</f>
        <v>-7.67</v>
      </c>
    </row>
    <row r="1183" spans="1:17" ht="34.5" customHeight="1" x14ac:dyDescent="0.3">
      <c r="B1183" s="2">
        <v>1182</v>
      </c>
      <c r="C1183" s="13">
        <f>ROUND(MAX(MIN(N1183 + Q1183, 100), 0), 2)</f>
        <v>46.9</v>
      </c>
      <c r="D1183" s="2" t="s">
        <v>1065</v>
      </c>
      <c r="E1183" s="2">
        <v>55</v>
      </c>
      <c r="F1183" s="2">
        <v>52</v>
      </c>
      <c r="G1183" s="2">
        <v>30</v>
      </c>
      <c r="H1183" s="2" t="s">
        <v>64</v>
      </c>
      <c r="I1183" s="2" t="s">
        <v>316</v>
      </c>
      <c r="J1183" s="3" t="s">
        <v>32</v>
      </c>
      <c r="M1183" s="2">
        <f>IF(J1183="1000+", 1000, (LEFT(J1183,FIND("-",J1183)-1)+RIGHT(J1183,LEN(J1183)-FIND("-",J1183)))/2)</f>
        <v>45</v>
      </c>
      <c r="N1183" s="2">
        <f>ROUND(E1183 * 0.7+F1183 * 0.2+G1183 * 0.1,2)</f>
        <v>51.9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65</v>
      </c>
      <c r="P1183" s="2">
        <f>E1183 - O1183</f>
        <v>-10</v>
      </c>
      <c r="Q1183" s="2">
        <f>ROUND(
  SIGN(P1183)*
  IF(ABS(P1183)&lt;=10,ABS(P1183)*0.5,
     IF(ABS(P1183)&lt;=15,5+(ABS(P1183)-10)*(1.67/5),
        6.67+(ABS(P1183)-15)*0.333)),
2)</f>
        <v>-5</v>
      </c>
    </row>
    <row r="1184" spans="1:17" ht="34.5" customHeight="1" x14ac:dyDescent="0.3">
      <c r="B1184" s="2">
        <v>1183</v>
      </c>
      <c r="C1184" s="13">
        <f>ROUND(MAX(MIN(N1184 + Q1184, 100), 0), 2)</f>
        <v>46.9</v>
      </c>
      <c r="D1184" s="2" t="s">
        <v>1009</v>
      </c>
      <c r="E1184" s="2">
        <v>51</v>
      </c>
      <c r="F1184" s="6">
        <v>82</v>
      </c>
      <c r="G1184" s="5">
        <v>78</v>
      </c>
      <c r="H1184" s="2" t="s">
        <v>31</v>
      </c>
      <c r="I1184" s="2" t="s">
        <v>106</v>
      </c>
      <c r="J1184" s="3" t="s">
        <v>14</v>
      </c>
      <c r="M1184" s="2">
        <f>IF(J1184="1000+", 1000, (LEFT(J1184,FIND("-",J1184)-1)+RIGHT(J1184,LEN(J1184)-FIND("-",J1184)))/2)</f>
        <v>225</v>
      </c>
      <c r="N1184" s="2">
        <f>ROUND(E1184 * 0.7+F1184 * 0.2+G1184 * 0.1,2)</f>
        <v>59.9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85</v>
      </c>
      <c r="P1184" s="2">
        <f>E1184 - O1184</f>
        <v>-34</v>
      </c>
      <c r="Q1184" s="2">
        <f>ROUND(
  SIGN(P1184)*
  IF(ABS(P1184)&lt;=10,ABS(P1184)*0.5,
     IF(ABS(P1184)&lt;=15,5+(ABS(P1184)-10)*(1.67/5),
        6.67+(ABS(P1184)-15)*0.333)),
2)</f>
        <v>-13</v>
      </c>
    </row>
    <row r="1185" spans="1:17" ht="34.5" customHeight="1" x14ac:dyDescent="0.3">
      <c r="B1185" s="2">
        <v>1184</v>
      </c>
      <c r="C1185" s="13">
        <f>ROUND(MAX(MIN(N1185 + Q1185, 100), 0), 2)</f>
        <v>46.87</v>
      </c>
      <c r="D1185" s="2" t="s">
        <v>1055</v>
      </c>
      <c r="E1185" s="2">
        <v>54</v>
      </c>
      <c r="F1185" s="2">
        <v>55</v>
      </c>
      <c r="G1185" s="2">
        <v>34</v>
      </c>
      <c r="H1185" s="2" t="s">
        <v>240</v>
      </c>
      <c r="I1185" s="2" t="s">
        <v>72</v>
      </c>
      <c r="J1185" s="3" t="s">
        <v>32</v>
      </c>
      <c r="M1185" s="2">
        <f>IF(J1185="1000+", 1000, (LEFT(J1185,FIND("-",J1185)-1)+RIGHT(J1185,LEN(J1185)-FIND("-",J1185)))/2)</f>
        <v>45</v>
      </c>
      <c r="N1185" s="2">
        <f>ROUND(E1185 * 0.7+F1185 * 0.2+G1185 * 0.1,2)</f>
        <v>52.2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65</v>
      </c>
      <c r="P1185" s="2">
        <f>E1185 - O1185</f>
        <v>-11</v>
      </c>
      <c r="Q1185" s="2">
        <f>ROUND(
  SIGN(P1185)*
  IF(ABS(P1185)&lt;=10,ABS(P1185)*0.5,
     IF(ABS(P1185)&lt;=15,5+(ABS(P1185)-10)*(1.67/5),
        6.67+(ABS(P1185)-15)*0.333)),
2)</f>
        <v>-5.33</v>
      </c>
    </row>
    <row r="1186" spans="1:17" ht="34.5" customHeight="1" x14ac:dyDescent="0.3">
      <c r="B1186" s="2">
        <v>1185</v>
      </c>
      <c r="C1186" s="13">
        <f>ROUND(MAX(MIN(N1186 + Q1186, 100), 0), 2)</f>
        <v>46.73</v>
      </c>
      <c r="D1186" s="2" t="s">
        <v>1064</v>
      </c>
      <c r="E1186" s="2">
        <v>54</v>
      </c>
      <c r="F1186" s="7">
        <v>60</v>
      </c>
      <c r="G1186" s="2">
        <v>56</v>
      </c>
      <c r="H1186" s="2" t="s">
        <v>396</v>
      </c>
      <c r="I1186" s="2" t="s">
        <v>36</v>
      </c>
      <c r="J1186" s="3" t="s">
        <v>140</v>
      </c>
      <c r="M1186" s="2">
        <f>IF(J1186="1000+", 1000, (LEFT(J1186,FIND("-",J1186)-1)+RIGHT(J1186,LEN(J1186)-FIND("-",J1186)))/2)</f>
        <v>115</v>
      </c>
      <c r="N1186" s="2">
        <f>ROUND(E1186 * 0.7+F1186 * 0.2+G1186 * 0.1,2)</f>
        <v>55.4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75</v>
      </c>
      <c r="P1186" s="2">
        <f>E1186 - O1186</f>
        <v>-21</v>
      </c>
      <c r="Q1186" s="2">
        <f>ROUND(
  SIGN(P1186)*
  IF(ABS(P1186)&lt;=10,ABS(P1186)*0.5,
     IF(ABS(P1186)&lt;=15,5+(ABS(P1186)-10)*(1.67/5),
        6.67+(ABS(P1186)-15)*0.333)),
2)</f>
        <v>-8.67</v>
      </c>
    </row>
    <row r="1187" spans="1:17" ht="34.5" customHeight="1" x14ac:dyDescent="0.3">
      <c r="B1187" s="2">
        <v>1186</v>
      </c>
      <c r="C1187" s="13">
        <f>ROUND(MAX(MIN(N1187 + Q1187, 100), 0), 2)</f>
        <v>46.7</v>
      </c>
      <c r="D1187" s="2" t="s">
        <v>1097</v>
      </c>
      <c r="E1187" s="2">
        <v>57</v>
      </c>
      <c r="F1187" s="2">
        <v>40</v>
      </c>
      <c r="G1187" s="2">
        <v>48</v>
      </c>
      <c r="H1187" s="2" t="s">
        <v>339</v>
      </c>
      <c r="I1187" s="2" t="s">
        <v>49</v>
      </c>
      <c r="J1187" s="3" t="s">
        <v>18</v>
      </c>
      <c r="M1187" s="2">
        <f>IF(J1187="1000+", 1000, (LEFT(J1187,FIND("-",J1187)-1)+RIGHT(J1187,LEN(J1187)-FIND("-",J1187)))/2)</f>
        <v>75</v>
      </c>
      <c r="N1187" s="2">
        <f>ROUND(E1187 * 0.7+F1187 * 0.2+G1187 * 0.1,2)</f>
        <v>52.7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70</v>
      </c>
      <c r="P1187" s="2">
        <f>E1187 - O1187</f>
        <v>-13</v>
      </c>
      <c r="Q1187" s="2">
        <f>ROUND(
  SIGN(P1187)*
  IF(ABS(P1187)&lt;=10,ABS(P1187)*0.5,
     IF(ABS(P1187)&lt;=15,5+(ABS(P1187)-10)*(1.67/5),
        6.67+(ABS(P1187)-15)*0.333)),
2)</f>
        <v>-6</v>
      </c>
    </row>
    <row r="1188" spans="1:17" ht="34.5" customHeight="1" x14ac:dyDescent="0.3">
      <c r="A1188" s="2">
        <v>2026</v>
      </c>
      <c r="B1188" s="2">
        <v>1187</v>
      </c>
      <c r="C1188" s="13">
        <f>ROUND(MAX(MIN(N1188 + Q1188, 100), 0), 2)</f>
        <v>46.7</v>
      </c>
      <c r="D1188" s="2" t="s">
        <v>1746</v>
      </c>
      <c r="E1188" s="2">
        <v>52</v>
      </c>
      <c r="F1188" s="2">
        <v>55</v>
      </c>
      <c r="G1188" s="2">
        <v>53</v>
      </c>
      <c r="H1188" s="2" t="s">
        <v>1761</v>
      </c>
      <c r="I1188" s="2" t="s">
        <v>22</v>
      </c>
      <c r="J1188" s="3" t="s">
        <v>1771</v>
      </c>
      <c r="M1188" s="2">
        <f>IF(J1188="1000+", 1000, (LEFT(J1188,FIND("-",J1188)-1)+RIGHT(J1188,LEN(J1188)-FIND("-",J1188)))/2)</f>
        <v>45</v>
      </c>
      <c r="N1188" s="2">
        <f>ROUND(E1188 * 0.7+F1188 * 0.2+G1188 * 0.1,2)</f>
        <v>52.7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65</v>
      </c>
      <c r="P1188" s="2">
        <f>E1188 - O1188</f>
        <v>-13</v>
      </c>
      <c r="Q1188" s="2">
        <f>ROUND(
  SIGN(P1188)*
  IF(ABS(P1188)&lt;=10,ABS(P1188)*0.5,
     IF(ABS(P1188)&lt;=15,5+(ABS(P1188)-10)*(1.67/5),
        6.67+(ABS(P1188)-15)*0.333)),
2)</f>
        <v>-6</v>
      </c>
    </row>
    <row r="1189" spans="1:17" ht="34.5" customHeight="1" x14ac:dyDescent="0.3">
      <c r="B1189" s="2">
        <v>1188</v>
      </c>
      <c r="C1189" s="13">
        <f>ROUND(MAX(MIN(N1189 + Q1189, 100), 0), 2)</f>
        <v>46.56</v>
      </c>
      <c r="D1189" s="2" t="s">
        <v>1035</v>
      </c>
      <c r="E1189" s="2">
        <v>50</v>
      </c>
      <c r="F1189" s="7">
        <v>65</v>
      </c>
      <c r="G1189" s="7">
        <v>69</v>
      </c>
      <c r="H1189" s="2" t="s">
        <v>48</v>
      </c>
      <c r="I1189" s="2" t="s">
        <v>1589</v>
      </c>
      <c r="J1189" s="3" t="s">
        <v>18</v>
      </c>
      <c r="M1189" s="2">
        <f>IF(J1189="1000+", 1000, (LEFT(J1189,FIND("-",J1189)-1)+RIGHT(J1189,LEN(J1189)-FIND("-",J1189)))/2)</f>
        <v>75</v>
      </c>
      <c r="N1189" s="2">
        <f>ROUND(E1189 * 0.7+F1189 * 0.2+G1189 * 0.1,2)</f>
        <v>54.9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70</v>
      </c>
      <c r="P1189" s="2">
        <f>E1189 - O1189</f>
        <v>-20</v>
      </c>
      <c r="Q1189" s="2">
        <f>ROUND(
  SIGN(P1189)*
  IF(ABS(P1189)&lt;=10,ABS(P1189)*0.5,
     IF(ABS(P1189)&lt;=15,5+(ABS(P1189)-10)*(1.67/5),
        6.67+(ABS(P1189)-15)*0.333)),
2)</f>
        <v>-8.34</v>
      </c>
    </row>
    <row r="1190" spans="1:17" ht="34.5" customHeight="1" x14ac:dyDescent="0.3">
      <c r="A1190" s="2">
        <v>2026</v>
      </c>
      <c r="B1190" s="2">
        <v>1189</v>
      </c>
      <c r="C1190" s="13">
        <f>ROUND(MAX(MIN(N1190 + Q1190, 100), 0), 2)</f>
        <v>46.53</v>
      </c>
      <c r="D1190" s="2" t="s">
        <v>1790</v>
      </c>
      <c r="E1190" s="2">
        <v>53</v>
      </c>
      <c r="F1190" s="2">
        <v>56</v>
      </c>
      <c r="G1190" s="2">
        <v>49</v>
      </c>
      <c r="H1190" s="2" t="s">
        <v>1801</v>
      </c>
      <c r="I1190" s="2" t="s">
        <v>1385</v>
      </c>
      <c r="J1190" s="3" t="s">
        <v>1302</v>
      </c>
      <c r="M1190" s="2">
        <f>IF(J1190="1000+", 1000, (LEFT(J1190,FIND("-",J1190)-1)+RIGHT(J1190,LEN(J1190)-FIND("-",J1190)))/2)</f>
        <v>60</v>
      </c>
      <c r="N1190" s="2">
        <f>ROUND(E1190 * 0.7+F1190 * 0.2+G1190 * 0.1,2)</f>
        <v>53.2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68</v>
      </c>
      <c r="P1190" s="2">
        <f>E1190 - O1190</f>
        <v>-15</v>
      </c>
      <c r="Q1190" s="2">
        <f>ROUND(
  SIGN(P1190)*
  IF(ABS(P1190)&lt;=10,ABS(P1190)*0.5,
     IF(ABS(P1190)&lt;=15,5+(ABS(P1190)-10)*(1.67/5),
        6.67+(ABS(P1190)-15)*0.333)),
2)</f>
        <v>-6.67</v>
      </c>
    </row>
    <row r="1191" spans="1:17" ht="34.5" customHeight="1" x14ac:dyDescent="0.3">
      <c r="B1191" s="2">
        <v>1190</v>
      </c>
      <c r="C1191" s="13">
        <f>ROUND(MAX(MIN(N1191 + Q1191, 100), 0), 2)</f>
        <v>46.53</v>
      </c>
      <c r="D1191" s="2" t="s">
        <v>1052</v>
      </c>
      <c r="E1191" s="2">
        <v>53</v>
      </c>
      <c r="F1191" s="2">
        <v>50</v>
      </c>
      <c r="G1191" s="7">
        <v>61</v>
      </c>
      <c r="H1191" s="2" t="s">
        <v>40</v>
      </c>
      <c r="I1191" s="2" t="s">
        <v>36</v>
      </c>
      <c r="J1191" s="3" t="s">
        <v>23</v>
      </c>
      <c r="M1191" s="2">
        <f>IF(J1191="1000+", 1000, (LEFT(J1191,FIND("-",J1191)-1)+RIGHT(J1191,LEN(J1191)-FIND("-",J1191)))/2)</f>
        <v>60</v>
      </c>
      <c r="N1191" s="2">
        <f>ROUND(E1191 * 0.7+F1191 * 0.2+G1191 * 0.1,2)</f>
        <v>53.2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68</v>
      </c>
      <c r="P1191" s="2">
        <f>E1191 - O1191</f>
        <v>-15</v>
      </c>
      <c r="Q1191" s="2">
        <f>ROUND(
  SIGN(P1191)*
  IF(ABS(P1191)&lt;=10,ABS(P1191)*0.5,
     IF(ABS(P1191)&lt;=15,5+(ABS(P1191)-10)*(1.67/5),
        6.67+(ABS(P1191)-15)*0.333)),
2)</f>
        <v>-6.67</v>
      </c>
    </row>
    <row r="1192" spans="1:17" ht="34.5" customHeight="1" x14ac:dyDescent="0.3">
      <c r="B1192" s="2">
        <v>1191</v>
      </c>
      <c r="C1192" s="13">
        <f>ROUND(MAX(MIN(N1192 + Q1192, 100), 0), 2)</f>
        <v>46.53</v>
      </c>
      <c r="D1192" s="2" t="s">
        <v>1027</v>
      </c>
      <c r="E1192" s="2">
        <v>50</v>
      </c>
      <c r="F1192" s="7">
        <v>65</v>
      </c>
      <c r="G1192" s="2">
        <v>52</v>
      </c>
      <c r="H1192" s="2" t="s">
        <v>87</v>
      </c>
      <c r="I1192" s="2" t="s">
        <v>72</v>
      </c>
      <c r="J1192" s="3" t="s">
        <v>32</v>
      </c>
      <c r="M1192" s="2">
        <f>IF(J1192="1000+", 1000, (LEFT(J1192,FIND("-",J1192)-1)+RIGHT(J1192,LEN(J1192)-FIND("-",J1192)))/2)</f>
        <v>45</v>
      </c>
      <c r="N1192" s="2">
        <f>ROUND(E1192 * 0.7+F1192 * 0.2+G1192 * 0.1,2)</f>
        <v>53.2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65</v>
      </c>
      <c r="P1192" s="2">
        <f>E1192 - O1192</f>
        <v>-15</v>
      </c>
      <c r="Q1192" s="2">
        <f>ROUND(
  SIGN(P1192)*
  IF(ABS(P1192)&lt;=10,ABS(P1192)*0.5,
     IF(ABS(P1192)&lt;=15,5+(ABS(P1192)-10)*(1.67/5),
        6.67+(ABS(P1192)-15)*0.333)),
2)</f>
        <v>-6.67</v>
      </c>
    </row>
    <row r="1193" spans="1:17" ht="34.5" customHeight="1" x14ac:dyDescent="0.3">
      <c r="B1193" s="2">
        <v>1192</v>
      </c>
      <c r="C1193" s="13">
        <f>ROUND(MAX(MIN(N1193 + Q1193, 100), 0), 2)</f>
        <v>46.46</v>
      </c>
      <c r="D1193" s="2" t="s">
        <v>1068</v>
      </c>
      <c r="E1193" s="2">
        <v>53</v>
      </c>
      <c r="F1193" s="2">
        <v>55</v>
      </c>
      <c r="G1193" s="2">
        <v>57</v>
      </c>
      <c r="H1193" s="2" t="s">
        <v>324</v>
      </c>
      <c r="I1193" s="2" t="s">
        <v>218</v>
      </c>
      <c r="J1193" s="3" t="s">
        <v>18</v>
      </c>
      <c r="M1193" s="2">
        <f>IF(J1193="1000+", 1000, (LEFT(J1193,FIND("-",J1193)-1)+RIGHT(J1193,LEN(J1193)-FIND("-",J1193)))/2)</f>
        <v>75</v>
      </c>
      <c r="N1193" s="2">
        <f>ROUND(E1193 * 0.7+F1193 * 0.2+G1193 * 0.1,2)</f>
        <v>53.8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70</v>
      </c>
      <c r="P1193" s="2">
        <f>E1193 - O1193</f>
        <v>-17</v>
      </c>
      <c r="Q1193" s="2">
        <f>ROUND(
  SIGN(P1193)*
  IF(ABS(P1193)&lt;=10,ABS(P1193)*0.5,
     IF(ABS(P1193)&lt;=15,5+(ABS(P1193)-10)*(1.67/5),
        6.67+(ABS(P1193)-15)*0.333)),
2)</f>
        <v>-7.34</v>
      </c>
    </row>
    <row r="1194" spans="1:17" ht="34.5" customHeight="1" x14ac:dyDescent="0.3">
      <c r="B1194" s="2">
        <v>1193</v>
      </c>
      <c r="C1194" s="13">
        <f>ROUND(MAX(MIN(N1194 + Q1194, 100), 0), 2)</f>
        <v>46.43</v>
      </c>
      <c r="D1194" s="2" t="s">
        <v>1058</v>
      </c>
      <c r="E1194" s="2">
        <v>53</v>
      </c>
      <c r="F1194" s="2">
        <v>50</v>
      </c>
      <c r="G1194" s="2">
        <v>50</v>
      </c>
      <c r="H1194" s="2" t="s">
        <v>48</v>
      </c>
      <c r="I1194" s="2" t="s">
        <v>22</v>
      </c>
      <c r="J1194" s="3" t="s">
        <v>32</v>
      </c>
      <c r="M1194" s="2">
        <f>IF(J1194="1000+", 1000, (LEFT(J1194,FIND("-",J1194)-1)+RIGHT(J1194,LEN(J1194)-FIND("-",J1194)))/2)</f>
        <v>45</v>
      </c>
      <c r="N1194" s="2">
        <f>ROUND(E1194 * 0.7+F1194 * 0.2+G1194 * 0.1,2)</f>
        <v>52.1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65</v>
      </c>
      <c r="P1194" s="2">
        <f>E1194 - O1194</f>
        <v>-12</v>
      </c>
      <c r="Q1194" s="2">
        <f>ROUND(
  SIGN(P1194)*
  IF(ABS(P1194)&lt;=10,ABS(P1194)*0.5,
     IF(ABS(P1194)&lt;=15,5+(ABS(P1194)-10)*(1.67/5),
        6.67+(ABS(P1194)-15)*0.333)),
2)</f>
        <v>-5.67</v>
      </c>
    </row>
    <row r="1195" spans="1:17" ht="34.5" customHeight="1" x14ac:dyDescent="0.3">
      <c r="B1195" s="2">
        <v>1194</v>
      </c>
      <c r="C1195" s="13">
        <f>ROUND(MAX(MIN(N1195 + Q1195, 100), 0), 2)</f>
        <v>46.37</v>
      </c>
      <c r="D1195" s="2" t="s">
        <v>1084</v>
      </c>
      <c r="E1195" s="2">
        <v>59</v>
      </c>
      <c r="F1195" s="2">
        <v>50</v>
      </c>
      <c r="G1195" s="2">
        <v>54</v>
      </c>
      <c r="H1195" s="2" t="s">
        <v>512</v>
      </c>
      <c r="I1195" s="2" t="s">
        <v>513</v>
      </c>
      <c r="J1195" s="3" t="s">
        <v>14</v>
      </c>
      <c r="M1195" s="2">
        <f>IF(J1195="1000+", 1000, (LEFT(J1195,FIND("-",J1195)-1)+RIGHT(J1195,LEN(J1195)-FIND("-",J1195)))/2)</f>
        <v>225</v>
      </c>
      <c r="N1195" s="2">
        <f>ROUND(E1195 * 0.7+F1195 * 0.2+G1195 * 0.1,2)</f>
        <v>56.7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85</v>
      </c>
      <c r="P1195" s="2">
        <f>E1195 - O1195</f>
        <v>-26</v>
      </c>
      <c r="Q1195" s="2">
        <f>ROUND(
  SIGN(P1195)*
  IF(ABS(P1195)&lt;=10,ABS(P1195)*0.5,
     IF(ABS(P1195)&lt;=15,5+(ABS(P1195)-10)*(1.67/5),
        6.67+(ABS(P1195)-15)*0.333)),
2)</f>
        <v>-10.33</v>
      </c>
    </row>
    <row r="1196" spans="1:17" ht="34.5" customHeight="1" x14ac:dyDescent="0.3">
      <c r="B1196" s="2">
        <v>1195</v>
      </c>
      <c r="C1196" s="13">
        <f>ROUND(MAX(MIN(N1196 + Q1196, 100), 0), 2)</f>
        <v>46.36</v>
      </c>
      <c r="D1196" s="2" t="s">
        <v>1072</v>
      </c>
      <c r="E1196" s="2">
        <v>54</v>
      </c>
      <c r="F1196" s="2">
        <v>50</v>
      </c>
      <c r="G1196" s="2">
        <v>49</v>
      </c>
      <c r="H1196" s="2" t="s">
        <v>61</v>
      </c>
      <c r="I1196" s="2" t="s">
        <v>22</v>
      </c>
      <c r="J1196" s="3" t="s">
        <v>23</v>
      </c>
      <c r="M1196" s="2">
        <f>IF(J1196="1000+", 1000, (LEFT(J1196,FIND("-",J1196)-1)+RIGHT(J1196,LEN(J1196)-FIND("-",J1196)))/2)</f>
        <v>60</v>
      </c>
      <c r="N1196" s="2">
        <f>ROUND(E1196 * 0.7+F1196 * 0.2+G1196 * 0.1,2)</f>
        <v>52.7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68</v>
      </c>
      <c r="P1196" s="2">
        <f>E1196 - O1196</f>
        <v>-14</v>
      </c>
      <c r="Q1196" s="2">
        <f>ROUND(
  SIGN(P1196)*
  IF(ABS(P1196)&lt;=10,ABS(P1196)*0.5,
     IF(ABS(P1196)&lt;=15,5+(ABS(P1196)-10)*(1.67/5),
        6.67+(ABS(P1196)-15)*0.333)),
2)</f>
        <v>-6.34</v>
      </c>
    </row>
    <row r="1197" spans="1:17" ht="34.5" customHeight="1" x14ac:dyDescent="0.3">
      <c r="B1197" s="2">
        <v>1196</v>
      </c>
      <c r="C1197" s="13">
        <f>ROUND(MAX(MIN(N1197 + Q1197, 100), 0), 2)</f>
        <v>46.3</v>
      </c>
      <c r="D1197" s="2" t="s">
        <v>1051</v>
      </c>
      <c r="E1197" s="2">
        <v>52</v>
      </c>
      <c r="F1197" s="2">
        <v>52</v>
      </c>
      <c r="G1197" s="2">
        <v>35</v>
      </c>
      <c r="H1197" s="2" t="s">
        <v>171</v>
      </c>
      <c r="I1197" s="2" t="s">
        <v>72</v>
      </c>
      <c r="J1197" s="3" t="s">
        <v>132</v>
      </c>
      <c r="M1197" s="2">
        <f>IF(J1197="1000+", 1000, (LEFT(J1197,FIND("-",J1197)-1)+RIGHT(J1197,LEN(J1197)-FIND("-",J1197)))/2)</f>
        <v>20</v>
      </c>
      <c r="N1197" s="2">
        <f>ROUND(E1197 * 0.7+F1197 * 0.2+G1197 * 0.1,2)</f>
        <v>50.3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60</v>
      </c>
      <c r="P1197" s="2">
        <f>E1197 - O1197</f>
        <v>-8</v>
      </c>
      <c r="Q1197" s="2">
        <f>ROUND(
  SIGN(P1197)*
  IF(ABS(P1197)&lt;=10,ABS(P1197)*0.5,
     IF(ABS(P1197)&lt;=15,5+(ABS(P1197)-10)*(1.67/5),
        6.67+(ABS(P1197)-15)*0.333)),
2)</f>
        <v>-4</v>
      </c>
    </row>
    <row r="1198" spans="1:17" ht="34.5" customHeight="1" x14ac:dyDescent="0.3">
      <c r="A1198" s="2">
        <v>2026</v>
      </c>
      <c r="B1198" s="2">
        <v>1197</v>
      </c>
      <c r="C1198" s="13">
        <f>ROUND(MAX(MIN(N1198 + Q1198, 100), 0), 2)</f>
        <v>46.26</v>
      </c>
      <c r="D1198" s="2" t="s">
        <v>1862</v>
      </c>
      <c r="E1198" s="2">
        <v>53</v>
      </c>
      <c r="F1198" s="2">
        <v>56</v>
      </c>
      <c r="G1198" s="2">
        <v>53</v>
      </c>
      <c r="H1198" s="2" t="s">
        <v>1257</v>
      </c>
      <c r="I1198" s="2" t="s">
        <v>22</v>
      </c>
      <c r="J1198" s="3" t="s">
        <v>1264</v>
      </c>
      <c r="M1198" s="2">
        <f>IF(J1198="1000+", 1000, (LEFT(J1198,FIND("-",J1198)-1)+RIGHT(J1198,LEN(J1198)-FIND("-",J1198)))/2)</f>
        <v>75</v>
      </c>
      <c r="N1198" s="2">
        <f>ROUND(E1198 * 0.7+F1198 * 0.2+G1198 * 0.1,2)</f>
        <v>53.6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70</v>
      </c>
      <c r="P1198" s="2">
        <f>E1198 - O1198</f>
        <v>-17</v>
      </c>
      <c r="Q1198" s="2">
        <f>ROUND(
  SIGN(P1198)*
  IF(ABS(P1198)&lt;=10,ABS(P1198)*0.5,
     IF(ABS(P1198)&lt;=15,5+(ABS(P1198)-10)*(1.67/5),
        6.67+(ABS(P1198)-15)*0.333)),
2)</f>
        <v>-7.34</v>
      </c>
    </row>
    <row r="1199" spans="1:17" ht="34.5" customHeight="1" x14ac:dyDescent="0.3">
      <c r="A1199" s="2">
        <v>2026</v>
      </c>
      <c r="B1199" s="2">
        <v>1198</v>
      </c>
      <c r="C1199" s="13">
        <f>ROUND(MAX(MIN(N1199 + Q1199, 100), 0), 2)</f>
        <v>46.2</v>
      </c>
      <c r="D1199" s="2" t="s">
        <v>1750</v>
      </c>
      <c r="E1199" s="2">
        <v>52</v>
      </c>
      <c r="F1199" s="2">
        <v>50</v>
      </c>
      <c r="G1199" s="2">
        <v>48</v>
      </c>
      <c r="H1199" s="2" t="s">
        <v>1761</v>
      </c>
      <c r="I1199" s="2" t="s">
        <v>1765</v>
      </c>
      <c r="J1199" s="3" t="s">
        <v>1774</v>
      </c>
      <c r="M1199" s="2">
        <f>IF(J1199="1000+", 1000, (LEFT(J1199,FIND("-",J1199)-1)+RIGHT(J1199,LEN(J1199)-FIND("-",J1199)))/2)</f>
        <v>30</v>
      </c>
      <c r="N1199" s="2">
        <f>ROUND(E1199 * 0.7+F1199 * 0.2+G1199 * 0.1,2)</f>
        <v>51.2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62</v>
      </c>
      <c r="P1199" s="2">
        <f>E1199 - O1199</f>
        <v>-10</v>
      </c>
      <c r="Q1199" s="2">
        <f>ROUND(
  SIGN(P1199)*
  IF(ABS(P1199)&lt;=10,ABS(P1199)*0.5,
     IF(ABS(P1199)&lt;=15,5+(ABS(P1199)-10)*(1.67/5),
        6.67+(ABS(P1199)-15)*0.333)),
2)</f>
        <v>-5</v>
      </c>
    </row>
    <row r="1200" spans="1:17" ht="34.5" customHeight="1" x14ac:dyDescent="0.3">
      <c r="B1200" s="2">
        <v>1199</v>
      </c>
      <c r="C1200" s="13">
        <f>ROUND(MAX(MIN(N1200 + Q1200, 100), 0), 2)</f>
        <v>46.2</v>
      </c>
      <c r="D1200" s="2" t="s">
        <v>1030</v>
      </c>
      <c r="E1200" s="2">
        <v>49</v>
      </c>
      <c r="F1200" s="7">
        <v>62</v>
      </c>
      <c r="G1200" s="7">
        <v>65</v>
      </c>
      <c r="H1200" s="2" t="s">
        <v>48</v>
      </c>
      <c r="I1200" s="2" t="s">
        <v>394</v>
      </c>
      <c r="J1200" s="3" t="s">
        <v>32</v>
      </c>
      <c r="M1200" s="2">
        <f>IF(J1200="1000+", 1000, (LEFT(J1200,FIND("-",J1200)-1)+RIGHT(J1200,LEN(J1200)-FIND("-",J1200)))/2)</f>
        <v>45</v>
      </c>
      <c r="N1200" s="2">
        <f>ROUND(E1200 * 0.7+F1200 * 0.2+G1200 * 0.1,2)</f>
        <v>53.2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65</v>
      </c>
      <c r="P1200" s="2">
        <f>E1200 - O1200</f>
        <v>-16</v>
      </c>
      <c r="Q1200" s="2">
        <f>ROUND(
  SIGN(P1200)*
  IF(ABS(P1200)&lt;=10,ABS(P1200)*0.5,
     IF(ABS(P1200)&lt;=15,5+(ABS(P1200)-10)*(1.67/5),
        6.67+(ABS(P1200)-15)*0.333)),
2)</f>
        <v>-7</v>
      </c>
    </row>
    <row r="1201" spans="1:17" ht="34.5" customHeight="1" x14ac:dyDescent="0.3">
      <c r="B1201" s="2">
        <v>1200</v>
      </c>
      <c r="C1201" s="13">
        <f>ROUND(MAX(MIN(N1201 + Q1201, 100), 0), 2)</f>
        <v>46.1</v>
      </c>
      <c r="D1201" s="2" t="s">
        <v>1086</v>
      </c>
      <c r="E1201" s="2">
        <v>53</v>
      </c>
      <c r="F1201" s="2">
        <v>40</v>
      </c>
      <c r="G1201" s="2">
        <v>45</v>
      </c>
      <c r="H1201" s="2" t="s">
        <v>135</v>
      </c>
      <c r="I1201" s="2" t="s">
        <v>447</v>
      </c>
      <c r="J1201" s="3" t="s">
        <v>132</v>
      </c>
      <c r="M1201" s="2">
        <f>IF(J1201="1000+", 1000, (LEFT(J1201,FIND("-",J1201)-1)+RIGHT(J1201,LEN(J1201)-FIND("-",J1201)))/2)</f>
        <v>20</v>
      </c>
      <c r="N1201" s="2">
        <f>ROUND(E1201 * 0.7+F1201 * 0.2+G1201 * 0.1,2)</f>
        <v>49.6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60</v>
      </c>
      <c r="P1201" s="2">
        <f>E1201 - O1201</f>
        <v>-7</v>
      </c>
      <c r="Q1201" s="2">
        <f>ROUND(
  SIGN(P1201)*
  IF(ABS(P1201)&lt;=10,ABS(P1201)*0.5,
     IF(ABS(P1201)&lt;=15,5+(ABS(P1201)-10)*(1.67/5),
        6.67+(ABS(P1201)-15)*0.333)),
2)</f>
        <v>-3.5</v>
      </c>
    </row>
    <row r="1202" spans="1:17" ht="34.5" customHeight="1" x14ac:dyDescent="0.3">
      <c r="B1202" s="2">
        <v>1201</v>
      </c>
      <c r="C1202" s="13">
        <f>ROUND(MAX(MIN(N1202 + Q1202, 100), 0), 2)</f>
        <v>46.1</v>
      </c>
      <c r="D1202" s="2" t="s">
        <v>1059</v>
      </c>
      <c r="E1202" s="2">
        <v>52</v>
      </c>
      <c r="F1202" s="2">
        <v>55</v>
      </c>
      <c r="G1202" s="2">
        <v>47</v>
      </c>
      <c r="H1202" s="2" t="s">
        <v>217</v>
      </c>
      <c r="I1202" s="2" t="s">
        <v>22</v>
      </c>
      <c r="J1202" s="3" t="s">
        <v>32</v>
      </c>
      <c r="M1202" s="2">
        <f>IF(J1202="1000+", 1000, (LEFT(J1202,FIND("-",J1202)-1)+RIGHT(J1202,LEN(J1202)-FIND("-",J1202)))/2)</f>
        <v>45</v>
      </c>
      <c r="N1202" s="2">
        <f>ROUND(E1202 * 0.7+F1202 * 0.2+G1202 * 0.1,2)</f>
        <v>52.1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65</v>
      </c>
      <c r="P1202" s="2">
        <f>E1202 - O1202</f>
        <v>-13</v>
      </c>
      <c r="Q1202" s="2">
        <f>ROUND(
  SIGN(P1202)*
  IF(ABS(P1202)&lt;=10,ABS(P1202)*0.5,
     IF(ABS(P1202)&lt;=15,5+(ABS(P1202)-10)*(1.67/5),
        6.67+(ABS(P1202)-15)*0.333)),
2)</f>
        <v>-6</v>
      </c>
    </row>
    <row r="1203" spans="1:17" ht="34.5" customHeight="1" x14ac:dyDescent="0.3">
      <c r="B1203" s="2">
        <v>1202</v>
      </c>
      <c r="C1203" s="13">
        <f>ROUND(MAX(MIN(N1203 + Q1203, 100), 0), 2)</f>
        <v>46.1</v>
      </c>
      <c r="D1203" s="2" t="s">
        <v>1020</v>
      </c>
      <c r="E1203" s="2">
        <v>49</v>
      </c>
      <c r="F1203" s="7">
        <v>63</v>
      </c>
      <c r="G1203" s="2">
        <v>52</v>
      </c>
      <c r="H1203" s="2" t="s">
        <v>48</v>
      </c>
      <c r="I1203" s="2" t="s">
        <v>218</v>
      </c>
      <c r="J1203" s="3" t="s">
        <v>146</v>
      </c>
      <c r="M1203" s="2">
        <f>IF(J1203="1000+", 1000, (LEFT(J1203,FIND("-",J1203)-1)+RIGHT(J1203,LEN(J1203)-FIND("-",J1203)))/2)</f>
        <v>30</v>
      </c>
      <c r="N1203" s="2">
        <f>ROUND(E1203 * 0.7+F1203 * 0.2+G1203 * 0.1,2)</f>
        <v>52.1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62</v>
      </c>
      <c r="P1203" s="2">
        <f>E1203 - O1203</f>
        <v>-13</v>
      </c>
      <c r="Q1203" s="2">
        <f>ROUND(
  SIGN(P1203)*
  IF(ABS(P1203)&lt;=10,ABS(P1203)*0.5,
     IF(ABS(P1203)&lt;=15,5+(ABS(P1203)-10)*(1.67/5),
        6.67+(ABS(P1203)-15)*0.333)),
2)</f>
        <v>-6</v>
      </c>
    </row>
    <row r="1204" spans="1:17" ht="34.5" customHeight="1" x14ac:dyDescent="0.3">
      <c r="B1204" s="2">
        <v>1203</v>
      </c>
      <c r="C1204" s="13">
        <f>ROUND(MAX(MIN(N1204 + Q1204, 100), 0), 2)</f>
        <v>46</v>
      </c>
      <c r="D1204" s="2" t="s">
        <v>1061</v>
      </c>
      <c r="E1204" s="2">
        <v>52</v>
      </c>
      <c r="F1204" s="2">
        <v>57</v>
      </c>
      <c r="G1204" s="2">
        <v>52</v>
      </c>
      <c r="H1204" s="2" t="s">
        <v>217</v>
      </c>
      <c r="I1204" s="2" t="s">
        <v>22</v>
      </c>
      <c r="J1204" s="3" t="s">
        <v>23</v>
      </c>
      <c r="M1204" s="2">
        <f>IF(J1204="1000+", 1000, (LEFT(J1204,FIND("-",J1204)-1)+RIGHT(J1204,LEN(J1204)-FIND("-",J1204)))/2)</f>
        <v>60</v>
      </c>
      <c r="N1204" s="2">
        <f>ROUND(E1204 * 0.7+F1204 * 0.2+G1204 * 0.1,2)</f>
        <v>53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68</v>
      </c>
      <c r="P1204" s="2">
        <f>E1204 - O1204</f>
        <v>-16</v>
      </c>
      <c r="Q1204" s="2">
        <f>ROUND(
  SIGN(P1204)*
  IF(ABS(P1204)&lt;=10,ABS(P1204)*0.5,
     IF(ABS(P1204)&lt;=15,5+(ABS(P1204)-10)*(1.67/5),
        6.67+(ABS(P1204)-15)*0.333)),
2)</f>
        <v>-7</v>
      </c>
    </row>
    <row r="1205" spans="1:17" ht="34.5" customHeight="1" x14ac:dyDescent="0.3">
      <c r="B1205" s="2">
        <v>1204</v>
      </c>
      <c r="C1205" s="13">
        <f>ROUND(MAX(MIN(N1205 + Q1205, 100), 0), 2)</f>
        <v>45.87</v>
      </c>
      <c r="D1205" s="2" t="s">
        <v>1070</v>
      </c>
      <c r="E1205" s="2">
        <v>52</v>
      </c>
      <c r="F1205" s="7">
        <v>63</v>
      </c>
      <c r="G1205" s="7">
        <v>62</v>
      </c>
      <c r="H1205" s="2" t="s">
        <v>48</v>
      </c>
      <c r="I1205" s="2" t="s">
        <v>1071</v>
      </c>
      <c r="J1205" s="3" t="s">
        <v>140</v>
      </c>
      <c r="M1205" s="2">
        <f>IF(J1205="1000+", 1000, (LEFT(J1205,FIND("-",J1205)-1)+RIGHT(J1205,LEN(J1205)-FIND("-",J1205)))/2)</f>
        <v>115</v>
      </c>
      <c r="N1205" s="2">
        <f>ROUND(E1205 * 0.7+F1205 * 0.2+G1205 * 0.1,2)</f>
        <v>55.2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75</v>
      </c>
      <c r="P1205" s="2">
        <f>E1205 - O1205</f>
        <v>-23</v>
      </c>
      <c r="Q1205" s="2">
        <f>ROUND(
  SIGN(P1205)*
  IF(ABS(P1205)&lt;=10,ABS(P1205)*0.5,
     IF(ABS(P1205)&lt;=15,5+(ABS(P1205)-10)*(1.67/5),
        6.67+(ABS(P1205)-15)*0.333)),
2)</f>
        <v>-9.33</v>
      </c>
    </row>
    <row r="1206" spans="1:17" ht="34.5" customHeight="1" x14ac:dyDescent="0.3">
      <c r="B1206" s="2">
        <v>1205</v>
      </c>
      <c r="C1206" s="13">
        <f>ROUND(MAX(MIN(N1206 + Q1206, 100), 0), 2)</f>
        <v>45.86</v>
      </c>
      <c r="D1206" s="2" t="s">
        <v>1054</v>
      </c>
      <c r="E1206" s="2">
        <v>51</v>
      </c>
      <c r="F1206" s="7">
        <v>60</v>
      </c>
      <c r="G1206" s="2">
        <v>55</v>
      </c>
      <c r="H1206" s="2" t="s">
        <v>217</v>
      </c>
      <c r="I1206" s="2" t="s">
        <v>22</v>
      </c>
      <c r="J1206" s="3" t="s">
        <v>23</v>
      </c>
      <c r="M1206" s="2">
        <f>IF(J1206="1000+", 1000, (LEFT(J1206,FIND("-",J1206)-1)+RIGHT(J1206,LEN(J1206)-FIND("-",J1206)))/2)</f>
        <v>60</v>
      </c>
      <c r="N1206" s="2">
        <f>ROUND(E1206 * 0.7+F1206 * 0.2+G1206 * 0.1,2)</f>
        <v>53.2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68</v>
      </c>
      <c r="P1206" s="2">
        <f>E1206 - O1206</f>
        <v>-17</v>
      </c>
      <c r="Q1206" s="2">
        <f>ROUND(
  SIGN(P1206)*
  IF(ABS(P1206)&lt;=10,ABS(P1206)*0.5,
     IF(ABS(P1206)&lt;=15,5+(ABS(P1206)-10)*(1.67/5),
        6.67+(ABS(P1206)-15)*0.333)),
2)</f>
        <v>-7.34</v>
      </c>
    </row>
    <row r="1207" spans="1:17" ht="34.5" customHeight="1" x14ac:dyDescent="0.3">
      <c r="B1207" s="2">
        <v>1206</v>
      </c>
      <c r="C1207" s="13">
        <f>ROUND(MAX(MIN(N1207 + Q1207, 100), 0), 2)</f>
        <v>45.8</v>
      </c>
      <c r="D1207" s="2" t="s">
        <v>1092</v>
      </c>
      <c r="E1207" s="2">
        <v>49</v>
      </c>
      <c r="F1207" s="2">
        <v>55</v>
      </c>
      <c r="G1207" s="2">
        <v>35</v>
      </c>
      <c r="H1207" s="2" t="s">
        <v>401</v>
      </c>
      <c r="I1207" s="2" t="s">
        <v>72</v>
      </c>
      <c r="J1207" s="3" t="s">
        <v>37</v>
      </c>
      <c r="M1207" s="2">
        <f>IF(J1207="1000+", 1000, (LEFT(J1207,FIND("-",J1207)-1)+RIGHT(J1207,LEN(J1207)-FIND("-",J1207)))/2)</f>
        <v>15</v>
      </c>
      <c r="N1207" s="2">
        <f>ROUND(E1207 * 0.7+F1207 * 0.2+G1207 * 0.1,2)</f>
        <v>48.8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55</v>
      </c>
      <c r="P1207" s="2">
        <f>E1207 - O1207</f>
        <v>-6</v>
      </c>
      <c r="Q1207" s="2">
        <f>ROUND(
  SIGN(P1207)*
  IF(ABS(P1207)&lt;=10,ABS(P1207)*0.5,
     IF(ABS(P1207)&lt;=15,5+(ABS(P1207)-10)*(1.67/5),
        6.67+(ABS(P1207)-15)*0.333)),
2)</f>
        <v>-3</v>
      </c>
    </row>
    <row r="1208" spans="1:17" ht="34.5" customHeight="1" x14ac:dyDescent="0.3">
      <c r="B1208" s="2">
        <v>1207</v>
      </c>
      <c r="C1208" s="13">
        <f>ROUND(MAX(MIN(N1208 + Q1208, 100), 0), 2)</f>
        <v>45.73</v>
      </c>
      <c r="D1208" s="2" t="s">
        <v>1079</v>
      </c>
      <c r="E1208" s="2">
        <v>56</v>
      </c>
      <c r="F1208" s="7">
        <v>60</v>
      </c>
      <c r="G1208" s="2">
        <v>42</v>
      </c>
      <c r="H1208" s="2" t="s">
        <v>699</v>
      </c>
      <c r="I1208" s="2" t="s">
        <v>325</v>
      </c>
      <c r="J1208" s="3" t="s">
        <v>88</v>
      </c>
      <c r="M1208" s="2">
        <f>IF(J1208="1000+", 1000, (LEFT(J1208,FIND("-",J1208)-1)+RIGHT(J1208,LEN(J1208)-FIND("-",J1208)))/2)</f>
        <v>150</v>
      </c>
      <c r="N1208" s="2">
        <f>ROUND(E1208 * 0.7+F1208 * 0.2+G1208 * 0.1,2)</f>
        <v>55.4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80</v>
      </c>
      <c r="P1208" s="2">
        <f>E1208 - O1208</f>
        <v>-24</v>
      </c>
      <c r="Q1208" s="2">
        <f>ROUND(
  SIGN(P1208)*
  IF(ABS(P1208)&lt;=10,ABS(P1208)*0.5,
     IF(ABS(P1208)&lt;=15,5+(ABS(P1208)-10)*(1.67/5),
        6.67+(ABS(P1208)-15)*0.333)),
2)</f>
        <v>-9.67</v>
      </c>
    </row>
    <row r="1209" spans="1:17" ht="34.5" customHeight="1" x14ac:dyDescent="0.3">
      <c r="B1209" s="2">
        <v>1208</v>
      </c>
      <c r="C1209" s="13">
        <f>ROUND(MAX(MIN(N1209 + Q1209, 100), 0), 2)</f>
        <v>45.6</v>
      </c>
      <c r="D1209" s="2" t="s">
        <v>1098</v>
      </c>
      <c r="E1209" s="2">
        <v>55</v>
      </c>
      <c r="F1209" s="2">
        <v>48</v>
      </c>
      <c r="G1209" s="2">
        <v>35</v>
      </c>
      <c r="H1209" s="2" t="s">
        <v>171</v>
      </c>
      <c r="I1209" s="2" t="s">
        <v>447</v>
      </c>
      <c r="J1209" s="3" t="s">
        <v>23</v>
      </c>
      <c r="M1209" s="2">
        <f>IF(J1209="1000+", 1000, (LEFT(J1209,FIND("-",J1209)-1)+RIGHT(J1209,LEN(J1209)-FIND("-",J1209)))/2)</f>
        <v>60</v>
      </c>
      <c r="N1209" s="2">
        <f>ROUND(E1209 * 0.7+F1209 * 0.2+G1209 * 0.1,2)</f>
        <v>51.6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68</v>
      </c>
      <c r="P1209" s="2">
        <f>E1209 - O1209</f>
        <v>-13</v>
      </c>
      <c r="Q1209" s="2">
        <f>ROUND(
  SIGN(P1209)*
  IF(ABS(P1209)&lt;=10,ABS(P1209)*0.5,
     IF(ABS(P1209)&lt;=15,5+(ABS(P1209)-10)*(1.67/5),
        6.67+(ABS(P1209)-15)*0.333)),
2)</f>
        <v>-6</v>
      </c>
    </row>
    <row r="1210" spans="1:17" ht="34.5" customHeight="1" x14ac:dyDescent="0.3">
      <c r="B1210" s="2">
        <v>1209</v>
      </c>
      <c r="C1210" s="13">
        <f>ROUND(MAX(MIN(N1210 + Q1210, 100), 0), 2)</f>
        <v>45.6</v>
      </c>
      <c r="D1210" s="2" t="s">
        <v>1109</v>
      </c>
      <c r="E1210" s="2">
        <v>53</v>
      </c>
      <c r="F1210" s="2">
        <v>57</v>
      </c>
      <c r="G1210" s="2">
        <v>51</v>
      </c>
      <c r="H1210" s="2" t="s">
        <v>217</v>
      </c>
      <c r="I1210" s="2" t="s">
        <v>22</v>
      </c>
      <c r="J1210" s="3" t="s">
        <v>122</v>
      </c>
      <c r="M1210" s="2">
        <f>IF(J1210="1000+", 1000, (LEFT(J1210,FIND("-",J1210)-1)+RIGHT(J1210,LEN(J1210)-FIND("-",J1210)))/2)</f>
        <v>105</v>
      </c>
      <c r="N1210" s="2">
        <f>ROUND(E1210 * 0.7+F1210 * 0.2+G1210 * 0.1,2)</f>
        <v>53.6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72</v>
      </c>
      <c r="P1210" s="2">
        <f>E1210 - O1210</f>
        <v>-19</v>
      </c>
      <c r="Q1210" s="2">
        <f>ROUND(
  SIGN(P1210)*
  IF(ABS(P1210)&lt;=10,ABS(P1210)*0.5,
     IF(ABS(P1210)&lt;=15,5+(ABS(P1210)-10)*(1.67/5),
        6.67+(ABS(P1210)-15)*0.333)),
2)</f>
        <v>-8</v>
      </c>
    </row>
    <row r="1211" spans="1:17" ht="34.5" customHeight="1" x14ac:dyDescent="0.3">
      <c r="B1211" s="2">
        <v>1210</v>
      </c>
      <c r="C1211" s="13">
        <f>ROUND(MAX(MIN(N1211 + Q1211, 100), 0), 2)</f>
        <v>45.6</v>
      </c>
      <c r="D1211" s="2" t="s">
        <v>1087</v>
      </c>
      <c r="E1211" s="2">
        <v>50</v>
      </c>
      <c r="F1211" s="7">
        <v>65</v>
      </c>
      <c r="G1211" s="7">
        <v>66</v>
      </c>
      <c r="H1211" s="2" t="s">
        <v>31</v>
      </c>
      <c r="I1211" s="2" t="s">
        <v>165</v>
      </c>
      <c r="J1211" s="3" t="s">
        <v>122</v>
      </c>
      <c r="M1211" s="2">
        <f>IF(J1211="1000+", 1000, (LEFT(J1211,FIND("-",J1211)-1)+RIGHT(J1211,LEN(J1211)-FIND("-",J1211)))/2)</f>
        <v>105</v>
      </c>
      <c r="N1211" s="2">
        <f>ROUND(E1211 * 0.7+F1211 * 0.2+G1211 * 0.1,2)</f>
        <v>54.6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72</v>
      </c>
      <c r="P1211" s="2">
        <f>E1211 - O1211</f>
        <v>-22</v>
      </c>
      <c r="Q1211" s="2">
        <f>ROUND(
  SIGN(P1211)*
  IF(ABS(P1211)&lt;=10,ABS(P1211)*0.5,
     IF(ABS(P1211)&lt;=15,5+(ABS(P1211)-10)*(1.67/5),
        6.67+(ABS(P1211)-15)*0.333)),
2)</f>
        <v>-9</v>
      </c>
    </row>
    <row r="1212" spans="1:17" ht="34.5" customHeight="1" x14ac:dyDescent="0.3">
      <c r="B1212" s="2">
        <v>1211</v>
      </c>
      <c r="C1212" s="13">
        <f>ROUND(MAX(MIN(N1212 + Q1212, 100), 0), 2)</f>
        <v>45.43</v>
      </c>
      <c r="D1212" s="2" t="s">
        <v>1108</v>
      </c>
      <c r="E1212" s="2">
        <v>55</v>
      </c>
      <c r="F1212" s="2">
        <v>50</v>
      </c>
      <c r="G1212" s="2">
        <v>36</v>
      </c>
      <c r="H1212" s="2" t="s">
        <v>605</v>
      </c>
      <c r="I1212" s="2" t="s">
        <v>72</v>
      </c>
      <c r="J1212" s="3" t="s">
        <v>18</v>
      </c>
      <c r="M1212" s="2">
        <f>IF(J1212="1000+", 1000, (LEFT(J1212,FIND("-",J1212)-1)+RIGHT(J1212,LEN(J1212)-FIND("-",J1212)))/2)</f>
        <v>75</v>
      </c>
      <c r="N1212" s="2">
        <f>ROUND(E1212 * 0.7+F1212 * 0.2+G1212 * 0.1,2)</f>
        <v>52.1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70</v>
      </c>
      <c r="P1212" s="2">
        <f>E1212 - O1212</f>
        <v>-15</v>
      </c>
      <c r="Q1212" s="2">
        <f>ROUND(
  SIGN(P1212)*
  IF(ABS(P1212)&lt;=10,ABS(P1212)*0.5,
     IF(ABS(P1212)&lt;=15,5+(ABS(P1212)-10)*(1.67/5),
        6.67+(ABS(P1212)-15)*0.333)),
2)</f>
        <v>-6.67</v>
      </c>
    </row>
    <row r="1213" spans="1:17" ht="34.5" customHeight="1" x14ac:dyDescent="0.3">
      <c r="B1213" s="2">
        <v>1212</v>
      </c>
      <c r="C1213" s="13">
        <f>ROUND(MAX(MIN(N1213 + Q1213, 100), 0), 2)</f>
        <v>45.43</v>
      </c>
      <c r="D1213" s="2" t="s">
        <v>1056</v>
      </c>
      <c r="E1213" s="2">
        <v>53</v>
      </c>
      <c r="F1213" s="7">
        <v>64</v>
      </c>
      <c r="G1213" s="7">
        <v>62</v>
      </c>
      <c r="H1213" s="2" t="s">
        <v>71</v>
      </c>
      <c r="I1213" s="2" t="s">
        <v>218</v>
      </c>
      <c r="J1213" s="3" t="s">
        <v>88</v>
      </c>
      <c r="M1213" s="2">
        <f>IF(J1213="1000+", 1000, (LEFT(J1213,FIND("-",J1213)-1)+RIGHT(J1213,LEN(J1213)-FIND("-",J1213)))/2)</f>
        <v>150</v>
      </c>
      <c r="N1213" s="2">
        <f>ROUND(E1213 * 0.7+F1213 * 0.2+G1213 * 0.1,2)</f>
        <v>56.1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80</v>
      </c>
      <c r="P1213" s="2">
        <f>E1213 - O1213</f>
        <v>-27</v>
      </c>
      <c r="Q1213" s="2">
        <f>ROUND(
  SIGN(P1213)*
  IF(ABS(P1213)&lt;=10,ABS(P1213)*0.5,
     IF(ABS(P1213)&lt;=15,5+(ABS(P1213)-10)*(1.67/5),
        6.67+(ABS(P1213)-15)*0.333)),
2)</f>
        <v>-10.67</v>
      </c>
    </row>
    <row r="1214" spans="1:17" ht="34.5" customHeight="1" x14ac:dyDescent="0.3">
      <c r="A1214" s="2">
        <v>2026</v>
      </c>
      <c r="B1214" s="2">
        <v>1213</v>
      </c>
      <c r="C1214" s="13">
        <f>ROUND(MAX(MIN(N1214 + Q1214, 100), 0), 2)</f>
        <v>45.43</v>
      </c>
      <c r="D1214" s="2" t="s">
        <v>1918</v>
      </c>
      <c r="E1214" s="2">
        <v>50</v>
      </c>
      <c r="F1214" s="7">
        <v>60</v>
      </c>
      <c r="G1214" s="2">
        <v>51</v>
      </c>
      <c r="H1214" s="2" t="s">
        <v>1256</v>
      </c>
      <c r="I1214" s="2" t="s">
        <v>36</v>
      </c>
      <c r="J1214" s="3" t="s">
        <v>1262</v>
      </c>
      <c r="M1214" s="2">
        <f>IF(J1214="1000+", 1000, (LEFT(J1214,FIND("-",J1214)-1)+RIGHT(J1214,LEN(J1214)-FIND("-",J1214)))/2)</f>
        <v>45</v>
      </c>
      <c r="N1214" s="2">
        <f>ROUND(E1214 * 0.7+F1214 * 0.2+G1214 * 0.1,2)</f>
        <v>52.1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65</v>
      </c>
      <c r="P1214" s="2">
        <f>E1214 - O1214</f>
        <v>-15</v>
      </c>
      <c r="Q1214" s="2">
        <f>ROUND(
  SIGN(P1214)*
  IF(ABS(P1214)&lt;=10,ABS(P1214)*0.5,
     IF(ABS(P1214)&lt;=15,5+(ABS(P1214)-10)*(1.67/5),
        6.67+(ABS(P1214)-15)*0.333)),
2)</f>
        <v>-6.67</v>
      </c>
    </row>
    <row r="1215" spans="1:17" ht="34.5" customHeight="1" x14ac:dyDescent="0.3">
      <c r="B1215" s="2">
        <v>1214</v>
      </c>
      <c r="C1215" s="13">
        <f>ROUND(MAX(MIN(N1215 + Q1215, 100), 0), 2)</f>
        <v>45.4</v>
      </c>
      <c r="D1215" s="2" t="s">
        <v>1048</v>
      </c>
      <c r="E1215" s="2">
        <v>49</v>
      </c>
      <c r="F1215" s="2">
        <v>54</v>
      </c>
      <c r="G1215" s="5">
        <v>73</v>
      </c>
      <c r="H1215" s="2" t="s">
        <v>434</v>
      </c>
      <c r="I1215" s="2" t="s">
        <v>218</v>
      </c>
      <c r="J1215" s="3" t="s">
        <v>32</v>
      </c>
      <c r="M1215" s="2">
        <f>IF(J1215="1000+", 1000, (LEFT(J1215,FIND("-",J1215)-1)+RIGHT(J1215,LEN(J1215)-FIND("-",J1215)))/2)</f>
        <v>45</v>
      </c>
      <c r="N1215" s="2">
        <f>ROUND(E1215 * 0.7+F1215 * 0.2+G1215 * 0.1,2)</f>
        <v>52.4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65</v>
      </c>
      <c r="P1215" s="2">
        <f>E1215 - O1215</f>
        <v>-16</v>
      </c>
      <c r="Q1215" s="2">
        <f>ROUND(
  SIGN(P1215)*
  IF(ABS(P1215)&lt;=10,ABS(P1215)*0.5,
     IF(ABS(P1215)&lt;=15,5+(ABS(P1215)-10)*(1.67/5),
        6.67+(ABS(P1215)-15)*0.333)),
2)</f>
        <v>-7</v>
      </c>
    </row>
    <row r="1216" spans="1:17" ht="34.5" customHeight="1" x14ac:dyDescent="0.3">
      <c r="A1216" s="2">
        <v>2026</v>
      </c>
      <c r="B1216" s="2">
        <v>1215</v>
      </c>
      <c r="C1216" s="13">
        <f>ROUND(MAX(MIN(N1216 + Q1216, 100), 0), 2)</f>
        <v>45.4</v>
      </c>
      <c r="D1216" s="2" t="s">
        <v>1841</v>
      </c>
      <c r="E1216" s="2">
        <v>49</v>
      </c>
      <c r="F1216" s="7">
        <v>62</v>
      </c>
      <c r="G1216" s="7">
        <v>67</v>
      </c>
      <c r="H1216" s="2" t="s">
        <v>1256</v>
      </c>
      <c r="I1216" s="2" t="s">
        <v>1385</v>
      </c>
      <c r="J1216" s="3" t="s">
        <v>1302</v>
      </c>
      <c r="M1216" s="2">
        <f>IF(J1216="1000+", 1000, (LEFT(J1216,FIND("-",J1216)-1)+RIGHT(J1216,LEN(J1216)-FIND("-",J1216)))/2)</f>
        <v>60</v>
      </c>
      <c r="N1216" s="2">
        <f>ROUND(E1216 * 0.7+F1216 * 0.2+G1216 * 0.1,2)</f>
        <v>53.4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68</v>
      </c>
      <c r="P1216" s="2">
        <f>E1216 - O1216</f>
        <v>-19</v>
      </c>
      <c r="Q1216" s="2">
        <f>ROUND(
  SIGN(P1216)*
  IF(ABS(P1216)&lt;=10,ABS(P1216)*0.5,
     IF(ABS(P1216)&lt;=15,5+(ABS(P1216)-10)*(1.67/5),
        6.67+(ABS(P1216)-15)*0.333)),
2)</f>
        <v>-8</v>
      </c>
    </row>
    <row r="1217" spans="1:17" ht="34.5" customHeight="1" x14ac:dyDescent="0.3">
      <c r="B1217" s="2">
        <v>1216</v>
      </c>
      <c r="C1217" s="13">
        <f>ROUND(MAX(MIN(N1217 + Q1217, 100), 0), 2)</f>
        <v>45.36</v>
      </c>
      <c r="D1217" s="2" t="s">
        <v>1073</v>
      </c>
      <c r="E1217" s="2">
        <v>51</v>
      </c>
      <c r="F1217" s="7">
        <v>60</v>
      </c>
      <c r="G1217" s="2">
        <v>40</v>
      </c>
      <c r="H1217" s="2" t="s">
        <v>31</v>
      </c>
      <c r="I1217" s="2" t="s">
        <v>22</v>
      </c>
      <c r="J1217" s="3" t="s">
        <v>32</v>
      </c>
      <c r="M1217" s="2">
        <f>IF(J1217="1000+", 1000, (LEFT(J1217,FIND("-",J1217)-1)+RIGHT(J1217,LEN(J1217)-FIND("-",J1217)))/2)</f>
        <v>45</v>
      </c>
      <c r="N1217" s="2">
        <f>ROUND(E1217 * 0.7+F1217 * 0.2+G1217 * 0.1,2)</f>
        <v>51.7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65</v>
      </c>
      <c r="P1217" s="2">
        <f>E1217 - O1217</f>
        <v>-14</v>
      </c>
      <c r="Q1217" s="2">
        <f>ROUND(
  SIGN(P1217)*
  IF(ABS(P1217)&lt;=10,ABS(P1217)*0.5,
     IF(ABS(P1217)&lt;=15,5+(ABS(P1217)-10)*(1.67/5),
        6.67+(ABS(P1217)-15)*0.333)),
2)</f>
        <v>-6.34</v>
      </c>
    </row>
    <row r="1218" spans="1:17" ht="34.5" customHeight="1" x14ac:dyDescent="0.3">
      <c r="B1218" s="2">
        <v>1217</v>
      </c>
      <c r="C1218" s="13">
        <f>ROUND(MAX(MIN(N1218 + Q1218, 100), 0), 2)</f>
        <v>45.3</v>
      </c>
      <c r="D1218" s="2" t="s">
        <v>1081</v>
      </c>
      <c r="E1218" s="2">
        <v>51</v>
      </c>
      <c r="F1218" s="7">
        <v>60</v>
      </c>
      <c r="G1218" s="2">
        <v>56</v>
      </c>
      <c r="H1218" s="2" t="s">
        <v>381</v>
      </c>
      <c r="I1218" s="2" t="s">
        <v>382</v>
      </c>
      <c r="J1218" s="3" t="s">
        <v>18</v>
      </c>
      <c r="M1218" s="2">
        <f>IF(J1218="1000+", 1000, (LEFT(J1218,FIND("-",J1218)-1)+RIGHT(J1218,LEN(J1218)-FIND("-",J1218)))/2)</f>
        <v>75</v>
      </c>
      <c r="N1218" s="2">
        <f>ROUND(E1218 * 0.7+F1218 * 0.2+G1218 * 0.1,2)</f>
        <v>53.3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70</v>
      </c>
      <c r="P1218" s="2">
        <f>E1218 - O1218</f>
        <v>-19</v>
      </c>
      <c r="Q1218" s="2">
        <f>ROUND(
  SIGN(P1218)*
  IF(ABS(P1218)&lt;=10,ABS(P1218)*0.5,
     IF(ABS(P1218)&lt;=15,5+(ABS(P1218)-10)*(1.67/5),
        6.67+(ABS(P1218)-15)*0.333)),
2)</f>
        <v>-8</v>
      </c>
    </row>
    <row r="1219" spans="1:17" ht="34.5" customHeight="1" x14ac:dyDescent="0.3">
      <c r="B1219" s="2">
        <v>1218</v>
      </c>
      <c r="C1219" s="13">
        <f>ROUND(MAX(MIN(N1219 + Q1219, 100), 0), 2)</f>
        <v>45.3</v>
      </c>
      <c r="D1219" s="2" t="s">
        <v>1050</v>
      </c>
      <c r="E1219" s="2">
        <v>49</v>
      </c>
      <c r="F1219" s="7">
        <v>60</v>
      </c>
      <c r="G1219" s="7">
        <v>60</v>
      </c>
      <c r="H1219" s="2" t="s">
        <v>31</v>
      </c>
      <c r="I1219" s="2" t="s">
        <v>22</v>
      </c>
      <c r="J1219" s="3" t="s">
        <v>32</v>
      </c>
      <c r="M1219" s="2">
        <f>IF(J1219="1000+", 1000, (LEFT(J1219,FIND("-",J1219)-1)+RIGHT(J1219,LEN(J1219)-FIND("-",J1219)))/2)</f>
        <v>45</v>
      </c>
      <c r="N1219" s="2">
        <f>ROUND(E1219 * 0.7+F1219 * 0.2+G1219 * 0.1,2)</f>
        <v>52.3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65</v>
      </c>
      <c r="P1219" s="2">
        <f>E1219 - O1219</f>
        <v>-16</v>
      </c>
      <c r="Q1219" s="2">
        <f>ROUND(
  SIGN(P1219)*
  IF(ABS(P1219)&lt;=10,ABS(P1219)*0.5,
     IF(ABS(P1219)&lt;=15,5+(ABS(P1219)-10)*(1.67/5),
        6.67+(ABS(P1219)-15)*0.333)),
2)</f>
        <v>-7</v>
      </c>
    </row>
    <row r="1220" spans="1:17" ht="34.5" customHeight="1" x14ac:dyDescent="0.3">
      <c r="B1220" s="2">
        <v>1219</v>
      </c>
      <c r="C1220" s="13">
        <f>ROUND(MAX(MIN(N1220 + Q1220, 100), 0), 2)</f>
        <v>45.26</v>
      </c>
      <c r="D1220" s="2" t="s">
        <v>1146</v>
      </c>
      <c r="E1220" s="2">
        <v>58</v>
      </c>
      <c r="F1220" s="2">
        <v>45</v>
      </c>
      <c r="G1220" s="2">
        <v>30</v>
      </c>
      <c r="H1220" s="2" t="s">
        <v>31</v>
      </c>
      <c r="I1220" s="2" t="s">
        <v>316</v>
      </c>
      <c r="J1220" s="3" t="s">
        <v>140</v>
      </c>
      <c r="M1220" s="2">
        <f>IF(J1220="1000+", 1000, (LEFT(J1220,FIND("-",J1220)-1)+RIGHT(J1220,LEN(J1220)-FIND("-",J1220)))/2)</f>
        <v>115</v>
      </c>
      <c r="N1220" s="2">
        <f>ROUND(E1220 * 0.7+F1220 * 0.2+G1220 * 0.1,2)</f>
        <v>52.6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75</v>
      </c>
      <c r="P1220" s="2">
        <f>E1220 - O1220</f>
        <v>-17</v>
      </c>
      <c r="Q1220" s="2">
        <f>ROUND(
  SIGN(P1220)*
  IF(ABS(P1220)&lt;=10,ABS(P1220)*0.5,
     IF(ABS(P1220)&lt;=15,5+(ABS(P1220)-10)*(1.67/5),
        6.67+(ABS(P1220)-15)*0.333)),
2)</f>
        <v>-7.34</v>
      </c>
    </row>
    <row r="1221" spans="1:17" ht="34.5" customHeight="1" x14ac:dyDescent="0.3">
      <c r="B1221" s="2">
        <v>1220</v>
      </c>
      <c r="C1221" s="13">
        <f>ROUND(MAX(MIN(N1221 + Q1221, 100), 0), 2)</f>
        <v>45.2</v>
      </c>
      <c r="D1221" s="2" t="s">
        <v>1166</v>
      </c>
      <c r="E1221" s="2">
        <v>59</v>
      </c>
      <c r="F1221" s="2">
        <v>21</v>
      </c>
      <c r="G1221" s="2">
        <v>42</v>
      </c>
      <c r="H1221" s="2" t="s">
        <v>197</v>
      </c>
      <c r="I1221" s="2" t="s">
        <v>1167</v>
      </c>
      <c r="J1221" s="3" t="s">
        <v>23</v>
      </c>
      <c r="M1221" s="2">
        <f>IF(J1221="1000+", 1000, (LEFT(J1221,FIND("-",J1221)-1)+RIGHT(J1221,LEN(J1221)-FIND("-",J1221)))/2)</f>
        <v>60</v>
      </c>
      <c r="N1221" s="2">
        <f>ROUND(E1221 * 0.7+F1221 * 0.2+G1221 * 0.1,2)</f>
        <v>49.7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68</v>
      </c>
      <c r="P1221" s="2">
        <f>E1221 - O1221</f>
        <v>-9</v>
      </c>
      <c r="Q1221" s="2">
        <f>ROUND(
  SIGN(P1221)*
  IF(ABS(P1221)&lt;=10,ABS(P1221)*0.5,
     IF(ABS(P1221)&lt;=15,5+(ABS(P1221)-10)*(1.67/5),
        6.67+(ABS(P1221)-15)*0.333)),
2)</f>
        <v>-4.5</v>
      </c>
    </row>
    <row r="1222" spans="1:17" ht="34.5" customHeight="1" x14ac:dyDescent="0.3">
      <c r="B1222" s="2">
        <v>1221</v>
      </c>
      <c r="C1222" s="13">
        <f>ROUND(MAX(MIN(N1222 + Q1222, 100), 0), 2)</f>
        <v>45.2</v>
      </c>
      <c r="D1222" s="2" t="s">
        <v>1095</v>
      </c>
      <c r="E1222" s="2">
        <v>52</v>
      </c>
      <c r="F1222" s="2">
        <v>45</v>
      </c>
      <c r="G1222" s="2">
        <v>38</v>
      </c>
      <c r="H1222" s="2" t="s">
        <v>48</v>
      </c>
      <c r="I1222" s="2" t="s">
        <v>72</v>
      </c>
      <c r="J1222" s="3" t="s">
        <v>132</v>
      </c>
      <c r="M1222" s="2">
        <f>IF(J1222="1000+", 1000, (LEFT(J1222,FIND("-",J1222)-1)+RIGHT(J1222,LEN(J1222)-FIND("-",J1222)))/2)</f>
        <v>20</v>
      </c>
      <c r="N1222" s="2">
        <f>ROUND(E1222 * 0.7+F1222 * 0.2+G1222 * 0.1,2)</f>
        <v>49.2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60</v>
      </c>
      <c r="P1222" s="2">
        <f>E1222 - O1222</f>
        <v>-8</v>
      </c>
      <c r="Q1222" s="2">
        <f>ROUND(
  SIGN(P1222)*
  IF(ABS(P1222)&lt;=10,ABS(P1222)*0.5,
     IF(ABS(P1222)&lt;=15,5+(ABS(P1222)-10)*(1.67/5),
        6.67+(ABS(P1222)-15)*0.333)),
2)</f>
        <v>-4</v>
      </c>
    </row>
    <row r="1223" spans="1:17" ht="34.5" customHeight="1" x14ac:dyDescent="0.3">
      <c r="B1223" s="2">
        <v>1222</v>
      </c>
      <c r="C1223" s="13">
        <f>ROUND(MAX(MIN(N1223 + Q1223, 100), 0), 2)</f>
        <v>45.2</v>
      </c>
      <c r="D1223" s="2" t="s">
        <v>1083</v>
      </c>
      <c r="E1223" s="2">
        <v>55</v>
      </c>
      <c r="F1223" s="2">
        <v>58</v>
      </c>
      <c r="G1223" s="2">
        <v>51</v>
      </c>
      <c r="H1223" s="2" t="s">
        <v>174</v>
      </c>
      <c r="I1223" s="2" t="s">
        <v>218</v>
      </c>
      <c r="J1223" s="3" t="s">
        <v>88</v>
      </c>
      <c r="M1223" s="2">
        <f>IF(J1223="1000+", 1000, (LEFT(J1223,FIND("-",J1223)-1)+RIGHT(J1223,LEN(J1223)-FIND("-",J1223)))/2)</f>
        <v>150</v>
      </c>
      <c r="N1223" s="2">
        <f>ROUND(E1223 * 0.7+F1223 * 0.2+G1223 * 0.1,2)</f>
        <v>55.2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80</v>
      </c>
      <c r="P1223" s="2">
        <f>E1223 - O1223</f>
        <v>-25</v>
      </c>
      <c r="Q1223" s="2">
        <f>ROUND(
  SIGN(P1223)*
  IF(ABS(P1223)&lt;=10,ABS(P1223)*0.5,
     IF(ABS(P1223)&lt;=15,5+(ABS(P1223)-10)*(1.67/5),
        6.67+(ABS(P1223)-15)*0.333)),
2)</f>
        <v>-10</v>
      </c>
    </row>
    <row r="1224" spans="1:17" ht="34.5" customHeight="1" x14ac:dyDescent="0.3">
      <c r="B1224" s="2">
        <v>1223</v>
      </c>
      <c r="C1224" s="13">
        <f>ROUND(MAX(MIN(N1224 + Q1224, 100), 0), 2)</f>
        <v>45.16</v>
      </c>
      <c r="D1224" s="2" t="s">
        <v>1120</v>
      </c>
      <c r="E1224" s="2">
        <v>55</v>
      </c>
      <c r="F1224" s="2">
        <v>50</v>
      </c>
      <c r="G1224" s="2">
        <v>50</v>
      </c>
      <c r="H1224" s="2" t="s">
        <v>48</v>
      </c>
      <c r="I1224" s="2" t="s">
        <v>218</v>
      </c>
      <c r="J1224" s="3" t="s">
        <v>140</v>
      </c>
      <c r="M1224" s="2">
        <f>IF(J1224="1000+", 1000, (LEFT(J1224,FIND("-",J1224)-1)+RIGHT(J1224,LEN(J1224)-FIND("-",J1224)))/2)</f>
        <v>115</v>
      </c>
      <c r="N1224" s="2">
        <f>ROUND(E1224 * 0.7+F1224 * 0.2+G1224 * 0.1,2)</f>
        <v>53.5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75</v>
      </c>
      <c r="P1224" s="2">
        <f>E1224 - O1224</f>
        <v>-20</v>
      </c>
      <c r="Q1224" s="2">
        <f>ROUND(
  SIGN(P1224)*
  IF(ABS(P1224)&lt;=10,ABS(P1224)*0.5,
     IF(ABS(P1224)&lt;=15,5+(ABS(P1224)-10)*(1.67/5),
        6.67+(ABS(P1224)-15)*0.333)),
2)</f>
        <v>-8.34</v>
      </c>
    </row>
    <row r="1225" spans="1:17" ht="34.5" customHeight="1" x14ac:dyDescent="0.3">
      <c r="B1225" s="2">
        <v>1224</v>
      </c>
      <c r="C1225" s="13">
        <f>ROUND(MAX(MIN(N1225 + Q1225, 100), 0), 2)</f>
        <v>45.07</v>
      </c>
      <c r="D1225" s="2" t="s">
        <v>1103</v>
      </c>
      <c r="E1225" s="2">
        <v>52</v>
      </c>
      <c r="F1225" s="7">
        <v>65</v>
      </c>
      <c r="G1225" s="2">
        <v>50</v>
      </c>
      <c r="H1225" s="2" t="s">
        <v>104</v>
      </c>
      <c r="I1225" s="2" t="s">
        <v>177</v>
      </c>
      <c r="J1225" s="3" t="s">
        <v>140</v>
      </c>
      <c r="M1225" s="2">
        <f>IF(J1225="1000+", 1000, (LEFT(J1225,FIND("-",J1225)-1)+RIGHT(J1225,LEN(J1225)-FIND("-",J1225)))/2)</f>
        <v>115</v>
      </c>
      <c r="N1225" s="2">
        <f>ROUND(E1225 * 0.7+F1225 * 0.2+G1225 * 0.1,2)</f>
        <v>54.4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75</v>
      </c>
      <c r="P1225" s="2">
        <f>E1225 - O1225</f>
        <v>-23</v>
      </c>
      <c r="Q1225" s="2">
        <f>ROUND(
  SIGN(P1225)*
  IF(ABS(P1225)&lt;=10,ABS(P1225)*0.5,
     IF(ABS(P1225)&lt;=15,5+(ABS(P1225)-10)*(1.67/5),
        6.67+(ABS(P1225)-15)*0.333)),
2)</f>
        <v>-9.33</v>
      </c>
    </row>
    <row r="1226" spans="1:17" ht="34.5" customHeight="1" x14ac:dyDescent="0.3">
      <c r="B1226" s="2">
        <v>1225</v>
      </c>
      <c r="C1226" s="13">
        <f>ROUND(MAX(MIN(N1226 + Q1226, 100), 0), 2)</f>
        <v>45.06</v>
      </c>
      <c r="D1226" s="2" t="s">
        <v>1078</v>
      </c>
      <c r="E1226" s="2">
        <v>51</v>
      </c>
      <c r="F1226" s="2">
        <v>56</v>
      </c>
      <c r="G1226" s="2">
        <v>45</v>
      </c>
      <c r="H1226" s="2" t="s">
        <v>31</v>
      </c>
      <c r="I1226" s="2" t="s">
        <v>72</v>
      </c>
      <c r="J1226" s="3" t="s">
        <v>32</v>
      </c>
      <c r="M1226" s="2">
        <f>IF(J1226="1000+", 1000, (LEFT(J1226,FIND("-",J1226)-1)+RIGHT(J1226,LEN(J1226)-FIND("-",J1226)))/2)</f>
        <v>45</v>
      </c>
      <c r="N1226" s="2">
        <f>ROUND(E1226 * 0.7+F1226 * 0.2+G1226 * 0.1,2)</f>
        <v>51.4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65</v>
      </c>
      <c r="P1226" s="2">
        <f>E1226 - O1226</f>
        <v>-14</v>
      </c>
      <c r="Q1226" s="2">
        <f>ROUND(
  SIGN(P1226)*
  IF(ABS(P1226)&lt;=10,ABS(P1226)*0.5,
     IF(ABS(P1226)&lt;=15,5+(ABS(P1226)-10)*(1.67/5),
        6.67+(ABS(P1226)-15)*0.333)),
2)</f>
        <v>-6.34</v>
      </c>
    </row>
    <row r="1227" spans="1:17" ht="34.5" customHeight="1" x14ac:dyDescent="0.3">
      <c r="B1227" s="2">
        <v>1226</v>
      </c>
      <c r="C1227" s="13">
        <f>ROUND(MAX(MIN(N1227 + Q1227, 100), 0), 2)</f>
        <v>45.03</v>
      </c>
      <c r="D1227" s="2" t="s">
        <v>1117</v>
      </c>
      <c r="E1227" s="2">
        <v>55</v>
      </c>
      <c r="F1227" s="2">
        <v>40</v>
      </c>
      <c r="G1227" s="2">
        <v>52</v>
      </c>
      <c r="H1227" s="2" t="s">
        <v>217</v>
      </c>
      <c r="I1227" s="2" t="s">
        <v>22</v>
      </c>
      <c r="J1227" s="3" t="s">
        <v>18</v>
      </c>
      <c r="M1227" s="2">
        <f>IF(J1227="1000+", 1000, (LEFT(J1227,FIND("-",J1227)-1)+RIGHT(J1227,LEN(J1227)-FIND("-",J1227)))/2)</f>
        <v>75</v>
      </c>
      <c r="N1227" s="2">
        <f>ROUND(E1227 * 0.7+F1227 * 0.2+G1227 * 0.1,2)</f>
        <v>51.7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70</v>
      </c>
      <c r="P1227" s="2">
        <f>E1227 - O1227</f>
        <v>-15</v>
      </c>
      <c r="Q1227" s="2">
        <f>ROUND(
  SIGN(P1227)*
  IF(ABS(P1227)&lt;=10,ABS(P1227)*0.5,
     IF(ABS(P1227)&lt;=15,5+(ABS(P1227)-10)*(1.67/5),
        6.67+(ABS(P1227)-15)*0.333)),
2)</f>
        <v>-6.67</v>
      </c>
    </row>
    <row r="1228" spans="1:17" ht="34.5" customHeight="1" x14ac:dyDescent="0.3">
      <c r="B1228" s="2">
        <v>1227</v>
      </c>
      <c r="C1228" s="13">
        <f>ROUND(MAX(MIN(N1228 + Q1228, 100), 0), 2)</f>
        <v>45</v>
      </c>
      <c r="D1228" s="2" t="s">
        <v>1152</v>
      </c>
      <c r="E1228" s="2">
        <v>47</v>
      </c>
      <c r="F1228" s="2">
        <v>50</v>
      </c>
      <c r="G1228" s="2">
        <v>36</v>
      </c>
      <c r="H1228" s="2" t="s">
        <v>104</v>
      </c>
      <c r="I1228" s="2" t="s">
        <v>447</v>
      </c>
      <c r="J1228" s="3" t="s">
        <v>92</v>
      </c>
      <c r="M1228" s="2">
        <f>IF(J1228="1000+", 1000, (LEFT(J1228,FIND("-",J1228)-1)+RIGHT(J1228,LEN(J1228)-FIND("-",J1228)))/2)</f>
        <v>12.5</v>
      </c>
      <c r="N1228" s="2">
        <f>ROUND(E1228 * 0.7+F1228 * 0.2+G1228 * 0.1,2)</f>
        <v>46.5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50</v>
      </c>
      <c r="P1228" s="2">
        <f>E1228 - O1228</f>
        <v>-3</v>
      </c>
      <c r="Q1228" s="2">
        <f>ROUND(
  SIGN(P1228)*
  IF(ABS(P1228)&lt;=10,ABS(P1228)*0.5,
     IF(ABS(P1228)&lt;=15,5+(ABS(P1228)-10)*(1.67/5),
        6.67+(ABS(P1228)-15)*0.333)),
2)</f>
        <v>-1.5</v>
      </c>
    </row>
    <row r="1229" spans="1:17" ht="34.5" customHeight="1" x14ac:dyDescent="0.3">
      <c r="B1229" s="2">
        <v>1228</v>
      </c>
      <c r="C1229" s="13">
        <f>ROUND(MAX(MIN(N1229 + Q1229, 100), 0), 2)</f>
        <v>45</v>
      </c>
      <c r="D1229" s="2" t="s">
        <v>1063</v>
      </c>
      <c r="E1229" s="2">
        <v>50</v>
      </c>
      <c r="F1229" s="2">
        <v>55</v>
      </c>
      <c r="G1229" s="2">
        <v>40</v>
      </c>
      <c r="H1229" s="2" t="s">
        <v>31</v>
      </c>
      <c r="I1229" s="2" t="s">
        <v>36</v>
      </c>
      <c r="J1229" s="3" t="s">
        <v>132</v>
      </c>
      <c r="M1229" s="2">
        <f>IF(J1229="1000+", 1000, (LEFT(J1229,FIND("-",J1229)-1)+RIGHT(J1229,LEN(J1229)-FIND("-",J1229)))/2)</f>
        <v>20</v>
      </c>
      <c r="N1229" s="2">
        <f>ROUND(E1229 * 0.7+F1229 * 0.2+G1229 * 0.1,2)</f>
        <v>50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60</v>
      </c>
      <c r="P1229" s="2">
        <f>E1229 - O1229</f>
        <v>-10</v>
      </c>
      <c r="Q1229" s="2">
        <f>ROUND(
  SIGN(P1229)*
  IF(ABS(P1229)&lt;=10,ABS(P1229)*0.5,
     IF(ABS(P1229)&lt;=15,5+(ABS(P1229)-10)*(1.67/5),
        6.67+(ABS(P1229)-15)*0.333)),
2)</f>
        <v>-5</v>
      </c>
    </row>
    <row r="1230" spans="1:17" ht="34.5" customHeight="1" x14ac:dyDescent="0.3">
      <c r="A1230" s="2">
        <v>2026</v>
      </c>
      <c r="B1230" s="2">
        <v>1229</v>
      </c>
      <c r="C1230" s="13">
        <f>ROUND(MAX(MIN(N1230 + Q1230, 100), 0), 2)</f>
        <v>45</v>
      </c>
      <c r="D1230" s="2" t="s">
        <v>1715</v>
      </c>
      <c r="E1230" s="2">
        <v>50</v>
      </c>
      <c r="F1230" s="7">
        <v>60</v>
      </c>
      <c r="G1230" s="5">
        <v>70</v>
      </c>
      <c r="H1230" s="2" t="s">
        <v>1726</v>
      </c>
      <c r="I1230" s="2" t="s">
        <v>1727</v>
      </c>
      <c r="J1230" s="3" t="s">
        <v>1733</v>
      </c>
      <c r="M1230" s="2">
        <f>IF(J1230="1000+", 1000, (LEFT(J1230,FIND("-",J1230)-1)+RIGHT(J1230,LEN(J1230)-FIND("-",J1230)))/2)</f>
        <v>105</v>
      </c>
      <c r="N1230" s="2">
        <f>ROUND(E1230 * 0.7+F1230 * 0.2+G1230 * 0.1,2)</f>
        <v>54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72</v>
      </c>
      <c r="P1230" s="2">
        <f>E1230 - O1230</f>
        <v>-22</v>
      </c>
      <c r="Q1230" s="2">
        <f>ROUND(
  SIGN(P1230)*
  IF(ABS(P1230)&lt;=10,ABS(P1230)*0.5,
     IF(ABS(P1230)&lt;=15,5+(ABS(P1230)-10)*(1.67/5),
        6.67+(ABS(P1230)-15)*0.333)),
2)</f>
        <v>-9</v>
      </c>
    </row>
    <row r="1231" spans="1:17" ht="34.5" customHeight="1" x14ac:dyDescent="0.3">
      <c r="B1231" s="2">
        <v>1230</v>
      </c>
      <c r="C1231" s="13">
        <f>ROUND(MAX(MIN(N1231 + Q1231, 100), 0), 2)</f>
        <v>44.9</v>
      </c>
      <c r="D1231" s="2" t="s">
        <v>1091</v>
      </c>
      <c r="E1231" s="2">
        <v>56</v>
      </c>
      <c r="F1231" s="7">
        <v>62</v>
      </c>
      <c r="G1231" s="2">
        <v>53</v>
      </c>
      <c r="H1231" s="2" t="s">
        <v>710</v>
      </c>
      <c r="I1231" s="2" t="s">
        <v>637</v>
      </c>
      <c r="J1231" s="3" t="s">
        <v>65</v>
      </c>
      <c r="M1231" s="2">
        <f>IF(J1231="1000+", 1000, (LEFT(J1231,FIND("-",J1231)-1)+RIGHT(J1231,LEN(J1231)-FIND("-",J1231)))/2)</f>
        <v>250</v>
      </c>
      <c r="N1231" s="2">
        <f>ROUND(E1231 * 0.7+F1231 * 0.2+G1231 * 0.1,2)</f>
        <v>56.9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87</v>
      </c>
      <c r="P1231" s="2">
        <f>E1231 - O1231</f>
        <v>-31</v>
      </c>
      <c r="Q1231" s="2">
        <f>ROUND(
  SIGN(P1231)*
  IF(ABS(P1231)&lt;=10,ABS(P1231)*0.5,
     IF(ABS(P1231)&lt;=15,5+(ABS(P1231)-10)*(1.67/5),
        6.67+(ABS(P1231)-15)*0.333)),
2)</f>
        <v>-12</v>
      </c>
    </row>
    <row r="1232" spans="1:17" ht="34.5" customHeight="1" x14ac:dyDescent="0.3">
      <c r="B1232" s="2">
        <v>1231</v>
      </c>
      <c r="C1232" s="13">
        <f>ROUND(MAX(MIN(N1232 + Q1232, 100), 0), 2)</f>
        <v>44.87</v>
      </c>
      <c r="D1232" s="2" t="s">
        <v>1069</v>
      </c>
      <c r="E1232" s="2">
        <v>51</v>
      </c>
      <c r="F1232" s="2">
        <v>55</v>
      </c>
      <c r="G1232" s="2">
        <v>35</v>
      </c>
      <c r="H1232" s="2" t="s">
        <v>64</v>
      </c>
      <c r="I1232" s="2" t="s">
        <v>316</v>
      </c>
      <c r="J1232" s="3" t="s">
        <v>146</v>
      </c>
      <c r="M1232" s="2">
        <f>IF(J1232="1000+", 1000, (LEFT(J1232,FIND("-",J1232)-1)+RIGHT(J1232,LEN(J1232)-FIND("-",J1232)))/2)</f>
        <v>30</v>
      </c>
      <c r="N1232" s="2">
        <f>ROUND(E1232 * 0.7+F1232 * 0.2+G1232 * 0.1,2)</f>
        <v>50.2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62</v>
      </c>
      <c r="P1232" s="2">
        <f>E1232 - O1232</f>
        <v>-11</v>
      </c>
      <c r="Q1232" s="2">
        <f>ROUND(
  SIGN(P1232)*
  IF(ABS(P1232)&lt;=10,ABS(P1232)*0.5,
     IF(ABS(P1232)&lt;=15,5+(ABS(P1232)-10)*(1.67/5),
        6.67+(ABS(P1232)-15)*0.333)),
2)</f>
        <v>-5.33</v>
      </c>
    </row>
    <row r="1233" spans="1:17" ht="34.5" customHeight="1" x14ac:dyDescent="0.3">
      <c r="A1233" s="2">
        <v>2026</v>
      </c>
      <c r="B1233" s="2">
        <v>1232</v>
      </c>
      <c r="C1233" s="13">
        <f>ROUND(MAX(MIN(N1233 + Q1233, 100), 0), 2)</f>
        <v>44.87</v>
      </c>
      <c r="D1233" s="2" t="s">
        <v>1965</v>
      </c>
      <c r="E1233" s="2">
        <v>52</v>
      </c>
      <c r="F1233" s="7">
        <v>61</v>
      </c>
      <c r="G1233" s="2">
        <v>56</v>
      </c>
      <c r="H1233" s="2" t="s">
        <v>1257</v>
      </c>
      <c r="I1233" s="2" t="s">
        <v>1727</v>
      </c>
      <c r="J1233" s="3" t="s">
        <v>1301</v>
      </c>
      <c r="M1233" s="2">
        <f>IF(J1233="1000+", 1000, (LEFT(J1233,FIND("-",J1233)-1)+RIGHT(J1233,LEN(J1233)-FIND("-",J1233)))/2)</f>
        <v>115</v>
      </c>
      <c r="N1233" s="2">
        <f>ROUND(E1233 * 0.7+F1233 * 0.2+G1233 * 0.1,2)</f>
        <v>54.2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75</v>
      </c>
      <c r="P1233" s="2">
        <f>E1233 - O1233</f>
        <v>-23</v>
      </c>
      <c r="Q1233" s="2">
        <f>ROUND(
  SIGN(P1233)*
  IF(ABS(P1233)&lt;=10,ABS(P1233)*0.5,
     IF(ABS(P1233)&lt;=15,5+(ABS(P1233)-10)*(1.67/5),
        6.67+(ABS(P1233)-15)*0.333)),
2)</f>
        <v>-9.33</v>
      </c>
    </row>
    <row r="1234" spans="1:17" ht="34.5" customHeight="1" x14ac:dyDescent="0.3">
      <c r="A1234" s="2">
        <v>2026</v>
      </c>
      <c r="B1234" s="2">
        <v>1233</v>
      </c>
      <c r="C1234" s="13">
        <f>ROUND(MAX(MIN(N1234 + Q1234, 100), 0), 2)</f>
        <v>44.86</v>
      </c>
      <c r="D1234" s="2" t="s">
        <v>1953</v>
      </c>
      <c r="E1234" s="2">
        <v>51</v>
      </c>
      <c r="F1234" s="2">
        <v>55</v>
      </c>
      <c r="G1234" s="2">
        <v>45</v>
      </c>
      <c r="H1234" s="2" t="s">
        <v>1257</v>
      </c>
      <c r="I1234" s="2" t="s">
        <v>1259</v>
      </c>
      <c r="J1234" s="3" t="s">
        <v>1262</v>
      </c>
      <c r="M1234" s="2">
        <f>IF(J1234="1000+", 1000, (LEFT(J1234,FIND("-",J1234)-1)+RIGHT(J1234,LEN(J1234)-FIND("-",J1234)))/2)</f>
        <v>45</v>
      </c>
      <c r="N1234" s="2">
        <f>ROUND(E1234 * 0.7+F1234 * 0.2+G1234 * 0.1,2)</f>
        <v>51.2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65</v>
      </c>
      <c r="P1234" s="2">
        <f>E1234 - O1234</f>
        <v>-14</v>
      </c>
      <c r="Q1234" s="2">
        <f>ROUND(
  SIGN(P1234)*
  IF(ABS(P1234)&lt;=10,ABS(P1234)*0.5,
     IF(ABS(P1234)&lt;=15,5+(ABS(P1234)-10)*(1.67/5),
        6.67+(ABS(P1234)-15)*0.333)),
2)</f>
        <v>-6.34</v>
      </c>
    </row>
    <row r="1235" spans="1:17" ht="34.5" customHeight="1" x14ac:dyDescent="0.3">
      <c r="A1235" s="2">
        <v>2026</v>
      </c>
      <c r="B1235" s="2">
        <v>1234</v>
      </c>
      <c r="C1235" s="13">
        <f>ROUND(MAX(MIN(N1235 + Q1235, 100), 0), 2)</f>
        <v>44.8</v>
      </c>
      <c r="D1235" s="2" t="s">
        <v>1966</v>
      </c>
      <c r="E1235" s="2">
        <v>50</v>
      </c>
      <c r="F1235" s="7">
        <v>62</v>
      </c>
      <c r="G1235" s="7">
        <v>64</v>
      </c>
      <c r="H1235" s="2" t="s">
        <v>31</v>
      </c>
      <c r="I1235" s="2" t="s">
        <v>1484</v>
      </c>
      <c r="J1235" s="3" t="s">
        <v>1279</v>
      </c>
      <c r="M1235" s="2">
        <f>IF(J1235="1000+", 1000, (LEFT(J1235,FIND("-",J1235)-1)+RIGHT(J1235,LEN(J1235)-FIND("-",J1235)))/2)</f>
        <v>105</v>
      </c>
      <c r="N1235" s="2">
        <f>ROUND(E1235 * 0.7+F1235 * 0.2+G1235 * 0.1,2)</f>
        <v>53.8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72</v>
      </c>
      <c r="P1235" s="2">
        <f>E1235 - O1235</f>
        <v>-22</v>
      </c>
      <c r="Q1235" s="2">
        <f>ROUND(
  SIGN(P1235)*
  IF(ABS(P1235)&lt;=10,ABS(P1235)*0.5,
     IF(ABS(P1235)&lt;=15,5+(ABS(P1235)-10)*(1.67/5),
        6.67+(ABS(P1235)-15)*0.333)),
2)</f>
        <v>-9</v>
      </c>
    </row>
    <row r="1236" spans="1:17" ht="34.5" customHeight="1" x14ac:dyDescent="0.3">
      <c r="A1236" s="2">
        <v>2026</v>
      </c>
      <c r="B1236" s="2">
        <v>1235</v>
      </c>
      <c r="C1236" s="13">
        <f>ROUND(MAX(MIN(N1236 + Q1236, 100), 0), 2)</f>
        <v>44.7</v>
      </c>
      <c r="D1236" s="11" t="s">
        <v>1305</v>
      </c>
      <c r="E1236" s="2">
        <v>49</v>
      </c>
      <c r="F1236" s="2">
        <v>59</v>
      </c>
      <c r="G1236" s="2">
        <v>46</v>
      </c>
      <c r="H1236" s="11" t="s">
        <v>1256</v>
      </c>
      <c r="I1236" s="11" t="s">
        <v>1288</v>
      </c>
      <c r="J1236" s="19" t="s">
        <v>1263</v>
      </c>
      <c r="M1236" s="2">
        <f>IF(J1236="1000+", 1000, (LEFT(J1236,FIND("-",J1236)-1)+RIGHT(J1236,LEN(J1236)-FIND("-",J1236)))/2)</f>
        <v>30</v>
      </c>
      <c r="N1236" s="2">
        <f>ROUND(E1236 * 0.7+F1236 * 0.2+G1236 * 0.1,2)</f>
        <v>50.7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62</v>
      </c>
      <c r="P1236" s="2">
        <f>E1236 - O1236</f>
        <v>-13</v>
      </c>
      <c r="Q1236" s="2">
        <f>ROUND(
  SIGN(P1236)*
  IF(ABS(P1236)&lt;=10,ABS(P1236)*0.5,
     IF(ABS(P1236)&lt;=15,5+(ABS(P1236)-10)*(1.67/5),
        6.67+(ABS(P1236)-15)*0.333)),
2)</f>
        <v>-6</v>
      </c>
    </row>
    <row r="1237" spans="1:17" ht="34.5" customHeight="1" x14ac:dyDescent="0.3">
      <c r="B1237" s="2">
        <v>1236</v>
      </c>
      <c r="C1237" s="13">
        <f>ROUND(MAX(MIN(N1237 + Q1237, 100), 0), 2)</f>
        <v>44.63</v>
      </c>
      <c r="D1237" s="2" t="s">
        <v>1106</v>
      </c>
      <c r="E1237" s="2">
        <v>52</v>
      </c>
      <c r="F1237" s="2">
        <v>50</v>
      </c>
      <c r="G1237" s="2">
        <v>59</v>
      </c>
      <c r="H1237" s="2" t="s">
        <v>12</v>
      </c>
      <c r="I1237" s="2" t="s">
        <v>273</v>
      </c>
      <c r="J1237" s="3" t="s">
        <v>18</v>
      </c>
      <c r="M1237" s="2">
        <f>IF(J1237="1000+", 1000, (LEFT(J1237,FIND("-",J1237)-1)+RIGHT(J1237,LEN(J1237)-FIND("-",J1237)))/2)</f>
        <v>75</v>
      </c>
      <c r="N1237" s="2">
        <f>ROUND(E1237 * 0.7+F1237 * 0.2+G1237 * 0.1,2)</f>
        <v>52.3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70</v>
      </c>
      <c r="P1237" s="2">
        <f>E1237 - O1237</f>
        <v>-18</v>
      </c>
      <c r="Q1237" s="2">
        <f>ROUND(
  SIGN(P1237)*
  IF(ABS(P1237)&lt;=10,ABS(P1237)*0.5,
     IF(ABS(P1237)&lt;=15,5+(ABS(P1237)-10)*(1.67/5),
        6.67+(ABS(P1237)-15)*0.333)),
2)</f>
        <v>-7.67</v>
      </c>
    </row>
    <row r="1238" spans="1:17" ht="34.5" customHeight="1" x14ac:dyDescent="0.3">
      <c r="B1238" s="2">
        <v>1237</v>
      </c>
      <c r="C1238" s="13">
        <f>ROUND(MAX(MIN(N1238 + Q1238, 100), 0), 2)</f>
        <v>44.63</v>
      </c>
      <c r="D1238" s="2" t="s">
        <v>1067</v>
      </c>
      <c r="E1238" s="2">
        <v>50</v>
      </c>
      <c r="F1238" s="2">
        <v>54</v>
      </c>
      <c r="G1238" s="2">
        <v>45</v>
      </c>
      <c r="H1238" s="2" t="s">
        <v>48</v>
      </c>
      <c r="I1238" s="2" t="s">
        <v>72</v>
      </c>
      <c r="J1238" s="3" t="s">
        <v>146</v>
      </c>
      <c r="M1238" s="2">
        <f>IF(J1238="1000+", 1000, (LEFT(J1238,FIND("-",J1238)-1)+RIGHT(J1238,LEN(J1238)-FIND("-",J1238)))/2)</f>
        <v>30</v>
      </c>
      <c r="N1238" s="2">
        <f>ROUND(E1238 * 0.7+F1238 * 0.2+G1238 * 0.1,2)</f>
        <v>50.3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62</v>
      </c>
      <c r="P1238" s="2">
        <f>E1238 - O1238</f>
        <v>-12</v>
      </c>
      <c r="Q1238" s="2">
        <f>ROUND(
  SIGN(P1238)*
  IF(ABS(P1238)&lt;=10,ABS(P1238)*0.5,
     IF(ABS(P1238)&lt;=15,5+(ABS(P1238)-10)*(1.67/5),
        6.67+(ABS(P1238)-15)*0.333)),
2)</f>
        <v>-5.67</v>
      </c>
    </row>
    <row r="1239" spans="1:17" ht="34.5" customHeight="1" x14ac:dyDescent="0.3">
      <c r="A1239" s="2">
        <v>2026</v>
      </c>
      <c r="B1239" s="2">
        <v>1238</v>
      </c>
      <c r="C1239" s="13">
        <f>ROUND(MAX(MIN(N1239 + Q1239, 100), 0), 2)</f>
        <v>44.6</v>
      </c>
      <c r="D1239" s="2" t="s">
        <v>1860</v>
      </c>
      <c r="E1239" s="2">
        <v>50</v>
      </c>
      <c r="F1239" s="2">
        <v>55</v>
      </c>
      <c r="G1239" s="2">
        <v>36</v>
      </c>
      <c r="H1239" s="2" t="s">
        <v>1256</v>
      </c>
      <c r="I1239" s="2" t="s">
        <v>36</v>
      </c>
      <c r="J1239" s="3" t="s">
        <v>1261</v>
      </c>
      <c r="M1239" s="2">
        <f>IF(J1239="1000+", 1000, (LEFT(J1239,FIND("-",J1239)-1)+RIGHT(J1239,LEN(J1239)-FIND("-",J1239)))/2)</f>
        <v>20</v>
      </c>
      <c r="N1239" s="2">
        <f>ROUND(E1239 * 0.7+F1239 * 0.2+G1239 * 0.1,2)</f>
        <v>49.6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60</v>
      </c>
      <c r="P1239" s="2">
        <f>E1239 - O1239</f>
        <v>-10</v>
      </c>
      <c r="Q1239" s="2">
        <f>ROUND(
  SIGN(P1239)*
  IF(ABS(P1239)&lt;=10,ABS(P1239)*0.5,
     IF(ABS(P1239)&lt;=15,5+(ABS(P1239)-10)*(1.67/5),
        6.67+(ABS(P1239)-15)*0.333)),
2)</f>
        <v>-5</v>
      </c>
    </row>
    <row r="1240" spans="1:17" ht="34.5" customHeight="1" x14ac:dyDescent="0.3">
      <c r="B1240" s="2">
        <v>1239</v>
      </c>
      <c r="C1240" s="13">
        <f>ROUND(MAX(MIN(N1240 + Q1240, 100), 0), 2)</f>
        <v>44.47</v>
      </c>
      <c r="D1240" s="2" t="s">
        <v>1105</v>
      </c>
      <c r="E1240" s="2">
        <v>54</v>
      </c>
      <c r="F1240" s="2">
        <v>52</v>
      </c>
      <c r="G1240" s="7">
        <v>66</v>
      </c>
      <c r="H1240" s="2" t="s">
        <v>624</v>
      </c>
      <c r="I1240" s="2" t="s">
        <v>298</v>
      </c>
      <c r="J1240" s="3" t="s">
        <v>88</v>
      </c>
      <c r="M1240" s="2">
        <f>IF(J1240="1000+", 1000, (LEFT(J1240,FIND("-",J1240)-1)+RIGHT(J1240,LEN(J1240)-FIND("-",J1240)))/2)</f>
        <v>150</v>
      </c>
      <c r="N1240" s="2">
        <f>ROUND(E1240 * 0.7+F1240 * 0.2+G1240 * 0.1,2)</f>
        <v>54.8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80</v>
      </c>
      <c r="P1240" s="2">
        <f>E1240 - O1240</f>
        <v>-26</v>
      </c>
      <c r="Q1240" s="2">
        <f>ROUND(
  SIGN(P1240)*
  IF(ABS(P1240)&lt;=10,ABS(P1240)*0.5,
     IF(ABS(P1240)&lt;=15,5+(ABS(P1240)-10)*(1.67/5),
        6.67+(ABS(P1240)-15)*0.333)),
2)</f>
        <v>-10.33</v>
      </c>
    </row>
    <row r="1241" spans="1:17" ht="34.5" customHeight="1" x14ac:dyDescent="0.3">
      <c r="B1241" s="2">
        <v>1240</v>
      </c>
      <c r="C1241" s="13">
        <f>ROUND(MAX(MIN(N1241 + Q1241, 100), 0), 2)</f>
        <v>44.46</v>
      </c>
      <c r="D1241" s="2" t="s">
        <v>1094</v>
      </c>
      <c r="E1241" s="2">
        <v>50</v>
      </c>
      <c r="F1241" s="7">
        <v>60</v>
      </c>
      <c r="G1241" s="2">
        <v>58</v>
      </c>
      <c r="H1241" s="2" t="s">
        <v>31</v>
      </c>
      <c r="I1241" s="2" t="s">
        <v>165</v>
      </c>
      <c r="J1241" s="3" t="s">
        <v>18</v>
      </c>
      <c r="M1241" s="2">
        <f>IF(J1241="1000+", 1000, (LEFT(J1241,FIND("-",J1241)-1)+RIGHT(J1241,LEN(J1241)-FIND("-",J1241)))/2)</f>
        <v>75</v>
      </c>
      <c r="N1241" s="2">
        <f>ROUND(E1241 * 0.7+F1241 * 0.2+G1241 * 0.1,2)</f>
        <v>52.8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70</v>
      </c>
      <c r="P1241" s="2">
        <f>E1241 - O1241</f>
        <v>-20</v>
      </c>
      <c r="Q1241" s="2">
        <f>ROUND(
  SIGN(P1241)*
  IF(ABS(P1241)&lt;=10,ABS(P1241)*0.5,
     IF(ABS(P1241)&lt;=15,5+(ABS(P1241)-10)*(1.67/5),
        6.67+(ABS(P1241)-15)*0.333)),
2)</f>
        <v>-8.34</v>
      </c>
    </row>
    <row r="1242" spans="1:17" ht="34.5" customHeight="1" x14ac:dyDescent="0.3">
      <c r="B1242" s="2">
        <v>1241</v>
      </c>
      <c r="C1242" s="13">
        <f>ROUND(MAX(MIN(N1242 + Q1242, 100), 0), 2)</f>
        <v>44.4</v>
      </c>
      <c r="D1242" s="2" t="s">
        <v>1090</v>
      </c>
      <c r="E1242" s="2">
        <v>50</v>
      </c>
      <c r="F1242" s="2">
        <v>53</v>
      </c>
      <c r="G1242" s="2">
        <v>38</v>
      </c>
      <c r="H1242" s="2" t="s">
        <v>48</v>
      </c>
      <c r="I1242" s="2" t="s">
        <v>22</v>
      </c>
      <c r="J1242" s="3" t="s">
        <v>132</v>
      </c>
      <c r="M1242" s="2">
        <f>IF(J1242="1000+", 1000, (LEFT(J1242,FIND("-",J1242)-1)+RIGHT(J1242,LEN(J1242)-FIND("-",J1242)))/2)</f>
        <v>20</v>
      </c>
      <c r="N1242" s="2">
        <f>ROUND(E1242 * 0.7+F1242 * 0.2+G1242 * 0.1,2)</f>
        <v>49.4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60</v>
      </c>
      <c r="P1242" s="2">
        <f>E1242 - O1242</f>
        <v>-10</v>
      </c>
      <c r="Q1242" s="2">
        <f>ROUND(
  SIGN(P1242)*
  IF(ABS(P1242)&lt;=10,ABS(P1242)*0.5,
     IF(ABS(P1242)&lt;=15,5+(ABS(P1242)-10)*(1.67/5),
        6.67+(ABS(P1242)-15)*0.333)),
2)</f>
        <v>-5</v>
      </c>
    </row>
    <row r="1243" spans="1:17" ht="34.5" customHeight="1" x14ac:dyDescent="0.3">
      <c r="B1243" s="2">
        <v>1242</v>
      </c>
      <c r="C1243" s="13">
        <f>ROUND(MAX(MIN(N1243 + Q1243, 100), 0), 2)</f>
        <v>44.33</v>
      </c>
      <c r="D1243" s="2" t="s">
        <v>1077</v>
      </c>
      <c r="E1243" s="2">
        <v>50</v>
      </c>
      <c r="F1243" s="2">
        <v>55</v>
      </c>
      <c r="G1243" s="2">
        <v>40</v>
      </c>
      <c r="H1243" s="2" t="s">
        <v>31</v>
      </c>
      <c r="I1243" s="2" t="s">
        <v>36</v>
      </c>
      <c r="J1243" s="3" t="s">
        <v>146</v>
      </c>
      <c r="M1243" s="2">
        <f>IF(J1243="1000+", 1000, (LEFT(J1243,FIND("-",J1243)-1)+RIGHT(J1243,LEN(J1243)-FIND("-",J1243)))/2)</f>
        <v>30</v>
      </c>
      <c r="N1243" s="2">
        <f>ROUND(E1243 * 0.7+F1243 * 0.2+G1243 * 0.1,2)</f>
        <v>50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62</v>
      </c>
      <c r="P1243" s="2">
        <f>E1243 - O1243</f>
        <v>-12</v>
      </c>
      <c r="Q1243" s="2">
        <f>ROUND(
  SIGN(P1243)*
  IF(ABS(P1243)&lt;=10,ABS(P1243)*0.5,
     IF(ABS(P1243)&lt;=15,5+(ABS(P1243)-10)*(1.67/5),
        6.67+(ABS(P1243)-15)*0.333)),
2)</f>
        <v>-5.67</v>
      </c>
    </row>
    <row r="1244" spans="1:17" ht="34.5" customHeight="1" x14ac:dyDescent="0.3">
      <c r="B1244" s="2">
        <v>1243</v>
      </c>
      <c r="C1244" s="13">
        <f>ROUND(MAX(MIN(N1244 + Q1244, 100), 0), 2)</f>
        <v>44.33</v>
      </c>
      <c r="D1244" s="2" t="s">
        <v>1088</v>
      </c>
      <c r="E1244" s="2">
        <v>50</v>
      </c>
      <c r="F1244" s="2">
        <v>55</v>
      </c>
      <c r="G1244" s="7">
        <v>60</v>
      </c>
      <c r="H1244" s="2" t="s">
        <v>53</v>
      </c>
      <c r="I1244" s="2" t="s">
        <v>72</v>
      </c>
      <c r="J1244" s="3" t="s">
        <v>23</v>
      </c>
      <c r="M1244" s="2">
        <f>IF(J1244="1000+", 1000, (LEFT(J1244,FIND("-",J1244)-1)+RIGHT(J1244,LEN(J1244)-FIND("-",J1244)))/2)</f>
        <v>60</v>
      </c>
      <c r="N1244" s="2">
        <f>ROUND(E1244 * 0.7+F1244 * 0.2+G1244 * 0.1,2)</f>
        <v>52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68</v>
      </c>
      <c r="P1244" s="2">
        <f>E1244 - O1244</f>
        <v>-18</v>
      </c>
      <c r="Q1244" s="2">
        <f>ROUND(
  SIGN(P1244)*
  IF(ABS(P1244)&lt;=10,ABS(P1244)*0.5,
     IF(ABS(P1244)&lt;=15,5+(ABS(P1244)-10)*(1.67/5),
        6.67+(ABS(P1244)-15)*0.333)),
2)</f>
        <v>-7.67</v>
      </c>
    </row>
    <row r="1245" spans="1:17" ht="34.5" customHeight="1" x14ac:dyDescent="0.3">
      <c r="B1245" s="2">
        <v>1244</v>
      </c>
      <c r="C1245" s="13">
        <f>ROUND(MAX(MIN(N1245 + Q1245, 100), 0), 2)</f>
        <v>44.26</v>
      </c>
      <c r="D1245" s="2" t="s">
        <v>1076</v>
      </c>
      <c r="E1245" s="2">
        <v>48</v>
      </c>
      <c r="F1245" s="7">
        <v>65</v>
      </c>
      <c r="G1245" s="7">
        <v>60</v>
      </c>
      <c r="H1245" s="2" t="s">
        <v>85</v>
      </c>
      <c r="I1245" s="2" t="s">
        <v>22</v>
      </c>
      <c r="J1245" s="3" t="s">
        <v>23</v>
      </c>
      <c r="M1245" s="2">
        <f>IF(J1245="1000+", 1000, (LEFT(J1245,FIND("-",J1245)-1)+RIGHT(J1245,LEN(J1245)-FIND("-",J1245)))/2)</f>
        <v>60</v>
      </c>
      <c r="N1245" s="2">
        <f>ROUND(E1245 * 0.7+F1245 * 0.2+G1245 * 0.1,2)</f>
        <v>52.6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68</v>
      </c>
      <c r="P1245" s="2">
        <f>E1245 - O1245</f>
        <v>-20</v>
      </c>
      <c r="Q1245" s="2">
        <f>ROUND(
  SIGN(P1245)*
  IF(ABS(P1245)&lt;=10,ABS(P1245)*0.5,
     IF(ABS(P1245)&lt;=15,5+(ABS(P1245)-10)*(1.67/5),
        6.67+(ABS(P1245)-15)*0.333)),
2)</f>
        <v>-8.34</v>
      </c>
    </row>
    <row r="1246" spans="1:17" ht="34.5" customHeight="1" x14ac:dyDescent="0.3">
      <c r="B1246" s="2">
        <v>1245</v>
      </c>
      <c r="C1246" s="13">
        <f>ROUND(MAX(MIN(N1246 + Q1246, 100), 0), 2)</f>
        <v>44.17</v>
      </c>
      <c r="D1246" s="2" t="s">
        <v>1138</v>
      </c>
      <c r="E1246" s="2">
        <v>57</v>
      </c>
      <c r="F1246" s="2">
        <v>48</v>
      </c>
      <c r="G1246" s="2">
        <v>40</v>
      </c>
      <c r="H1246" s="2" t="s">
        <v>85</v>
      </c>
      <c r="I1246" s="2" t="s">
        <v>22</v>
      </c>
      <c r="J1246" s="3" t="s">
        <v>88</v>
      </c>
      <c r="M1246" s="2">
        <f>IF(J1246="1000+", 1000, (LEFT(J1246,FIND("-",J1246)-1)+RIGHT(J1246,LEN(J1246)-FIND("-",J1246)))/2)</f>
        <v>150</v>
      </c>
      <c r="N1246" s="2">
        <f>ROUND(E1246 * 0.7+F1246 * 0.2+G1246 * 0.1,2)</f>
        <v>53.5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80</v>
      </c>
      <c r="P1246" s="2">
        <f>E1246 - O1246</f>
        <v>-23</v>
      </c>
      <c r="Q1246" s="2">
        <f>ROUND(
  SIGN(P1246)*
  IF(ABS(P1246)&lt;=10,ABS(P1246)*0.5,
     IF(ABS(P1246)&lt;=15,5+(ABS(P1246)-10)*(1.67/5),
        6.67+(ABS(P1246)-15)*0.333)),
2)</f>
        <v>-9.33</v>
      </c>
    </row>
    <row r="1247" spans="1:17" ht="34.5" customHeight="1" x14ac:dyDescent="0.3">
      <c r="A1247" s="2">
        <v>2026</v>
      </c>
      <c r="B1247" s="2">
        <v>1246</v>
      </c>
      <c r="C1247" s="13">
        <f>ROUND(MAX(MIN(N1247 + Q1247, 100), 0), 2)</f>
        <v>44.13</v>
      </c>
      <c r="D1247" s="2" t="s">
        <v>1614</v>
      </c>
      <c r="E1247" s="2">
        <v>50</v>
      </c>
      <c r="F1247" s="2">
        <v>48</v>
      </c>
      <c r="G1247" s="2">
        <v>52</v>
      </c>
      <c r="H1247" s="2" t="s">
        <v>1616</v>
      </c>
      <c r="I1247" s="2" t="s">
        <v>1618</v>
      </c>
      <c r="J1247" s="3" t="s">
        <v>1621</v>
      </c>
      <c r="M1247" s="2">
        <f>IF(J1247="1000+", 1000, (LEFT(J1247,FIND("-",J1247)-1)+RIGHT(J1247,LEN(J1247)-FIND("-",J1247)))/2)</f>
        <v>30</v>
      </c>
      <c r="N1247" s="2">
        <f>ROUND(E1247 * 0.7+F1247 * 0.2+G1247 * 0.1,2)</f>
        <v>49.8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62</v>
      </c>
      <c r="P1247" s="2">
        <f>E1247 - O1247</f>
        <v>-12</v>
      </c>
      <c r="Q1247" s="2">
        <f>ROUND(
  SIGN(P1247)*
  IF(ABS(P1247)&lt;=10,ABS(P1247)*0.5,
     IF(ABS(P1247)&lt;=15,5+(ABS(P1247)-10)*(1.67/5),
        6.67+(ABS(P1247)-15)*0.333)),
2)</f>
        <v>-5.67</v>
      </c>
    </row>
    <row r="1248" spans="1:17" ht="34.5" customHeight="1" x14ac:dyDescent="0.3">
      <c r="B1248" s="2">
        <v>1247</v>
      </c>
      <c r="C1248" s="13">
        <f>ROUND(MAX(MIN(N1248 + Q1248, 100), 0), 2)</f>
        <v>44.07</v>
      </c>
      <c r="D1248" s="2" t="s">
        <v>1125</v>
      </c>
      <c r="E1248" s="2">
        <v>52</v>
      </c>
      <c r="F1248" s="2">
        <v>57</v>
      </c>
      <c r="G1248" s="2">
        <v>56</v>
      </c>
      <c r="H1248" s="2" t="s">
        <v>21</v>
      </c>
      <c r="I1248" s="2" t="s">
        <v>218</v>
      </c>
      <c r="J1248" s="3" t="s">
        <v>140</v>
      </c>
      <c r="M1248" s="2">
        <f>IF(J1248="1000+", 1000, (LEFT(J1248,FIND("-",J1248)-1)+RIGHT(J1248,LEN(J1248)-FIND("-",J1248)))/2)</f>
        <v>115</v>
      </c>
      <c r="N1248" s="2">
        <f>ROUND(E1248 * 0.7+F1248 * 0.2+G1248 * 0.1,2)</f>
        <v>53.4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75</v>
      </c>
      <c r="P1248" s="2">
        <f>E1248 - O1248</f>
        <v>-23</v>
      </c>
      <c r="Q1248" s="2">
        <f>ROUND(
  SIGN(P1248)*
  IF(ABS(P1248)&lt;=10,ABS(P1248)*0.5,
     IF(ABS(P1248)&lt;=15,5+(ABS(P1248)-10)*(1.67/5),
        6.67+(ABS(P1248)-15)*0.333)),
2)</f>
        <v>-9.33</v>
      </c>
    </row>
    <row r="1249" spans="1:17" ht="34.5" customHeight="1" x14ac:dyDescent="0.3">
      <c r="B1249" s="2">
        <v>1248</v>
      </c>
      <c r="C1249" s="13">
        <f>ROUND(MAX(MIN(N1249 + Q1249, 100), 0), 2)</f>
        <v>44.06</v>
      </c>
      <c r="D1249" s="2" t="s">
        <v>1101</v>
      </c>
      <c r="E1249" s="2">
        <v>51</v>
      </c>
      <c r="F1249" s="2">
        <v>52</v>
      </c>
      <c r="G1249" s="2">
        <v>53</v>
      </c>
      <c r="H1249" s="2" t="s">
        <v>605</v>
      </c>
      <c r="I1249" s="2" t="s">
        <v>72</v>
      </c>
      <c r="J1249" s="3" t="s">
        <v>23</v>
      </c>
      <c r="M1249" s="2">
        <f>IF(J1249="1000+", 1000, (LEFT(J1249,FIND("-",J1249)-1)+RIGHT(J1249,LEN(J1249)-FIND("-",J1249)))/2)</f>
        <v>60</v>
      </c>
      <c r="N1249" s="2">
        <f>ROUND(E1249 * 0.7+F1249 * 0.2+G1249 * 0.1,2)</f>
        <v>51.4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68</v>
      </c>
      <c r="P1249" s="2">
        <f>E1249 - O1249</f>
        <v>-17</v>
      </c>
      <c r="Q1249" s="2">
        <f>ROUND(
  SIGN(P1249)*
  IF(ABS(P1249)&lt;=10,ABS(P1249)*0.5,
     IF(ABS(P1249)&lt;=15,5+(ABS(P1249)-10)*(1.67/5),
        6.67+(ABS(P1249)-15)*0.333)),
2)</f>
        <v>-7.34</v>
      </c>
    </row>
    <row r="1250" spans="1:17" ht="34.5" customHeight="1" x14ac:dyDescent="0.3">
      <c r="B1250" s="2">
        <v>1249</v>
      </c>
      <c r="C1250" s="13">
        <f>ROUND(MAX(MIN(N1250 + Q1250, 100), 0), 2)</f>
        <v>44.03</v>
      </c>
      <c r="D1250" s="2" t="s">
        <v>1074</v>
      </c>
      <c r="E1250" s="2">
        <v>47</v>
      </c>
      <c r="F1250" s="7">
        <v>64</v>
      </c>
      <c r="G1250" s="7">
        <v>60</v>
      </c>
      <c r="H1250" s="2" t="s">
        <v>217</v>
      </c>
      <c r="I1250" s="2" t="s">
        <v>22</v>
      </c>
      <c r="J1250" s="3" t="s">
        <v>32</v>
      </c>
      <c r="M1250" s="2">
        <f>IF(J1250="1000+", 1000, (LEFT(J1250,FIND("-",J1250)-1)+RIGHT(J1250,LEN(J1250)-FIND("-",J1250)))/2)</f>
        <v>45</v>
      </c>
      <c r="N1250" s="2">
        <f>ROUND(E1250 * 0.7+F1250 * 0.2+G1250 * 0.1,2)</f>
        <v>51.7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65</v>
      </c>
      <c r="P1250" s="2">
        <f>E1250 - O1250</f>
        <v>-18</v>
      </c>
      <c r="Q1250" s="2">
        <f>ROUND(
  SIGN(P1250)*
  IF(ABS(P1250)&lt;=10,ABS(P1250)*0.5,
     IF(ABS(P1250)&lt;=15,5+(ABS(P1250)-10)*(1.67/5),
        6.67+(ABS(P1250)-15)*0.333)),
2)</f>
        <v>-7.67</v>
      </c>
    </row>
    <row r="1251" spans="1:17" ht="34.5" customHeight="1" x14ac:dyDescent="0.3">
      <c r="B1251" s="2">
        <v>1250</v>
      </c>
      <c r="C1251" s="13">
        <f>ROUND(MAX(MIN(N1251 + Q1251, 100), 0), 2)</f>
        <v>43.94</v>
      </c>
      <c r="D1251" s="2" t="s">
        <v>1057</v>
      </c>
      <c r="E1251" s="2">
        <v>47</v>
      </c>
      <c r="F1251" s="6">
        <v>80</v>
      </c>
      <c r="G1251" s="5">
        <v>77</v>
      </c>
      <c r="H1251" s="2" t="s">
        <v>71</v>
      </c>
      <c r="I1251" s="2" t="s">
        <v>325</v>
      </c>
      <c r="J1251" s="3" t="s">
        <v>88</v>
      </c>
      <c r="M1251" s="2">
        <f>IF(J1251="1000+", 1000, (LEFT(J1251,FIND("-",J1251)-1)+RIGHT(J1251,LEN(J1251)-FIND("-",J1251)))/2)</f>
        <v>150</v>
      </c>
      <c r="N1251" s="2">
        <f>ROUND(E1251 * 0.7+F1251 * 0.2+G1251 * 0.1,2)</f>
        <v>56.6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80</v>
      </c>
      <c r="P1251" s="2">
        <f>E1251 - O1251</f>
        <v>-33</v>
      </c>
      <c r="Q1251" s="2">
        <f>ROUND(
  SIGN(P1251)*
  IF(ABS(P1251)&lt;=10,ABS(P1251)*0.5,
     IF(ABS(P1251)&lt;=15,5+(ABS(P1251)-10)*(1.67/5),
        6.67+(ABS(P1251)-15)*0.333)),
2)</f>
        <v>-12.66</v>
      </c>
    </row>
    <row r="1252" spans="1:17" ht="34.5" customHeight="1" x14ac:dyDescent="0.3">
      <c r="B1252" s="2">
        <v>1251</v>
      </c>
      <c r="C1252" s="13">
        <f>ROUND(MAX(MIN(N1252 + Q1252, 100), 0), 2)</f>
        <v>43.93</v>
      </c>
      <c r="D1252" s="2" t="s">
        <v>1110</v>
      </c>
      <c r="E1252" s="2">
        <v>55</v>
      </c>
      <c r="F1252" s="2">
        <v>57</v>
      </c>
      <c r="G1252" s="2">
        <v>57</v>
      </c>
      <c r="H1252" s="2" t="s">
        <v>48</v>
      </c>
      <c r="I1252" s="2" t="s">
        <v>1071</v>
      </c>
      <c r="J1252" s="3" t="s">
        <v>14</v>
      </c>
      <c r="M1252" s="2">
        <f>IF(J1252="1000+", 1000, (LEFT(J1252,FIND("-",J1252)-1)+RIGHT(J1252,LEN(J1252)-FIND("-",J1252)))/2)</f>
        <v>225</v>
      </c>
      <c r="N1252" s="2">
        <f>ROUND(E1252 * 0.7+F1252 * 0.2+G1252 * 0.1,2)</f>
        <v>55.6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85</v>
      </c>
      <c r="P1252" s="2">
        <f>E1252 - O1252</f>
        <v>-30</v>
      </c>
      <c r="Q1252" s="2">
        <f>ROUND(
  SIGN(P1252)*
  IF(ABS(P1252)&lt;=10,ABS(P1252)*0.5,
     IF(ABS(P1252)&lt;=15,5+(ABS(P1252)-10)*(1.67/5),
        6.67+(ABS(P1252)-15)*0.333)),
2)</f>
        <v>-11.67</v>
      </c>
    </row>
    <row r="1253" spans="1:17" ht="34.5" customHeight="1" x14ac:dyDescent="0.3">
      <c r="B1253" s="2">
        <v>1252</v>
      </c>
      <c r="C1253" s="13">
        <f>ROUND(MAX(MIN(N1253 + Q1253, 100), 0), 2)</f>
        <v>43.9</v>
      </c>
      <c r="D1253" s="2" t="s">
        <v>1128</v>
      </c>
      <c r="E1253" s="2">
        <v>54</v>
      </c>
      <c r="F1253" s="2">
        <v>54</v>
      </c>
      <c r="G1253" s="7">
        <v>63</v>
      </c>
      <c r="H1253" s="2" t="s">
        <v>624</v>
      </c>
      <c r="I1253" s="2" t="s">
        <v>22</v>
      </c>
      <c r="J1253" s="3" t="s">
        <v>28</v>
      </c>
      <c r="M1253" s="2">
        <f>IF(J1253="1000+", 1000, (LEFT(J1253,FIND("-",J1253)-1)+RIGHT(J1253,LEN(J1253)-FIND("-",J1253)))/2)</f>
        <v>200</v>
      </c>
      <c r="N1253" s="2">
        <f>ROUND(E1253 * 0.7+F1253 * 0.2+G1253 * 0.1,2)</f>
        <v>54.9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82</v>
      </c>
      <c r="P1253" s="2">
        <f>E1253 - O1253</f>
        <v>-28</v>
      </c>
      <c r="Q1253" s="2">
        <f>ROUND(
  SIGN(P1253)*
  IF(ABS(P1253)&lt;=10,ABS(P1253)*0.5,
     IF(ABS(P1253)&lt;=15,5+(ABS(P1253)-10)*(1.67/5),
        6.67+(ABS(P1253)-15)*0.333)),
2)</f>
        <v>-11</v>
      </c>
    </row>
    <row r="1254" spans="1:17" ht="34.5" customHeight="1" x14ac:dyDescent="0.3">
      <c r="B1254" s="2">
        <v>1253</v>
      </c>
      <c r="C1254" s="13">
        <f>ROUND(MAX(MIN(N1254 + Q1254, 100), 0), 2)</f>
        <v>43.9</v>
      </c>
      <c r="D1254" s="2" t="s">
        <v>1126</v>
      </c>
      <c r="E1254" s="2">
        <v>50</v>
      </c>
      <c r="F1254" s="7">
        <v>60</v>
      </c>
      <c r="G1254" s="2">
        <v>59</v>
      </c>
      <c r="H1254" s="2" t="s">
        <v>1127</v>
      </c>
      <c r="I1254" s="2" t="s">
        <v>22</v>
      </c>
      <c r="J1254" s="3" t="s">
        <v>122</v>
      </c>
      <c r="M1254" s="2">
        <f>IF(J1254="1000+", 1000, (LEFT(J1254,FIND("-",J1254)-1)+RIGHT(J1254,LEN(J1254)-FIND("-",J1254)))/2)</f>
        <v>105</v>
      </c>
      <c r="N1254" s="2">
        <f>ROUND(E1254 * 0.7+F1254 * 0.2+G1254 * 0.1,2)</f>
        <v>52.9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72</v>
      </c>
      <c r="P1254" s="2">
        <f>E1254 - O1254</f>
        <v>-22</v>
      </c>
      <c r="Q1254" s="2">
        <f>ROUND(
  SIGN(P1254)*
  IF(ABS(P1254)&lt;=10,ABS(P1254)*0.5,
     IF(ABS(P1254)&lt;=15,5+(ABS(P1254)-10)*(1.67/5),
        6.67+(ABS(P1254)-15)*0.333)),
2)</f>
        <v>-9</v>
      </c>
    </row>
    <row r="1255" spans="1:17" ht="34.5" customHeight="1" x14ac:dyDescent="0.3">
      <c r="B1255" s="2">
        <v>1254</v>
      </c>
      <c r="C1255" s="13">
        <f>ROUND(MAX(MIN(N1255 + Q1255, 100), 0), 2)</f>
        <v>43.83</v>
      </c>
      <c r="D1255" s="2" t="s">
        <v>1099</v>
      </c>
      <c r="E1255" s="2">
        <v>50</v>
      </c>
      <c r="F1255" s="2">
        <v>55</v>
      </c>
      <c r="G1255" s="2">
        <v>55</v>
      </c>
      <c r="H1255" s="2" t="s">
        <v>48</v>
      </c>
      <c r="I1255" s="2" t="s">
        <v>218</v>
      </c>
      <c r="J1255" s="3" t="s">
        <v>23</v>
      </c>
      <c r="M1255" s="2">
        <f>IF(J1255="1000+", 1000, (LEFT(J1255,FIND("-",J1255)-1)+RIGHT(J1255,LEN(J1255)-FIND("-",J1255)))/2)</f>
        <v>60</v>
      </c>
      <c r="N1255" s="2">
        <f>ROUND(E1255 * 0.7+F1255 * 0.2+G1255 * 0.1,2)</f>
        <v>51.5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68</v>
      </c>
      <c r="P1255" s="2">
        <f>E1255 - O1255</f>
        <v>-18</v>
      </c>
      <c r="Q1255" s="2">
        <f>ROUND(
  SIGN(P1255)*
  IF(ABS(P1255)&lt;=10,ABS(P1255)*0.5,
     IF(ABS(P1255)&lt;=15,5+(ABS(P1255)-10)*(1.67/5),
        6.67+(ABS(P1255)-15)*0.333)),
2)</f>
        <v>-7.67</v>
      </c>
    </row>
    <row r="1256" spans="1:17" ht="34.5" customHeight="1" x14ac:dyDescent="0.3">
      <c r="B1256" s="2">
        <v>1255</v>
      </c>
      <c r="C1256" s="13">
        <f>ROUND(MAX(MIN(N1256 + Q1256, 100), 0), 2)</f>
        <v>43.8</v>
      </c>
      <c r="D1256" s="2" t="s">
        <v>1115</v>
      </c>
      <c r="E1256" s="2">
        <v>51</v>
      </c>
      <c r="F1256" s="2">
        <v>54</v>
      </c>
      <c r="G1256" s="2">
        <v>53</v>
      </c>
      <c r="H1256" s="2" t="s">
        <v>197</v>
      </c>
      <c r="I1256" s="2" t="s">
        <v>218</v>
      </c>
      <c r="J1256" s="3" t="s">
        <v>18</v>
      </c>
      <c r="M1256" s="2">
        <f>IF(J1256="1000+", 1000, (LEFT(J1256,FIND("-",J1256)-1)+RIGHT(J1256,LEN(J1256)-FIND("-",J1256)))/2)</f>
        <v>75</v>
      </c>
      <c r="N1256" s="2">
        <f>ROUND(E1256 * 0.7+F1256 * 0.2+G1256 * 0.1,2)</f>
        <v>51.8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70</v>
      </c>
      <c r="P1256" s="2">
        <f>E1256 - O1256</f>
        <v>-19</v>
      </c>
      <c r="Q1256" s="2">
        <f>ROUND(
  SIGN(P1256)*
  IF(ABS(P1256)&lt;=10,ABS(P1256)*0.5,
     IF(ABS(P1256)&lt;=15,5+(ABS(P1256)-10)*(1.67/5),
        6.67+(ABS(P1256)-15)*0.333)),
2)</f>
        <v>-8</v>
      </c>
    </row>
    <row r="1257" spans="1:17" ht="34.5" customHeight="1" x14ac:dyDescent="0.3">
      <c r="B1257" s="2">
        <v>1256</v>
      </c>
      <c r="C1257" s="13">
        <f>ROUND(MAX(MIN(N1257 + Q1257, 100), 0), 2)</f>
        <v>43.63</v>
      </c>
      <c r="D1257" s="2" t="s">
        <v>1114</v>
      </c>
      <c r="E1257" s="2">
        <v>53</v>
      </c>
      <c r="F1257" s="2">
        <v>57</v>
      </c>
      <c r="G1257" s="2">
        <v>58</v>
      </c>
      <c r="H1257" s="2" t="s">
        <v>48</v>
      </c>
      <c r="I1257" s="2" t="s">
        <v>237</v>
      </c>
      <c r="J1257" s="3" t="s">
        <v>88</v>
      </c>
      <c r="M1257" s="2">
        <f>IF(J1257="1000+", 1000, (LEFT(J1257,FIND("-",J1257)-1)+RIGHT(J1257,LEN(J1257)-FIND("-",J1257)))/2)</f>
        <v>150</v>
      </c>
      <c r="N1257" s="2">
        <f>ROUND(E1257 * 0.7+F1257 * 0.2+G1257 * 0.1,2)</f>
        <v>54.3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80</v>
      </c>
      <c r="P1257" s="2">
        <f>E1257 - O1257</f>
        <v>-27</v>
      </c>
      <c r="Q1257" s="2">
        <f>ROUND(
  SIGN(P1257)*
  IF(ABS(P1257)&lt;=10,ABS(P1257)*0.5,
     IF(ABS(P1257)&lt;=15,5+(ABS(P1257)-10)*(1.67/5),
        6.67+(ABS(P1257)-15)*0.333)),
2)</f>
        <v>-10.67</v>
      </c>
    </row>
    <row r="1258" spans="1:17" ht="34.5" customHeight="1" x14ac:dyDescent="0.3">
      <c r="B1258" s="2">
        <v>1257</v>
      </c>
      <c r="C1258" s="13">
        <f>ROUND(MAX(MIN(N1258 + Q1258, 100), 0), 2)</f>
        <v>43.53</v>
      </c>
      <c r="D1258" s="2" t="s">
        <v>1157</v>
      </c>
      <c r="E1258" s="2">
        <v>53</v>
      </c>
      <c r="F1258" s="2">
        <v>45</v>
      </c>
      <c r="G1258" s="2">
        <v>31</v>
      </c>
      <c r="H1258" s="2" t="s">
        <v>48</v>
      </c>
      <c r="I1258" s="2" t="s">
        <v>218</v>
      </c>
      <c r="J1258" s="3" t="s">
        <v>32</v>
      </c>
      <c r="M1258" s="2">
        <f>IF(J1258="1000+", 1000, (LEFT(J1258,FIND("-",J1258)-1)+RIGHT(J1258,LEN(J1258)-FIND("-",J1258)))/2)</f>
        <v>45</v>
      </c>
      <c r="N1258" s="2">
        <f>ROUND(E1258 * 0.7+F1258 * 0.2+G1258 * 0.1,2)</f>
        <v>49.2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65</v>
      </c>
      <c r="P1258" s="2">
        <f>E1258 - O1258</f>
        <v>-12</v>
      </c>
      <c r="Q1258" s="2">
        <f>ROUND(
  SIGN(P1258)*
  IF(ABS(P1258)&lt;=10,ABS(P1258)*0.5,
     IF(ABS(P1258)&lt;=15,5+(ABS(P1258)-10)*(1.67/5),
        6.67+(ABS(P1258)-15)*0.333)),
2)</f>
        <v>-5.67</v>
      </c>
    </row>
    <row r="1259" spans="1:17" ht="34.5" customHeight="1" x14ac:dyDescent="0.3">
      <c r="A1259" s="2">
        <v>2026</v>
      </c>
      <c r="B1259" s="2">
        <v>1258</v>
      </c>
      <c r="C1259" s="13">
        <f>ROUND(MAX(MIN(N1259 + Q1259, 100), 0), 2)</f>
        <v>43.53</v>
      </c>
      <c r="D1259" s="11" t="s">
        <v>1309</v>
      </c>
      <c r="E1259" s="2">
        <v>47</v>
      </c>
      <c r="F1259" s="7">
        <v>60</v>
      </c>
      <c r="G1259" s="2">
        <v>53</v>
      </c>
      <c r="H1259" s="11" t="s">
        <v>1256</v>
      </c>
      <c r="I1259" s="11" t="s">
        <v>1288</v>
      </c>
      <c r="J1259" s="19" t="s">
        <v>1263</v>
      </c>
      <c r="M1259" s="2">
        <f>IF(J1259="1000+", 1000, (LEFT(J1259,FIND("-",J1259)-1)+RIGHT(J1259,LEN(J1259)-FIND("-",J1259)))/2)</f>
        <v>30</v>
      </c>
      <c r="N1259" s="2">
        <f>ROUND(E1259 * 0.7+F1259 * 0.2+G1259 * 0.1,2)</f>
        <v>50.2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62</v>
      </c>
      <c r="P1259" s="2">
        <f>E1259 - O1259</f>
        <v>-15</v>
      </c>
      <c r="Q1259" s="2">
        <f>ROUND(
  SIGN(P1259)*
  IF(ABS(P1259)&lt;=10,ABS(P1259)*0.5,
     IF(ABS(P1259)&lt;=15,5+(ABS(P1259)-10)*(1.67/5),
        6.67+(ABS(P1259)-15)*0.333)),
2)</f>
        <v>-6.67</v>
      </c>
    </row>
    <row r="1260" spans="1:17" ht="34.5" customHeight="1" x14ac:dyDescent="0.3">
      <c r="B1260" s="2">
        <v>1259</v>
      </c>
      <c r="C1260" s="13">
        <f>ROUND(MAX(MIN(N1260 + Q1260, 100), 0), 2)</f>
        <v>43.5</v>
      </c>
      <c r="D1260" s="2" t="s">
        <v>1150</v>
      </c>
      <c r="E1260" s="2">
        <v>52</v>
      </c>
      <c r="F1260" s="2">
        <v>50</v>
      </c>
      <c r="G1260" s="2">
        <v>31</v>
      </c>
      <c r="H1260" s="2" t="s">
        <v>48</v>
      </c>
      <c r="I1260" s="2" t="s">
        <v>316</v>
      </c>
      <c r="J1260" s="3" t="s">
        <v>32</v>
      </c>
      <c r="M1260" s="2">
        <f>IF(J1260="1000+", 1000, (LEFT(J1260,FIND("-",J1260)-1)+RIGHT(J1260,LEN(J1260)-FIND("-",J1260)))/2)</f>
        <v>45</v>
      </c>
      <c r="N1260" s="2">
        <f>ROUND(E1260 * 0.7+F1260 * 0.2+G1260 * 0.1,2)</f>
        <v>49.5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65</v>
      </c>
      <c r="P1260" s="2">
        <f>E1260 - O1260</f>
        <v>-13</v>
      </c>
      <c r="Q1260" s="2">
        <f>ROUND(
  SIGN(P1260)*
  IF(ABS(P1260)&lt;=10,ABS(P1260)*0.5,
     IF(ABS(P1260)&lt;=15,5+(ABS(P1260)-10)*(1.67/5),
        6.67+(ABS(P1260)-15)*0.333)),
2)</f>
        <v>-6</v>
      </c>
    </row>
    <row r="1261" spans="1:17" ht="34.5" customHeight="1" x14ac:dyDescent="0.3">
      <c r="B1261" s="2">
        <v>1260</v>
      </c>
      <c r="C1261" s="13">
        <f>ROUND(MAX(MIN(N1261 + Q1261, 100), 0), 2)</f>
        <v>43.5</v>
      </c>
      <c r="D1261" s="2" t="s">
        <v>1123</v>
      </c>
      <c r="E1261" s="2">
        <v>50</v>
      </c>
      <c r="F1261" s="7">
        <v>60</v>
      </c>
      <c r="G1261" s="7">
        <v>65</v>
      </c>
      <c r="H1261" s="2" t="s">
        <v>48</v>
      </c>
      <c r="I1261" s="2" t="s">
        <v>559</v>
      </c>
      <c r="J1261" s="3" t="s">
        <v>140</v>
      </c>
      <c r="M1261" s="2">
        <f>IF(J1261="1000+", 1000, (LEFT(J1261,FIND("-",J1261)-1)+RIGHT(J1261,LEN(J1261)-FIND("-",J1261)))/2)</f>
        <v>115</v>
      </c>
      <c r="N1261" s="2">
        <f>ROUND(E1261 * 0.7+F1261 * 0.2+G1261 * 0.1,2)</f>
        <v>53.5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75</v>
      </c>
      <c r="P1261" s="2">
        <f>E1261 - O1261</f>
        <v>-25</v>
      </c>
      <c r="Q1261" s="2">
        <f>ROUND(
  SIGN(P1261)*
  IF(ABS(P1261)&lt;=10,ABS(P1261)*0.5,
     IF(ABS(P1261)&lt;=15,5+(ABS(P1261)-10)*(1.67/5),
        6.67+(ABS(P1261)-15)*0.333)),
2)</f>
        <v>-10</v>
      </c>
    </row>
    <row r="1262" spans="1:17" ht="34.5" customHeight="1" x14ac:dyDescent="0.3">
      <c r="B1262" s="2">
        <v>1261</v>
      </c>
      <c r="C1262" s="13">
        <f>ROUND(MAX(MIN(N1262 + Q1262, 100), 0), 2)</f>
        <v>43.47</v>
      </c>
      <c r="D1262" s="2" t="s">
        <v>1142</v>
      </c>
      <c r="E1262" s="2">
        <v>52</v>
      </c>
      <c r="F1262" s="2">
        <v>56</v>
      </c>
      <c r="G1262" s="2">
        <v>52</v>
      </c>
      <c r="H1262" s="2" t="s">
        <v>71</v>
      </c>
      <c r="I1262" s="2" t="s">
        <v>218</v>
      </c>
      <c r="J1262" s="3" t="s">
        <v>140</v>
      </c>
      <c r="M1262" s="2">
        <f>IF(J1262="1000+", 1000, (LEFT(J1262,FIND("-",J1262)-1)+RIGHT(J1262,LEN(J1262)-FIND("-",J1262)))/2)</f>
        <v>115</v>
      </c>
      <c r="N1262" s="2">
        <f>ROUND(E1262 * 0.7+F1262 * 0.2+G1262 * 0.1,2)</f>
        <v>52.8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75</v>
      </c>
      <c r="P1262" s="2">
        <f>E1262 - O1262</f>
        <v>-23</v>
      </c>
      <c r="Q1262" s="2">
        <f>ROUND(
  SIGN(P1262)*
  IF(ABS(P1262)&lt;=10,ABS(P1262)*0.5,
     IF(ABS(P1262)&lt;=15,5+(ABS(P1262)-10)*(1.67/5),
        6.67+(ABS(P1262)-15)*0.333)),
2)</f>
        <v>-9.33</v>
      </c>
    </row>
    <row r="1263" spans="1:17" ht="34.5" customHeight="1" x14ac:dyDescent="0.3">
      <c r="A1263" s="2">
        <v>2026</v>
      </c>
      <c r="B1263" s="2">
        <v>1262</v>
      </c>
      <c r="C1263" s="13">
        <f>ROUND(MAX(MIN(N1263 + Q1263, 100), 0), 2)</f>
        <v>43.43</v>
      </c>
      <c r="D1263" s="2" t="s">
        <v>2035</v>
      </c>
      <c r="E1263" s="2">
        <v>52</v>
      </c>
      <c r="F1263" s="2">
        <v>49</v>
      </c>
      <c r="G1263" s="2">
        <v>49</v>
      </c>
      <c r="H1263" s="2" t="s">
        <v>1256</v>
      </c>
      <c r="I1263" s="2" t="s">
        <v>1258</v>
      </c>
      <c r="J1263" s="3" t="s">
        <v>1264</v>
      </c>
      <c r="M1263" s="2">
        <f>IF(J1263="1000+", 1000, (LEFT(J1263,FIND("-",J1263)-1)+RIGHT(J1263,LEN(J1263)-FIND("-",J1263)))/2)</f>
        <v>75</v>
      </c>
      <c r="N1263" s="2">
        <f>ROUND(E1263 * 0.7+F1263 * 0.2+G1263 * 0.1,2)</f>
        <v>51.1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70</v>
      </c>
      <c r="P1263" s="2">
        <f>E1263 - O1263</f>
        <v>-18</v>
      </c>
      <c r="Q1263" s="2">
        <f>ROUND(
  SIGN(P1263)*
  IF(ABS(P1263)&lt;=10,ABS(P1263)*0.5,
     IF(ABS(P1263)&lt;=15,5+(ABS(P1263)-10)*(1.67/5),
        6.67+(ABS(P1263)-15)*0.333)),
2)</f>
        <v>-7.67</v>
      </c>
    </row>
    <row r="1264" spans="1:17" ht="34.5" customHeight="1" x14ac:dyDescent="0.3">
      <c r="B1264" s="2">
        <v>1263</v>
      </c>
      <c r="C1264" s="13">
        <f>ROUND(MAX(MIN(N1264 + Q1264, 100), 0), 2)</f>
        <v>43.4</v>
      </c>
      <c r="D1264" s="2" t="s">
        <v>1104</v>
      </c>
      <c r="E1264" s="2">
        <v>49</v>
      </c>
      <c r="F1264" s="2">
        <v>57</v>
      </c>
      <c r="G1264" s="2">
        <v>57</v>
      </c>
      <c r="H1264" s="2" t="s">
        <v>104</v>
      </c>
      <c r="I1264" s="2" t="s">
        <v>394</v>
      </c>
      <c r="J1264" s="3" t="s">
        <v>23</v>
      </c>
      <c r="M1264" s="2">
        <f>IF(J1264="1000+", 1000, (LEFT(J1264,FIND("-",J1264)-1)+RIGHT(J1264,LEN(J1264)-FIND("-",J1264)))/2)</f>
        <v>60</v>
      </c>
      <c r="N1264" s="2">
        <f>ROUND(E1264 * 0.7+F1264 * 0.2+G1264 * 0.1,2)</f>
        <v>51.4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68</v>
      </c>
      <c r="P1264" s="2">
        <f>E1264 - O1264</f>
        <v>-19</v>
      </c>
      <c r="Q1264" s="2">
        <f>ROUND(
  SIGN(P1264)*
  IF(ABS(P1264)&lt;=10,ABS(P1264)*0.5,
     IF(ABS(P1264)&lt;=15,5+(ABS(P1264)-10)*(1.67/5),
        6.67+(ABS(P1264)-15)*0.333)),
2)</f>
        <v>-8</v>
      </c>
    </row>
    <row r="1265" spans="1:17" ht="34.5" customHeight="1" x14ac:dyDescent="0.3">
      <c r="B1265" s="2">
        <v>1264</v>
      </c>
      <c r="C1265" s="13">
        <f>ROUND(MAX(MIN(N1265 + Q1265, 100), 0), 2)</f>
        <v>43.23</v>
      </c>
      <c r="D1265" s="2" t="s">
        <v>1139</v>
      </c>
      <c r="E1265" s="2">
        <v>51</v>
      </c>
      <c r="F1265" s="7">
        <v>65</v>
      </c>
      <c r="G1265" s="2">
        <v>42</v>
      </c>
      <c r="H1265" s="2" t="s">
        <v>48</v>
      </c>
      <c r="I1265" s="2" t="s">
        <v>177</v>
      </c>
      <c r="J1265" s="3" t="s">
        <v>140</v>
      </c>
      <c r="M1265" s="2">
        <f>IF(J1265="1000+", 1000, (LEFT(J1265,FIND("-",J1265)-1)+RIGHT(J1265,LEN(J1265)-FIND("-",J1265)))/2)</f>
        <v>115</v>
      </c>
      <c r="N1265" s="2">
        <f>ROUND(E1265 * 0.7+F1265 * 0.2+G1265 * 0.1,2)</f>
        <v>52.9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75</v>
      </c>
      <c r="P1265" s="2">
        <f>E1265 - O1265</f>
        <v>-24</v>
      </c>
      <c r="Q1265" s="2">
        <f>ROUND(
  SIGN(P1265)*
  IF(ABS(P1265)&lt;=10,ABS(P1265)*0.5,
     IF(ABS(P1265)&lt;=15,5+(ABS(P1265)-10)*(1.67/5),
        6.67+(ABS(P1265)-15)*0.333)),
2)</f>
        <v>-9.67</v>
      </c>
    </row>
    <row r="1266" spans="1:17" ht="34.5" customHeight="1" x14ac:dyDescent="0.3">
      <c r="B1266" s="2">
        <v>1265</v>
      </c>
      <c r="C1266" s="13">
        <f>ROUND(MAX(MIN(N1266 + Q1266, 100), 0), 2)</f>
        <v>43.23</v>
      </c>
      <c r="D1266" s="2" t="s">
        <v>1129</v>
      </c>
      <c r="E1266" s="2">
        <v>52</v>
      </c>
      <c r="F1266" s="7">
        <v>62</v>
      </c>
      <c r="G1266" s="7">
        <v>61</v>
      </c>
      <c r="H1266" s="2" t="s">
        <v>624</v>
      </c>
      <c r="I1266" s="2" t="s">
        <v>576</v>
      </c>
      <c r="J1266" s="3" t="s">
        <v>28</v>
      </c>
      <c r="M1266" s="2">
        <f>IF(J1266="1000+", 1000, (LEFT(J1266,FIND("-",J1266)-1)+RIGHT(J1266,LEN(J1266)-FIND("-",J1266)))/2)</f>
        <v>200</v>
      </c>
      <c r="N1266" s="2">
        <f>ROUND(E1266 * 0.7+F1266 * 0.2+G1266 * 0.1,2)</f>
        <v>54.9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82</v>
      </c>
      <c r="P1266" s="2">
        <f>E1266 - O1266</f>
        <v>-30</v>
      </c>
      <c r="Q1266" s="2">
        <f>ROUND(
  SIGN(P1266)*
  IF(ABS(P1266)&lt;=10,ABS(P1266)*0.5,
     IF(ABS(P1266)&lt;=15,5+(ABS(P1266)-10)*(1.67/5),
        6.67+(ABS(P1266)-15)*0.333)),
2)</f>
        <v>-11.67</v>
      </c>
    </row>
    <row r="1267" spans="1:17" ht="34.5" customHeight="1" x14ac:dyDescent="0.3">
      <c r="A1267" s="2">
        <v>2026</v>
      </c>
      <c r="B1267" s="2">
        <v>1266</v>
      </c>
      <c r="C1267" s="13">
        <f>ROUND(MAX(MIN(N1267 + Q1267, 100), 0), 2)</f>
        <v>43.2</v>
      </c>
      <c r="D1267" s="2" t="s">
        <v>1145</v>
      </c>
      <c r="E1267" s="2">
        <v>50</v>
      </c>
      <c r="F1267" s="7">
        <v>61</v>
      </c>
      <c r="G1267" s="2">
        <v>50</v>
      </c>
      <c r="H1267" s="2" t="s">
        <v>45</v>
      </c>
      <c r="I1267" s="2" t="s">
        <v>72</v>
      </c>
      <c r="J1267" s="3" t="s">
        <v>122</v>
      </c>
      <c r="M1267" s="2">
        <f>IF(J1267="1000+", 1000, (LEFT(J1267,FIND("-",J1267)-1)+RIGHT(J1267,LEN(J1267)-FIND("-",J1267)))/2)</f>
        <v>105</v>
      </c>
      <c r="N1267" s="2">
        <f>ROUND(E1267 * 0.7+F1267 * 0.2+G1267 * 0.1,2)</f>
        <v>52.2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72</v>
      </c>
      <c r="P1267" s="2">
        <f>E1267 - O1267</f>
        <v>-22</v>
      </c>
      <c r="Q1267" s="2">
        <f>ROUND(
  SIGN(P1267)*
  IF(ABS(P1267)&lt;=10,ABS(P1267)*0.5,
     IF(ABS(P1267)&lt;=15,5+(ABS(P1267)-10)*(1.67/5),
        6.67+(ABS(P1267)-15)*0.333)),
2)</f>
        <v>-9</v>
      </c>
    </row>
    <row r="1268" spans="1:17" ht="34.5" customHeight="1" x14ac:dyDescent="0.3">
      <c r="B1268" s="2">
        <v>1267</v>
      </c>
      <c r="C1268" s="13">
        <f>ROUND(MAX(MIN(N1268 + Q1268, 100), 0), 2)</f>
        <v>43.2</v>
      </c>
      <c r="D1268" s="2" t="s">
        <v>1116</v>
      </c>
      <c r="E1268" s="2">
        <v>52</v>
      </c>
      <c r="F1268" s="2">
        <v>54</v>
      </c>
      <c r="G1268" s="5">
        <v>70</v>
      </c>
      <c r="H1268" s="2" t="s">
        <v>452</v>
      </c>
      <c r="I1268" s="2" t="s">
        <v>218</v>
      </c>
      <c r="J1268" s="3" t="s">
        <v>88</v>
      </c>
      <c r="M1268" s="2">
        <f>IF(J1268="1000+", 1000, (LEFT(J1268,FIND("-",J1268)-1)+RIGHT(J1268,LEN(J1268)-FIND("-",J1268)))/2)</f>
        <v>150</v>
      </c>
      <c r="N1268" s="2">
        <f>ROUND(E1268 * 0.7+F1268 * 0.2+G1268 * 0.1,2)</f>
        <v>54.2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80</v>
      </c>
      <c r="P1268" s="2">
        <f>E1268 - O1268</f>
        <v>-28</v>
      </c>
      <c r="Q1268" s="2">
        <f>ROUND(
  SIGN(P1268)*
  IF(ABS(P1268)&lt;=10,ABS(P1268)*0.5,
     IF(ABS(P1268)&lt;=15,5+(ABS(P1268)-10)*(1.67/5),
        6.67+(ABS(P1268)-15)*0.333)),
2)</f>
        <v>-11</v>
      </c>
    </row>
    <row r="1269" spans="1:17" ht="34.5" customHeight="1" x14ac:dyDescent="0.3">
      <c r="B1269" s="2">
        <v>1268</v>
      </c>
      <c r="C1269" s="13">
        <f>ROUND(MAX(MIN(N1269 + Q1269, 100), 0), 2)</f>
        <v>43.16</v>
      </c>
      <c r="D1269" s="2" t="s">
        <v>1122</v>
      </c>
      <c r="E1269" s="2">
        <v>50</v>
      </c>
      <c r="F1269" s="2">
        <v>55</v>
      </c>
      <c r="G1269" s="2">
        <v>55</v>
      </c>
      <c r="H1269" s="2" t="s">
        <v>324</v>
      </c>
      <c r="I1269" s="2" t="s">
        <v>218</v>
      </c>
      <c r="J1269" s="3" t="s">
        <v>18</v>
      </c>
      <c r="M1269" s="2">
        <f>IF(J1269="1000+", 1000, (LEFT(J1269,FIND("-",J1269)-1)+RIGHT(J1269,LEN(J1269)-FIND("-",J1269)))/2)</f>
        <v>75</v>
      </c>
      <c r="N1269" s="2">
        <f>ROUND(E1269 * 0.7+F1269 * 0.2+G1269 * 0.1,2)</f>
        <v>51.5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70</v>
      </c>
      <c r="P1269" s="2">
        <f>E1269 - O1269</f>
        <v>-20</v>
      </c>
      <c r="Q1269" s="2">
        <f>ROUND(
  SIGN(P1269)*
  IF(ABS(P1269)&lt;=10,ABS(P1269)*0.5,
     IF(ABS(P1269)&lt;=15,5+(ABS(P1269)-10)*(1.67/5),
        6.67+(ABS(P1269)-15)*0.333)),
2)</f>
        <v>-8.34</v>
      </c>
    </row>
    <row r="1270" spans="1:17" ht="34.5" customHeight="1" x14ac:dyDescent="0.3">
      <c r="B1270" s="2">
        <v>1269</v>
      </c>
      <c r="C1270" s="13">
        <f>ROUND(MAX(MIN(N1270 + Q1270, 100), 0), 2)</f>
        <v>43.16</v>
      </c>
      <c r="D1270" s="2" t="s">
        <v>1121</v>
      </c>
      <c r="E1270" s="2">
        <v>50</v>
      </c>
      <c r="F1270" s="2">
        <v>55</v>
      </c>
      <c r="G1270" s="2">
        <v>55</v>
      </c>
      <c r="H1270" s="2" t="s">
        <v>48</v>
      </c>
      <c r="I1270" s="2" t="s">
        <v>218</v>
      </c>
      <c r="J1270" s="3" t="s">
        <v>18</v>
      </c>
      <c r="M1270" s="2">
        <f>IF(J1270="1000+", 1000, (LEFT(J1270,FIND("-",J1270)-1)+RIGHT(J1270,LEN(J1270)-FIND("-",J1270)))/2)</f>
        <v>75</v>
      </c>
      <c r="N1270" s="2">
        <f>ROUND(E1270 * 0.7+F1270 * 0.2+G1270 * 0.1,2)</f>
        <v>51.5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70</v>
      </c>
      <c r="P1270" s="2">
        <f>E1270 - O1270</f>
        <v>-20</v>
      </c>
      <c r="Q1270" s="2">
        <f>ROUND(
  SIGN(P1270)*
  IF(ABS(P1270)&lt;=10,ABS(P1270)*0.5,
     IF(ABS(P1270)&lt;=15,5+(ABS(P1270)-10)*(1.67/5),
        6.67+(ABS(P1270)-15)*0.333)),
2)</f>
        <v>-8.34</v>
      </c>
    </row>
    <row r="1271" spans="1:17" ht="34.5" customHeight="1" x14ac:dyDescent="0.3">
      <c r="B1271" s="2">
        <v>1270</v>
      </c>
      <c r="C1271" s="13">
        <f>ROUND(MAX(MIN(N1271 + Q1271, 100), 0), 2)</f>
        <v>43.13</v>
      </c>
      <c r="D1271" s="2" t="s">
        <v>1141</v>
      </c>
      <c r="E1271" s="2">
        <v>50</v>
      </c>
      <c r="F1271" s="2">
        <v>50</v>
      </c>
      <c r="G1271" s="2">
        <v>38</v>
      </c>
      <c r="H1271" s="2" t="s">
        <v>48</v>
      </c>
      <c r="I1271" s="2" t="s">
        <v>316</v>
      </c>
      <c r="J1271" s="3" t="s">
        <v>146</v>
      </c>
      <c r="M1271" s="2">
        <f>IF(J1271="1000+", 1000, (LEFT(J1271,FIND("-",J1271)-1)+RIGHT(J1271,LEN(J1271)-FIND("-",J1271)))/2)</f>
        <v>30</v>
      </c>
      <c r="N1271" s="2">
        <f>ROUND(E1271 * 0.7+F1271 * 0.2+G1271 * 0.1,2)</f>
        <v>48.8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62</v>
      </c>
      <c r="P1271" s="2">
        <f>E1271 - O1271</f>
        <v>-12</v>
      </c>
      <c r="Q1271" s="2">
        <f>ROUND(
  SIGN(P1271)*
  IF(ABS(P1271)&lt;=10,ABS(P1271)*0.5,
     IF(ABS(P1271)&lt;=15,5+(ABS(P1271)-10)*(1.67/5),
        6.67+(ABS(P1271)-15)*0.333)),
2)</f>
        <v>-5.67</v>
      </c>
    </row>
    <row r="1272" spans="1:17" ht="34.5" customHeight="1" x14ac:dyDescent="0.3">
      <c r="B1272" s="2">
        <v>1271</v>
      </c>
      <c r="C1272" s="13">
        <f>ROUND(MAX(MIN(N1272 + Q1272, 100), 0), 2)</f>
        <v>43.13</v>
      </c>
      <c r="D1272" s="2" t="s">
        <v>1130</v>
      </c>
      <c r="E1272" s="2">
        <v>52</v>
      </c>
      <c r="F1272" s="7">
        <v>63</v>
      </c>
      <c r="G1272" s="2">
        <v>58</v>
      </c>
      <c r="H1272" s="2" t="s">
        <v>490</v>
      </c>
      <c r="I1272" s="2" t="s">
        <v>535</v>
      </c>
      <c r="J1272" s="3" t="s">
        <v>28</v>
      </c>
      <c r="M1272" s="2">
        <f>IF(J1272="1000+", 1000, (LEFT(J1272,FIND("-",J1272)-1)+RIGHT(J1272,LEN(J1272)-FIND("-",J1272)))/2)</f>
        <v>200</v>
      </c>
      <c r="N1272" s="2">
        <f>ROUND(E1272 * 0.7+F1272 * 0.2+G1272 * 0.1,2)</f>
        <v>54.8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82</v>
      </c>
      <c r="P1272" s="2">
        <f>E1272 - O1272</f>
        <v>-30</v>
      </c>
      <c r="Q1272" s="2">
        <f>ROUND(
  SIGN(P1272)*
  IF(ABS(P1272)&lt;=10,ABS(P1272)*0.5,
     IF(ABS(P1272)&lt;=15,5+(ABS(P1272)-10)*(1.67/5),
        6.67+(ABS(P1272)-15)*0.333)),
2)</f>
        <v>-11.67</v>
      </c>
    </row>
    <row r="1273" spans="1:17" ht="34.5" customHeight="1" x14ac:dyDescent="0.3">
      <c r="B1273" s="2">
        <v>1272</v>
      </c>
      <c r="C1273" s="13">
        <f>ROUND(MAX(MIN(N1273 + Q1273, 100), 0), 2)</f>
        <v>42.9</v>
      </c>
      <c r="D1273" s="2" t="s">
        <v>1112</v>
      </c>
      <c r="E1273" s="2">
        <v>45</v>
      </c>
      <c r="F1273" s="2">
        <v>52</v>
      </c>
      <c r="G1273" s="7">
        <v>60</v>
      </c>
      <c r="H1273" s="2" t="s">
        <v>64</v>
      </c>
      <c r="I1273" s="2" t="s">
        <v>447</v>
      </c>
      <c r="J1273" s="3" t="s">
        <v>37</v>
      </c>
      <c r="M1273" s="2">
        <f>IF(J1273="1000+", 1000, (LEFT(J1273,FIND("-",J1273)-1)+RIGHT(J1273,LEN(J1273)-FIND("-",J1273)))/2)</f>
        <v>15</v>
      </c>
      <c r="N1273" s="2">
        <f>ROUND(E1273 * 0.7+F1273 * 0.2+G1273 * 0.1,2)</f>
        <v>47.9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55</v>
      </c>
      <c r="P1273" s="2">
        <f>E1273 - O1273</f>
        <v>-10</v>
      </c>
      <c r="Q1273" s="2">
        <f>ROUND(
  SIGN(P1273)*
  IF(ABS(P1273)&lt;=10,ABS(P1273)*0.5,
     IF(ABS(P1273)&lt;=15,5+(ABS(P1273)-10)*(1.67/5),
        6.67+(ABS(P1273)-15)*0.333)),
2)</f>
        <v>-5</v>
      </c>
    </row>
    <row r="1274" spans="1:17" ht="34.5" customHeight="1" x14ac:dyDescent="0.3">
      <c r="B1274" s="2">
        <v>1273</v>
      </c>
      <c r="C1274" s="13">
        <f>ROUND(MAX(MIN(N1274 + Q1274, 100), 0), 2)</f>
        <v>42.83</v>
      </c>
      <c r="D1274" s="2" t="s">
        <v>1151</v>
      </c>
      <c r="E1274" s="2">
        <v>48</v>
      </c>
      <c r="F1274" s="2">
        <v>50</v>
      </c>
      <c r="G1274" s="2">
        <v>49</v>
      </c>
      <c r="H1274" s="2" t="s">
        <v>31</v>
      </c>
      <c r="I1274" s="2" t="s">
        <v>447</v>
      </c>
      <c r="J1274" s="3" t="s">
        <v>132</v>
      </c>
      <c r="M1274" s="2">
        <f>IF(J1274="1000+", 1000, (LEFT(J1274,FIND("-",J1274)-1)+RIGHT(J1274,LEN(J1274)-FIND("-",J1274)))/2)</f>
        <v>20</v>
      </c>
      <c r="N1274" s="2">
        <f>ROUND(E1274 * 0.7+F1274 * 0.2+G1274 * 0.1,2)</f>
        <v>48.5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60</v>
      </c>
      <c r="P1274" s="2">
        <f>E1274 - O1274</f>
        <v>-12</v>
      </c>
      <c r="Q1274" s="2">
        <f>ROUND(
  SIGN(P1274)*
  IF(ABS(P1274)&lt;=10,ABS(P1274)*0.5,
     IF(ABS(P1274)&lt;=15,5+(ABS(P1274)-10)*(1.67/5),
        6.67+(ABS(P1274)-15)*0.333)),
2)</f>
        <v>-5.67</v>
      </c>
    </row>
    <row r="1275" spans="1:17" ht="34.5" customHeight="1" x14ac:dyDescent="0.3">
      <c r="B1275" s="2">
        <v>1274</v>
      </c>
      <c r="C1275" s="13">
        <f>ROUND(MAX(MIN(N1275 + Q1275, 100), 0), 2)</f>
        <v>42.8</v>
      </c>
      <c r="D1275" s="2" t="s">
        <v>1085</v>
      </c>
      <c r="E1275" s="2">
        <v>49</v>
      </c>
      <c r="F1275" s="7">
        <v>60</v>
      </c>
      <c r="G1275" s="2">
        <v>45</v>
      </c>
      <c r="H1275" s="2" t="s">
        <v>135</v>
      </c>
      <c r="I1275" s="2" t="s">
        <v>276</v>
      </c>
      <c r="J1275" s="3" t="s">
        <v>23</v>
      </c>
      <c r="M1275" s="2">
        <f>IF(J1275="1000+", 1000, (LEFT(J1275,FIND("-",J1275)-1)+RIGHT(J1275,LEN(J1275)-FIND("-",J1275)))/2)</f>
        <v>60</v>
      </c>
      <c r="N1275" s="2">
        <f>ROUND(E1275 * 0.7+F1275 * 0.2+G1275 * 0.1,2)</f>
        <v>50.8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68</v>
      </c>
      <c r="P1275" s="2">
        <f>E1275 - O1275</f>
        <v>-19</v>
      </c>
      <c r="Q1275" s="2">
        <f>ROUND(
  SIGN(P1275)*
  IF(ABS(P1275)&lt;=10,ABS(P1275)*0.5,
     IF(ABS(P1275)&lt;=15,5+(ABS(P1275)-10)*(1.67/5),
        6.67+(ABS(P1275)-15)*0.333)),
2)</f>
        <v>-8</v>
      </c>
    </row>
    <row r="1276" spans="1:17" ht="34.5" customHeight="1" x14ac:dyDescent="0.3">
      <c r="B1276" s="2">
        <v>1275</v>
      </c>
      <c r="C1276" s="13">
        <f>ROUND(MAX(MIN(N1276 + Q1276, 100), 0), 2)</f>
        <v>42.77</v>
      </c>
      <c r="D1276" s="2" t="s">
        <v>1160</v>
      </c>
      <c r="E1276" s="2">
        <v>52</v>
      </c>
      <c r="F1276" s="7">
        <v>60</v>
      </c>
      <c r="G1276" s="2">
        <v>37</v>
      </c>
      <c r="H1276" s="2" t="s">
        <v>1440</v>
      </c>
      <c r="I1276" s="2" t="s">
        <v>22</v>
      </c>
      <c r="J1276" s="3" t="s">
        <v>140</v>
      </c>
      <c r="M1276" s="2">
        <f>IF(J1276="1000+", 1000, (LEFT(J1276,FIND("-",J1276)-1)+RIGHT(J1276,LEN(J1276)-FIND("-",J1276)))/2)</f>
        <v>115</v>
      </c>
      <c r="N1276" s="2">
        <f>ROUND(E1276 * 0.7+F1276 * 0.2+G1276 * 0.1,2)</f>
        <v>52.1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75</v>
      </c>
      <c r="P1276" s="2">
        <f>E1276 - O1276</f>
        <v>-23</v>
      </c>
      <c r="Q1276" s="2">
        <f>ROUND(
  SIGN(P1276)*
  IF(ABS(P1276)&lt;=10,ABS(P1276)*0.5,
     IF(ABS(P1276)&lt;=15,5+(ABS(P1276)-10)*(1.67/5),
        6.67+(ABS(P1276)-15)*0.333)),
2)</f>
        <v>-9.33</v>
      </c>
    </row>
    <row r="1277" spans="1:17" ht="34.5" customHeight="1" x14ac:dyDescent="0.3">
      <c r="B1277" s="2">
        <v>1276</v>
      </c>
      <c r="C1277" s="13">
        <f>ROUND(MAX(MIN(N1277 + Q1277, 100), 0), 2)</f>
        <v>42.63</v>
      </c>
      <c r="D1277" s="2" t="s">
        <v>1156</v>
      </c>
      <c r="E1277" s="2">
        <v>51</v>
      </c>
      <c r="F1277" s="2">
        <v>55</v>
      </c>
      <c r="G1277" s="2">
        <v>56</v>
      </c>
      <c r="H1277" s="2" t="s">
        <v>48</v>
      </c>
      <c r="I1277" s="2" t="s">
        <v>218</v>
      </c>
      <c r="J1277" s="3" t="s">
        <v>140</v>
      </c>
      <c r="M1277" s="2">
        <f>IF(J1277="1000+", 1000, (LEFT(J1277,FIND("-",J1277)-1)+RIGHT(J1277,LEN(J1277)-FIND("-",J1277)))/2)</f>
        <v>115</v>
      </c>
      <c r="N1277" s="2">
        <f>ROUND(E1277 * 0.7+F1277 * 0.2+G1277 * 0.1,2)</f>
        <v>52.3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75</v>
      </c>
      <c r="P1277" s="2">
        <f>E1277 - O1277</f>
        <v>-24</v>
      </c>
      <c r="Q1277" s="2">
        <f>ROUND(
  SIGN(P1277)*
  IF(ABS(P1277)&lt;=10,ABS(P1277)*0.5,
     IF(ABS(P1277)&lt;=15,5+(ABS(P1277)-10)*(1.67/5),
        6.67+(ABS(P1277)-15)*0.333)),
2)</f>
        <v>-9.67</v>
      </c>
    </row>
    <row r="1278" spans="1:17" ht="34.5" customHeight="1" x14ac:dyDescent="0.3">
      <c r="B1278" s="2">
        <v>1277</v>
      </c>
      <c r="C1278" s="13">
        <f>ROUND(MAX(MIN(N1278 + Q1278, 100), 0), 2)</f>
        <v>42.6</v>
      </c>
      <c r="D1278" s="2" t="s">
        <v>1119</v>
      </c>
      <c r="E1278" s="2">
        <v>48</v>
      </c>
      <c r="F1278" s="7">
        <v>60</v>
      </c>
      <c r="G1278" s="7">
        <v>60</v>
      </c>
      <c r="H1278" s="2" t="s">
        <v>48</v>
      </c>
      <c r="I1278" s="2" t="s">
        <v>218</v>
      </c>
      <c r="J1278" s="3" t="s">
        <v>18</v>
      </c>
      <c r="M1278" s="2">
        <f>IF(J1278="1000+", 1000, (LEFT(J1278,FIND("-",J1278)-1)+RIGHT(J1278,LEN(J1278)-FIND("-",J1278)))/2)</f>
        <v>75</v>
      </c>
      <c r="N1278" s="2">
        <f>ROUND(E1278 * 0.7+F1278 * 0.2+G1278 * 0.1,2)</f>
        <v>51.6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70</v>
      </c>
      <c r="P1278" s="2">
        <f>E1278 - O1278</f>
        <v>-22</v>
      </c>
      <c r="Q1278" s="2">
        <f>ROUND(
  SIGN(P1278)*
  IF(ABS(P1278)&lt;=10,ABS(P1278)*0.5,
     IF(ABS(P1278)&lt;=15,5+(ABS(P1278)-10)*(1.67/5),
        6.67+(ABS(P1278)-15)*0.333)),
2)</f>
        <v>-9</v>
      </c>
    </row>
    <row r="1279" spans="1:17" ht="34.5" customHeight="1" x14ac:dyDescent="0.3">
      <c r="B1279" s="2">
        <v>1278</v>
      </c>
      <c r="C1279" s="13">
        <f>ROUND(MAX(MIN(N1279 + Q1279, 100), 0), 2)</f>
        <v>42.57</v>
      </c>
      <c r="D1279" s="2" t="s">
        <v>1124</v>
      </c>
      <c r="E1279" s="2">
        <v>51</v>
      </c>
      <c r="F1279" s="2">
        <v>59</v>
      </c>
      <c r="G1279" s="7">
        <v>64</v>
      </c>
      <c r="H1279" s="2" t="s">
        <v>12</v>
      </c>
      <c r="I1279" s="2" t="s">
        <v>41</v>
      </c>
      <c r="J1279" s="3" t="s">
        <v>88</v>
      </c>
      <c r="M1279" s="2">
        <f>IF(J1279="1000+", 1000, (LEFT(J1279,FIND("-",J1279)-1)+RIGHT(J1279,LEN(J1279)-FIND("-",J1279)))/2)</f>
        <v>150</v>
      </c>
      <c r="N1279" s="2">
        <f>ROUND(E1279 * 0.7+F1279 * 0.2+G1279 * 0.1,2)</f>
        <v>53.9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80</v>
      </c>
      <c r="P1279" s="2">
        <f>E1279 - O1279</f>
        <v>-29</v>
      </c>
      <c r="Q1279" s="2">
        <f>ROUND(
  SIGN(P1279)*
  IF(ABS(P1279)&lt;=10,ABS(P1279)*0.5,
     IF(ABS(P1279)&lt;=15,5+(ABS(P1279)-10)*(1.67/5),
        6.67+(ABS(P1279)-15)*0.333)),
2)</f>
        <v>-11.33</v>
      </c>
    </row>
    <row r="1280" spans="1:17" ht="34.5" customHeight="1" x14ac:dyDescent="0.3">
      <c r="B1280" s="2">
        <v>1279</v>
      </c>
      <c r="C1280" s="13">
        <f>ROUND(MAX(MIN(N1280 + Q1280, 100), 0), 2)</f>
        <v>42.56</v>
      </c>
      <c r="D1280" s="2" t="s">
        <v>1113</v>
      </c>
      <c r="E1280" s="2">
        <v>48</v>
      </c>
      <c r="F1280" s="7">
        <v>69</v>
      </c>
      <c r="G1280" s="2">
        <v>35</v>
      </c>
      <c r="H1280" s="2" t="s">
        <v>661</v>
      </c>
      <c r="I1280" s="2" t="s">
        <v>22</v>
      </c>
      <c r="J1280" s="3" t="s">
        <v>23</v>
      </c>
      <c r="M1280" s="2">
        <f>IF(J1280="1000+", 1000, (LEFT(J1280,FIND("-",J1280)-1)+RIGHT(J1280,LEN(J1280)-FIND("-",J1280)))/2)</f>
        <v>60</v>
      </c>
      <c r="N1280" s="2">
        <f>ROUND(E1280 * 0.7+F1280 * 0.2+G1280 * 0.1,2)</f>
        <v>50.9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68</v>
      </c>
      <c r="P1280" s="2">
        <f>E1280 - O1280</f>
        <v>-20</v>
      </c>
      <c r="Q1280" s="2">
        <f>ROUND(
  SIGN(P1280)*
  IF(ABS(P1280)&lt;=10,ABS(P1280)*0.5,
     IF(ABS(P1280)&lt;=15,5+(ABS(P1280)-10)*(1.67/5),
        6.67+(ABS(P1280)-15)*0.333)),
2)</f>
        <v>-8.34</v>
      </c>
    </row>
    <row r="1281" spans="1:17" ht="34.5" customHeight="1" x14ac:dyDescent="0.3">
      <c r="B1281" s="2">
        <v>1280</v>
      </c>
      <c r="C1281" s="13">
        <f>ROUND(MAX(MIN(N1281 + Q1281, 100), 0), 2)</f>
        <v>42.5</v>
      </c>
      <c r="D1281" s="2" t="s">
        <v>1149</v>
      </c>
      <c r="E1281" s="2">
        <v>51</v>
      </c>
      <c r="F1281" s="2">
        <v>48</v>
      </c>
      <c r="G1281" s="2">
        <v>52</v>
      </c>
      <c r="H1281" s="2" t="s">
        <v>114</v>
      </c>
      <c r="I1281" s="2" t="s">
        <v>17</v>
      </c>
      <c r="J1281" s="3" t="s">
        <v>18</v>
      </c>
      <c r="M1281" s="2">
        <f>IF(J1281="1000+", 1000, (LEFT(J1281,FIND("-",J1281)-1)+RIGHT(J1281,LEN(J1281)-FIND("-",J1281)))/2)</f>
        <v>75</v>
      </c>
      <c r="N1281" s="2">
        <f>ROUND(E1281 * 0.7+F1281 * 0.2+G1281 * 0.1,2)</f>
        <v>50.5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70</v>
      </c>
      <c r="P1281" s="2">
        <f>E1281 - O1281</f>
        <v>-19</v>
      </c>
      <c r="Q1281" s="2">
        <f>ROUND(
  SIGN(P1281)*
  IF(ABS(P1281)&lt;=10,ABS(P1281)*0.5,
     IF(ABS(P1281)&lt;=15,5+(ABS(P1281)-10)*(1.67/5),
        6.67+(ABS(P1281)-15)*0.333)),
2)</f>
        <v>-8</v>
      </c>
    </row>
    <row r="1282" spans="1:17" ht="34.5" customHeight="1" x14ac:dyDescent="0.3">
      <c r="B1282" s="2">
        <v>1281</v>
      </c>
      <c r="C1282" s="13">
        <f>ROUND(MAX(MIN(N1282 + Q1282, 100), 0), 2)</f>
        <v>42.5</v>
      </c>
      <c r="D1282" s="2" t="s">
        <v>1136</v>
      </c>
      <c r="E1282" s="2">
        <v>52</v>
      </c>
      <c r="F1282" s="7">
        <v>60</v>
      </c>
      <c r="G1282" s="2">
        <v>51</v>
      </c>
      <c r="H1282" s="2" t="s">
        <v>699</v>
      </c>
      <c r="I1282" s="2" t="s">
        <v>325</v>
      </c>
      <c r="J1282" s="3" t="s">
        <v>88</v>
      </c>
      <c r="M1282" s="2">
        <f>IF(J1282="1000+", 1000, (LEFT(J1282,FIND("-",J1282)-1)+RIGHT(J1282,LEN(J1282)-FIND("-",J1282)))/2)</f>
        <v>150</v>
      </c>
      <c r="N1282" s="2">
        <f>ROUND(E1282 * 0.7+F1282 * 0.2+G1282 * 0.1,2)</f>
        <v>53.5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80</v>
      </c>
      <c r="P1282" s="2">
        <f>E1282 - O1282</f>
        <v>-28</v>
      </c>
      <c r="Q1282" s="2">
        <f>ROUND(
  SIGN(P1282)*
  IF(ABS(P1282)&lt;=10,ABS(P1282)*0.5,
     IF(ABS(P1282)&lt;=15,5+(ABS(P1282)-10)*(1.67/5),
        6.67+(ABS(P1282)-15)*0.333)),
2)</f>
        <v>-11</v>
      </c>
    </row>
    <row r="1283" spans="1:17" ht="34.5" customHeight="1" x14ac:dyDescent="0.3">
      <c r="B1283" s="2">
        <v>1282</v>
      </c>
      <c r="C1283" s="13">
        <f>ROUND(MAX(MIN(N1283 + Q1283, 100), 0), 2)</f>
        <v>42.37</v>
      </c>
      <c r="D1283" s="2" t="s">
        <v>1118</v>
      </c>
      <c r="E1283" s="2">
        <v>46</v>
      </c>
      <c r="F1283" s="5">
        <v>73</v>
      </c>
      <c r="G1283" s="7">
        <v>69</v>
      </c>
      <c r="H1283" s="2" t="s">
        <v>85</v>
      </c>
      <c r="I1283" s="2" t="s">
        <v>22</v>
      </c>
      <c r="J1283" s="3" t="s">
        <v>140</v>
      </c>
      <c r="M1283" s="2">
        <f>IF(J1283="1000+", 1000, (LEFT(J1283,FIND("-",J1283)-1)+RIGHT(J1283,LEN(J1283)-FIND("-",J1283)))/2)</f>
        <v>115</v>
      </c>
      <c r="N1283" s="2">
        <f>ROUND(E1283 * 0.7+F1283 * 0.2+G1283 * 0.1,2)</f>
        <v>53.7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75</v>
      </c>
      <c r="P1283" s="2">
        <f>E1283 - O1283</f>
        <v>-29</v>
      </c>
      <c r="Q1283" s="2">
        <f>ROUND(
  SIGN(P1283)*
  IF(ABS(P1283)&lt;=10,ABS(P1283)*0.5,
     IF(ABS(P1283)&lt;=15,5+(ABS(P1283)-10)*(1.67/5),
        6.67+(ABS(P1283)-15)*0.333)),
2)</f>
        <v>-11.33</v>
      </c>
    </row>
    <row r="1284" spans="1:17" ht="34.5" customHeight="1" x14ac:dyDescent="0.3">
      <c r="B1284" s="2">
        <v>1283</v>
      </c>
      <c r="C1284" s="13">
        <f>ROUND(MAX(MIN(N1284 + Q1284, 100), 0), 2)</f>
        <v>42.26</v>
      </c>
      <c r="D1284" s="2" t="s">
        <v>1148</v>
      </c>
      <c r="E1284" s="2">
        <v>48</v>
      </c>
      <c r="F1284" s="2">
        <v>54</v>
      </c>
      <c r="G1284" s="2">
        <v>52</v>
      </c>
      <c r="H1284" s="2" t="s">
        <v>31</v>
      </c>
      <c r="I1284" s="2" t="s">
        <v>218</v>
      </c>
      <c r="J1284" s="3" t="s">
        <v>32</v>
      </c>
      <c r="M1284" s="2">
        <f>IF(J1284="1000+", 1000, (LEFT(J1284,FIND("-",J1284)-1)+RIGHT(J1284,LEN(J1284)-FIND("-",J1284)))/2)</f>
        <v>45</v>
      </c>
      <c r="N1284" s="2">
        <f>ROUND(E1284 * 0.7+F1284 * 0.2+G1284 * 0.1,2)</f>
        <v>49.6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65</v>
      </c>
      <c r="P1284" s="2">
        <f>E1284 - O1284</f>
        <v>-17</v>
      </c>
      <c r="Q1284" s="2">
        <f>ROUND(
  SIGN(P1284)*
  IF(ABS(P1284)&lt;=10,ABS(P1284)*0.5,
     IF(ABS(P1284)&lt;=15,5+(ABS(P1284)-10)*(1.67/5),
        6.67+(ABS(P1284)-15)*0.333)),
2)</f>
        <v>-7.34</v>
      </c>
    </row>
    <row r="1285" spans="1:17" ht="34.5" customHeight="1" x14ac:dyDescent="0.3">
      <c r="B1285" s="2">
        <v>1284</v>
      </c>
      <c r="C1285" s="13">
        <f>ROUND(MAX(MIN(N1285 + Q1285, 100), 0), 2)</f>
        <v>42.23</v>
      </c>
      <c r="D1285" s="2" t="s">
        <v>1153</v>
      </c>
      <c r="E1285" s="2">
        <v>52</v>
      </c>
      <c r="F1285" s="2">
        <v>55</v>
      </c>
      <c r="G1285" s="7">
        <v>65</v>
      </c>
      <c r="H1285" s="2" t="s">
        <v>624</v>
      </c>
      <c r="I1285" s="2" t="s">
        <v>551</v>
      </c>
      <c r="J1285" s="3" t="s">
        <v>28</v>
      </c>
      <c r="M1285" s="2">
        <f>IF(J1285="1000+", 1000, (LEFT(J1285,FIND("-",J1285)-1)+RIGHT(J1285,LEN(J1285)-FIND("-",J1285)))/2)</f>
        <v>200</v>
      </c>
      <c r="N1285" s="2">
        <f>ROUND(E1285 * 0.7+F1285 * 0.2+G1285 * 0.1,2)</f>
        <v>53.9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82</v>
      </c>
      <c r="P1285" s="2">
        <f>E1285 - O1285</f>
        <v>-30</v>
      </c>
      <c r="Q1285" s="2">
        <f>ROUND(
  SIGN(P1285)*
  IF(ABS(P1285)&lt;=10,ABS(P1285)*0.5,
     IF(ABS(P1285)&lt;=15,5+(ABS(P1285)-10)*(1.67/5),
        6.67+(ABS(P1285)-15)*0.333)),
2)</f>
        <v>-11.67</v>
      </c>
    </row>
    <row r="1286" spans="1:17" ht="34.5" customHeight="1" x14ac:dyDescent="0.3">
      <c r="B1286" s="2">
        <v>1285</v>
      </c>
      <c r="C1286" s="13">
        <f>ROUND(MAX(MIN(N1286 + Q1286, 100), 0), 2)</f>
        <v>42.2</v>
      </c>
      <c r="D1286" s="2" t="s">
        <v>1144</v>
      </c>
      <c r="E1286" s="2">
        <v>45</v>
      </c>
      <c r="F1286" s="2">
        <v>55</v>
      </c>
      <c r="G1286" s="2">
        <v>47</v>
      </c>
      <c r="H1286" s="2" t="s">
        <v>48</v>
      </c>
      <c r="I1286" s="2" t="s">
        <v>36</v>
      </c>
      <c r="J1286" s="3" t="s">
        <v>37</v>
      </c>
      <c r="M1286" s="2">
        <f>IF(J1286="1000+", 1000, (LEFT(J1286,FIND("-",J1286)-1)+RIGHT(J1286,LEN(J1286)-FIND("-",J1286)))/2)</f>
        <v>15</v>
      </c>
      <c r="N1286" s="2">
        <f>ROUND(E1286 * 0.7+F1286 * 0.2+G1286 * 0.1,2)</f>
        <v>47.2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55</v>
      </c>
      <c r="P1286" s="2">
        <f>E1286 - O1286</f>
        <v>-10</v>
      </c>
      <c r="Q1286" s="2">
        <f>ROUND(
  SIGN(P1286)*
  IF(ABS(P1286)&lt;=10,ABS(P1286)*0.5,
     IF(ABS(P1286)&lt;=15,5+(ABS(P1286)-10)*(1.67/5),
        6.67+(ABS(P1286)-15)*0.333)),
2)</f>
        <v>-5</v>
      </c>
    </row>
    <row r="1287" spans="1:17" ht="34.5" customHeight="1" x14ac:dyDescent="0.3">
      <c r="B1287" s="2">
        <v>1286</v>
      </c>
      <c r="C1287" s="13">
        <f>ROUND(MAX(MIN(N1287 + Q1287, 100), 0), 2)</f>
        <v>42</v>
      </c>
      <c r="D1287" s="2" t="s">
        <v>1135</v>
      </c>
      <c r="E1287" s="2">
        <v>49</v>
      </c>
      <c r="F1287" s="2">
        <v>52</v>
      </c>
      <c r="G1287" s="2">
        <v>53</v>
      </c>
      <c r="H1287" s="2" t="s">
        <v>605</v>
      </c>
      <c r="I1287" s="2" t="s">
        <v>72</v>
      </c>
      <c r="J1287" s="3" t="s">
        <v>23</v>
      </c>
      <c r="M1287" s="2">
        <f>IF(J1287="1000+", 1000, (LEFT(J1287,FIND("-",J1287)-1)+RIGHT(J1287,LEN(J1287)-FIND("-",J1287)))/2)</f>
        <v>60</v>
      </c>
      <c r="N1287" s="2">
        <f>ROUND(E1287 * 0.7+F1287 * 0.2+G1287 * 0.1,2)</f>
        <v>50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68</v>
      </c>
      <c r="P1287" s="2">
        <f>E1287 - O1287</f>
        <v>-19</v>
      </c>
      <c r="Q1287" s="2">
        <f>ROUND(
  SIGN(P1287)*
  IF(ABS(P1287)&lt;=10,ABS(P1287)*0.5,
     IF(ABS(P1287)&lt;=15,5+(ABS(P1287)-10)*(1.67/5),
        6.67+(ABS(P1287)-15)*0.333)),
2)</f>
        <v>-8</v>
      </c>
    </row>
    <row r="1288" spans="1:17" ht="34.5" customHeight="1" x14ac:dyDescent="0.3">
      <c r="B1288" s="2">
        <v>1287</v>
      </c>
      <c r="C1288" s="13">
        <f>ROUND(MAX(MIN(N1288 + Q1288, 100), 0), 2)</f>
        <v>41.87</v>
      </c>
      <c r="D1288" s="2" t="s">
        <v>1134</v>
      </c>
      <c r="E1288" s="2">
        <v>52</v>
      </c>
      <c r="F1288" s="7">
        <v>62</v>
      </c>
      <c r="G1288" s="7">
        <v>64</v>
      </c>
      <c r="H1288" s="2" t="s">
        <v>217</v>
      </c>
      <c r="I1288" s="2" t="s">
        <v>177</v>
      </c>
      <c r="J1288" s="3" t="s">
        <v>65</v>
      </c>
      <c r="M1288" s="2">
        <f>IF(J1288="1000+", 1000, (LEFT(J1288,FIND("-",J1288)-1)+RIGHT(J1288,LEN(J1288)-FIND("-",J1288)))/2)</f>
        <v>250</v>
      </c>
      <c r="N1288" s="2">
        <f>ROUND(E1288 * 0.7+F1288 * 0.2+G1288 * 0.1,2)</f>
        <v>55.2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87</v>
      </c>
      <c r="P1288" s="2">
        <f>E1288 - O1288</f>
        <v>-35</v>
      </c>
      <c r="Q1288" s="2">
        <f>ROUND(
  SIGN(P1288)*
  IF(ABS(P1288)&lt;=10,ABS(P1288)*0.5,
     IF(ABS(P1288)&lt;=15,5+(ABS(P1288)-10)*(1.67/5),
        6.67+(ABS(P1288)-15)*0.333)),
2)</f>
        <v>-13.33</v>
      </c>
    </row>
    <row r="1289" spans="1:17" ht="34.5" customHeight="1" x14ac:dyDescent="0.3">
      <c r="A1289" s="2">
        <v>2026</v>
      </c>
      <c r="B1289" s="2">
        <v>1288</v>
      </c>
      <c r="C1289" s="13">
        <f>ROUND(MAX(MIN(N1289 + Q1289, 100), 0), 2)</f>
        <v>41.83</v>
      </c>
      <c r="D1289" s="2" t="s">
        <v>1610</v>
      </c>
      <c r="E1289" s="2">
        <v>50</v>
      </c>
      <c r="F1289" s="2">
        <v>50</v>
      </c>
      <c r="G1289" s="2">
        <v>45</v>
      </c>
      <c r="H1289" s="2" t="s">
        <v>1616</v>
      </c>
      <c r="I1289" s="2" t="s">
        <v>1618</v>
      </c>
      <c r="J1289" s="3" t="s">
        <v>1624</v>
      </c>
      <c r="M1289" s="2">
        <f>IF(J1289="1000+", 1000, (LEFT(J1289,FIND("-",J1289)-1)+RIGHT(J1289,LEN(J1289)-FIND("-",J1289)))/2)</f>
        <v>60</v>
      </c>
      <c r="N1289" s="2">
        <f>ROUND(E1289 * 0.7+F1289 * 0.2+G1289 * 0.1,2)</f>
        <v>49.5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68</v>
      </c>
      <c r="P1289" s="2">
        <f>E1289 - O1289</f>
        <v>-18</v>
      </c>
      <c r="Q1289" s="2">
        <f>ROUND(
  SIGN(P1289)*
  IF(ABS(P1289)&lt;=10,ABS(P1289)*0.5,
     IF(ABS(P1289)&lt;=15,5+(ABS(P1289)-10)*(1.67/5),
        6.67+(ABS(P1289)-15)*0.333)),
2)</f>
        <v>-7.67</v>
      </c>
    </row>
    <row r="1290" spans="1:17" ht="34.5" customHeight="1" x14ac:dyDescent="0.3">
      <c r="A1290" s="2">
        <v>2026</v>
      </c>
      <c r="B1290" s="2">
        <v>1289</v>
      </c>
      <c r="C1290" s="13">
        <f>ROUND(MAX(MIN(N1290 + Q1290, 100), 0), 2)</f>
        <v>41.83</v>
      </c>
      <c r="D1290" s="2" t="s">
        <v>1510</v>
      </c>
      <c r="E1290" s="2">
        <v>50</v>
      </c>
      <c r="F1290" s="2">
        <v>50</v>
      </c>
      <c r="G1290" s="2">
        <v>45</v>
      </c>
      <c r="H1290" s="2" t="s">
        <v>1487</v>
      </c>
      <c r="I1290" s="2" t="s">
        <v>1523</v>
      </c>
      <c r="J1290" s="3" t="s">
        <v>1535</v>
      </c>
      <c r="M1290" s="2">
        <f>IF(J1290="1000+", 1000, (LEFT(J1290,FIND("-",J1290)-1)+RIGHT(J1290,LEN(J1290)-FIND("-",J1290)))/2)</f>
        <v>60</v>
      </c>
      <c r="N1290" s="2">
        <f>ROUND(E1290 * 0.7+F1290 * 0.2+G1290 * 0.1,2)</f>
        <v>49.5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68</v>
      </c>
      <c r="P1290" s="2">
        <f>E1290 - O1290</f>
        <v>-18</v>
      </c>
      <c r="Q1290" s="2">
        <f>ROUND(
  SIGN(P1290)*
  IF(ABS(P1290)&lt;=10,ABS(P1290)*0.5,
     IF(ABS(P1290)&lt;=15,5+(ABS(P1290)-10)*(1.67/5),
        6.67+(ABS(P1290)-15)*0.333)),
2)</f>
        <v>-7.67</v>
      </c>
    </row>
    <row r="1291" spans="1:17" ht="34.5" customHeight="1" x14ac:dyDescent="0.3">
      <c r="B1291" s="2">
        <v>1290</v>
      </c>
      <c r="C1291" s="13">
        <f>ROUND(MAX(MIN(N1291 + Q1291, 100), 0), 2)</f>
        <v>41.8</v>
      </c>
      <c r="D1291" s="2" t="s">
        <v>1165</v>
      </c>
      <c r="E1291" s="2">
        <v>50</v>
      </c>
      <c r="F1291" s="2">
        <v>50</v>
      </c>
      <c r="G1291" s="7">
        <v>68</v>
      </c>
      <c r="H1291" s="2" t="s">
        <v>71</v>
      </c>
      <c r="I1291" s="2" t="s">
        <v>637</v>
      </c>
      <c r="J1291" s="3" t="s">
        <v>140</v>
      </c>
      <c r="M1291" s="2">
        <f>IF(J1291="1000+", 1000, (LEFT(J1291,FIND("-",J1291)-1)+RIGHT(J1291,LEN(J1291)-FIND("-",J1291)))/2)</f>
        <v>115</v>
      </c>
      <c r="N1291" s="2">
        <f>ROUND(E1291 * 0.7+F1291 * 0.2+G1291 * 0.1,2)</f>
        <v>51.8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75</v>
      </c>
      <c r="P1291" s="2">
        <f>E1291 - O1291</f>
        <v>-25</v>
      </c>
      <c r="Q1291" s="2">
        <f>ROUND(
  SIGN(P1291)*
  IF(ABS(P1291)&lt;=10,ABS(P1291)*0.5,
     IF(ABS(P1291)&lt;=15,5+(ABS(P1291)-10)*(1.67/5),
        6.67+(ABS(P1291)-15)*0.333)),
2)</f>
        <v>-10</v>
      </c>
    </row>
    <row r="1292" spans="1:17" ht="34.5" customHeight="1" x14ac:dyDescent="0.3">
      <c r="A1292" s="2">
        <v>2026</v>
      </c>
      <c r="B1292" s="2">
        <v>1291</v>
      </c>
      <c r="C1292" s="13">
        <f>ROUND(MAX(MIN(N1292 + Q1292, 100), 0), 2)</f>
        <v>41.8</v>
      </c>
      <c r="D1292" s="2" t="s">
        <v>1375</v>
      </c>
      <c r="E1292" s="2">
        <v>52</v>
      </c>
      <c r="F1292" s="2">
        <v>58</v>
      </c>
      <c r="G1292" s="2">
        <v>48</v>
      </c>
      <c r="H1292" s="2" t="s">
        <v>1382</v>
      </c>
      <c r="I1292" s="2" t="s">
        <v>1387</v>
      </c>
      <c r="J1292" s="3" t="s">
        <v>1395</v>
      </c>
      <c r="M1292" s="2">
        <f>IF(J1292="1000+", 1000, (LEFT(J1292,FIND("-",J1292)-1)+RIGHT(J1292,LEN(J1292)-FIND("-",J1292)))/2)</f>
        <v>150</v>
      </c>
      <c r="N1292" s="2">
        <f>ROUND(E1292 * 0.7+F1292 * 0.2+G1292 * 0.1,2)</f>
        <v>52.8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80</v>
      </c>
      <c r="P1292" s="2">
        <f>E1292 - O1292</f>
        <v>-28</v>
      </c>
      <c r="Q1292" s="2">
        <f>ROUND(
  SIGN(P1292)*
  IF(ABS(P1292)&lt;=10,ABS(P1292)*0.5,
     IF(ABS(P1292)&lt;=15,5+(ABS(P1292)-10)*(1.67/5),
        6.67+(ABS(P1292)-15)*0.333)),
2)</f>
        <v>-11</v>
      </c>
    </row>
    <row r="1293" spans="1:17" ht="34.5" customHeight="1" x14ac:dyDescent="0.3">
      <c r="A1293" s="2">
        <v>2026</v>
      </c>
      <c r="B1293" s="2">
        <v>1292</v>
      </c>
      <c r="C1293" s="13">
        <f>ROUND(MAX(MIN(N1293 + Q1293, 100), 0), 2)</f>
        <v>41.76</v>
      </c>
      <c r="D1293" s="2" t="s">
        <v>1747</v>
      </c>
      <c r="E1293" s="2">
        <v>51</v>
      </c>
      <c r="F1293" s="2">
        <v>50</v>
      </c>
      <c r="G1293" s="2">
        <v>34</v>
      </c>
      <c r="H1293" s="2" t="s">
        <v>1760</v>
      </c>
      <c r="I1293" s="2" t="s">
        <v>1766</v>
      </c>
      <c r="J1293" s="3" t="s">
        <v>1772</v>
      </c>
      <c r="M1293" s="2">
        <f>IF(J1293="1000+", 1000, (LEFT(J1293,FIND("-",J1293)-1)+RIGHT(J1293,LEN(J1293)-FIND("-",J1293)))/2)</f>
        <v>60</v>
      </c>
      <c r="N1293" s="2">
        <f>ROUND(E1293 * 0.7+F1293 * 0.2+G1293 * 0.1,2)</f>
        <v>49.1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68</v>
      </c>
      <c r="P1293" s="2">
        <f>E1293 - O1293</f>
        <v>-17</v>
      </c>
      <c r="Q1293" s="2">
        <f>ROUND(
  SIGN(P1293)*
  IF(ABS(P1293)&lt;=10,ABS(P1293)*0.5,
     IF(ABS(P1293)&lt;=15,5+(ABS(P1293)-10)*(1.67/5),
        6.67+(ABS(P1293)-15)*0.333)),
2)</f>
        <v>-7.34</v>
      </c>
    </row>
    <row r="1294" spans="1:17" ht="34.5" customHeight="1" x14ac:dyDescent="0.3">
      <c r="B1294" s="2">
        <v>1293</v>
      </c>
      <c r="C1294" s="13">
        <f>ROUND(MAX(MIN(N1294 + Q1294, 100), 0), 2)</f>
        <v>41.7</v>
      </c>
      <c r="D1294" s="2" t="s">
        <v>1143</v>
      </c>
      <c r="E1294" s="2">
        <v>46</v>
      </c>
      <c r="F1294" s="2">
        <v>55</v>
      </c>
      <c r="G1294" s="2">
        <v>55</v>
      </c>
      <c r="H1294" s="2" t="s">
        <v>968</v>
      </c>
      <c r="I1294" s="2" t="s">
        <v>36</v>
      </c>
      <c r="J1294" s="3" t="s">
        <v>146</v>
      </c>
      <c r="M1294" s="2">
        <f>IF(J1294="1000+", 1000, (LEFT(J1294,FIND("-",J1294)-1)+RIGHT(J1294,LEN(J1294)-FIND("-",J1294)))/2)</f>
        <v>30</v>
      </c>
      <c r="N1294" s="2">
        <f>ROUND(E1294 * 0.7+F1294 * 0.2+G1294 * 0.1,2)</f>
        <v>48.7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62</v>
      </c>
      <c r="P1294" s="2">
        <f>E1294 - O1294</f>
        <v>-16</v>
      </c>
      <c r="Q1294" s="2">
        <f>ROUND(
  SIGN(P1294)*
  IF(ABS(P1294)&lt;=10,ABS(P1294)*0.5,
     IF(ABS(P1294)&lt;=15,5+(ABS(P1294)-10)*(1.67/5),
        6.67+(ABS(P1294)-15)*0.333)),
2)</f>
        <v>-7</v>
      </c>
    </row>
    <row r="1295" spans="1:17" ht="34.5" customHeight="1" x14ac:dyDescent="0.3">
      <c r="A1295" s="2">
        <v>2026</v>
      </c>
      <c r="B1295" s="2">
        <v>1294</v>
      </c>
      <c r="C1295" s="13">
        <f>ROUND(MAX(MIN(N1295 + Q1295, 100), 0), 2)</f>
        <v>41.63</v>
      </c>
      <c r="D1295" s="11" t="s">
        <v>1325</v>
      </c>
      <c r="E1295" s="2">
        <v>47</v>
      </c>
      <c r="F1295" s="7">
        <v>65</v>
      </c>
      <c r="G1295" s="2">
        <v>44</v>
      </c>
      <c r="H1295" s="11" t="s">
        <v>1333</v>
      </c>
      <c r="I1295" s="2" t="s">
        <v>36</v>
      </c>
      <c r="J1295" s="19" t="s">
        <v>1302</v>
      </c>
      <c r="M1295" s="2">
        <f>IF(J1295="1000+", 1000, (LEFT(J1295,FIND("-",J1295)-1)+RIGHT(J1295,LEN(J1295)-FIND("-",J1295)))/2)</f>
        <v>60</v>
      </c>
      <c r="N1295" s="2">
        <f>ROUND(E1295 * 0.7+F1295 * 0.2+G1295 * 0.1,2)</f>
        <v>50.3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68</v>
      </c>
      <c r="P1295" s="2">
        <f>E1295 - O1295</f>
        <v>-21</v>
      </c>
      <c r="Q1295" s="2">
        <f>ROUND(
  SIGN(P1295)*
  IF(ABS(P1295)&lt;=10,ABS(P1295)*0.5,
     IF(ABS(P1295)&lt;=15,5+(ABS(P1295)-10)*(1.67/5),
        6.67+(ABS(P1295)-15)*0.333)),
2)</f>
        <v>-8.67</v>
      </c>
    </row>
    <row r="1296" spans="1:17" ht="34.5" customHeight="1" x14ac:dyDescent="0.3">
      <c r="B1296" s="2">
        <v>1295</v>
      </c>
      <c r="C1296" s="13">
        <f>ROUND(MAX(MIN(N1296 + Q1296, 100), 0), 2)</f>
        <v>41.6</v>
      </c>
      <c r="D1296" s="2" t="s">
        <v>1147</v>
      </c>
      <c r="E1296" s="2">
        <v>46</v>
      </c>
      <c r="F1296" s="7">
        <v>62</v>
      </c>
      <c r="G1296" s="2">
        <v>50</v>
      </c>
      <c r="H1296" s="2" t="s">
        <v>48</v>
      </c>
      <c r="I1296" s="2" t="s">
        <v>36</v>
      </c>
      <c r="J1296" s="3" t="s">
        <v>32</v>
      </c>
      <c r="M1296" s="2">
        <f>IF(J1296="1000+", 1000, (LEFT(J1296,FIND("-",J1296)-1)+RIGHT(J1296,LEN(J1296)-FIND("-",J1296)))/2)</f>
        <v>45</v>
      </c>
      <c r="N1296" s="2">
        <f>ROUND(E1296 * 0.7+F1296 * 0.2+G1296 * 0.1,2)</f>
        <v>49.6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65</v>
      </c>
      <c r="P1296" s="2">
        <f>E1296 - O1296</f>
        <v>-19</v>
      </c>
      <c r="Q1296" s="2">
        <f>ROUND(
  SIGN(P1296)*
  IF(ABS(P1296)&lt;=10,ABS(P1296)*0.5,
     IF(ABS(P1296)&lt;=15,5+(ABS(P1296)-10)*(1.67/5),
        6.67+(ABS(P1296)-15)*0.333)),
2)</f>
        <v>-8</v>
      </c>
    </row>
    <row r="1297" spans="1:17" ht="34.5" customHeight="1" x14ac:dyDescent="0.3">
      <c r="B1297" s="2">
        <v>1296</v>
      </c>
      <c r="C1297" s="13">
        <f>ROUND(MAX(MIN(N1297 + Q1297, 100), 0), 2)</f>
        <v>41.53</v>
      </c>
      <c r="D1297" s="2" t="s">
        <v>1140</v>
      </c>
      <c r="E1297" s="2">
        <v>50</v>
      </c>
      <c r="F1297" s="2">
        <v>59</v>
      </c>
      <c r="G1297" s="7">
        <v>64</v>
      </c>
      <c r="H1297" s="2" t="s">
        <v>12</v>
      </c>
      <c r="I1297" s="2" t="s">
        <v>41</v>
      </c>
      <c r="J1297" s="3" t="s">
        <v>88</v>
      </c>
      <c r="M1297" s="2">
        <f>IF(J1297="1000+", 1000, (LEFT(J1297,FIND("-",J1297)-1)+RIGHT(J1297,LEN(J1297)-FIND("-",J1297)))/2)</f>
        <v>150</v>
      </c>
      <c r="N1297" s="2">
        <f>ROUND(E1297 * 0.7+F1297 * 0.2+G1297 * 0.1,2)</f>
        <v>53.2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80</v>
      </c>
      <c r="P1297" s="2">
        <f>E1297 - O1297</f>
        <v>-30</v>
      </c>
      <c r="Q1297" s="2">
        <f>ROUND(
  SIGN(P1297)*
  IF(ABS(P1297)&lt;=10,ABS(P1297)*0.5,
     IF(ABS(P1297)&lt;=15,5+(ABS(P1297)-10)*(1.67/5),
        6.67+(ABS(P1297)-15)*0.333)),
2)</f>
        <v>-11.67</v>
      </c>
    </row>
    <row r="1298" spans="1:17" ht="34.5" customHeight="1" x14ac:dyDescent="0.3">
      <c r="B1298" s="2">
        <v>1297</v>
      </c>
      <c r="C1298" s="13">
        <f>ROUND(MAX(MIN(N1298 + Q1298, 100), 0), 2)</f>
        <v>41.4</v>
      </c>
      <c r="D1298" s="2" t="s">
        <v>1171</v>
      </c>
      <c r="E1298" s="2">
        <v>50</v>
      </c>
      <c r="F1298" s="2">
        <v>50</v>
      </c>
      <c r="G1298" s="7">
        <v>64</v>
      </c>
      <c r="H1298" s="2" t="s">
        <v>48</v>
      </c>
      <c r="I1298" s="2" t="s">
        <v>72</v>
      </c>
      <c r="J1298" s="3" t="s">
        <v>140</v>
      </c>
      <c r="M1298" s="2">
        <f>IF(J1298="1000+", 1000, (LEFT(J1298,FIND("-",J1298)-1)+RIGHT(J1298,LEN(J1298)-FIND("-",J1298)))/2)</f>
        <v>115</v>
      </c>
      <c r="N1298" s="2">
        <f>ROUND(E1298 * 0.7+F1298 * 0.2+G1298 * 0.1,2)</f>
        <v>51.4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75</v>
      </c>
      <c r="P1298" s="2">
        <f>E1298 - O1298</f>
        <v>-25</v>
      </c>
      <c r="Q1298" s="2">
        <f>ROUND(
  SIGN(P1298)*
  IF(ABS(P1298)&lt;=10,ABS(P1298)*0.5,
     IF(ABS(P1298)&lt;=15,5+(ABS(P1298)-10)*(1.67/5),
        6.67+(ABS(P1298)-15)*0.333)),
2)</f>
        <v>-10</v>
      </c>
    </row>
    <row r="1299" spans="1:17" ht="34.5" customHeight="1" x14ac:dyDescent="0.3">
      <c r="B1299" s="2">
        <v>1298</v>
      </c>
      <c r="C1299" s="13">
        <f>ROUND(MAX(MIN(N1299 + Q1299, 100), 0), 2)</f>
        <v>41.37</v>
      </c>
      <c r="D1299" s="2" t="s">
        <v>1158</v>
      </c>
      <c r="E1299" s="2">
        <v>52</v>
      </c>
      <c r="F1299" s="7">
        <v>61</v>
      </c>
      <c r="G1299" s="7">
        <v>61</v>
      </c>
      <c r="H1299" s="2" t="s">
        <v>583</v>
      </c>
      <c r="I1299" s="2" t="s">
        <v>1159</v>
      </c>
      <c r="J1299" s="3" t="s">
        <v>65</v>
      </c>
      <c r="M1299" s="2">
        <f>IF(J1299="1000+", 1000, (LEFT(J1299,FIND("-",J1299)-1)+RIGHT(J1299,LEN(J1299)-FIND("-",J1299)))/2)</f>
        <v>250</v>
      </c>
      <c r="N1299" s="2">
        <f>ROUND(E1299 * 0.7+F1299 * 0.2+G1299 * 0.1,2)</f>
        <v>54.7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87</v>
      </c>
      <c r="P1299" s="2">
        <f>E1299 - O1299</f>
        <v>-35</v>
      </c>
      <c r="Q1299" s="2">
        <f>ROUND(
  SIGN(P1299)*
  IF(ABS(P1299)&lt;=10,ABS(P1299)*0.5,
     IF(ABS(P1299)&lt;=15,5+(ABS(P1299)-10)*(1.67/5),
        6.67+(ABS(P1299)-15)*0.333)),
2)</f>
        <v>-13.33</v>
      </c>
    </row>
    <row r="1300" spans="1:17" ht="34.5" customHeight="1" x14ac:dyDescent="0.3">
      <c r="A1300" s="2">
        <v>2026</v>
      </c>
      <c r="B1300" s="2">
        <v>1299</v>
      </c>
      <c r="C1300" s="13">
        <f>ROUND(MAX(MIN(N1300 + Q1300, 100), 0), 2)</f>
        <v>41.26</v>
      </c>
      <c r="D1300" s="11" t="s">
        <v>1343</v>
      </c>
      <c r="E1300" s="2">
        <v>48</v>
      </c>
      <c r="F1300" s="2">
        <v>52</v>
      </c>
      <c r="G1300" s="2">
        <v>56</v>
      </c>
      <c r="H1300" s="11" t="s">
        <v>1256</v>
      </c>
      <c r="I1300" s="11" t="s">
        <v>1352</v>
      </c>
      <c r="J1300" s="19" t="s">
        <v>1302</v>
      </c>
      <c r="M1300" s="2">
        <f>IF(J1300="1000+", 1000, (LEFT(J1300,FIND("-",J1300)-1)+RIGHT(J1300,LEN(J1300)-FIND("-",J1300)))/2)</f>
        <v>60</v>
      </c>
      <c r="N1300" s="2">
        <f>ROUND(E1300 * 0.7+F1300 * 0.2+G1300 * 0.1,2)</f>
        <v>49.6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68</v>
      </c>
      <c r="P1300" s="2">
        <f>E1300 - O1300</f>
        <v>-20</v>
      </c>
      <c r="Q1300" s="2">
        <f>ROUND(
  SIGN(P1300)*
  IF(ABS(P1300)&lt;=10,ABS(P1300)*0.5,
     IF(ABS(P1300)&lt;=15,5+(ABS(P1300)-10)*(1.67/5),
        6.67+(ABS(P1300)-15)*0.333)),
2)</f>
        <v>-8.34</v>
      </c>
    </row>
    <row r="1301" spans="1:17" ht="34.5" customHeight="1" x14ac:dyDescent="0.3">
      <c r="B1301" s="2">
        <v>1300</v>
      </c>
      <c r="C1301" s="13">
        <f>ROUND(MAX(MIN(N1301 + Q1301, 100), 0), 2)</f>
        <v>41.23</v>
      </c>
      <c r="D1301" s="2" t="s">
        <v>1164</v>
      </c>
      <c r="E1301" s="2">
        <v>47</v>
      </c>
      <c r="F1301" s="2">
        <v>55</v>
      </c>
      <c r="G1301" s="2">
        <v>50</v>
      </c>
      <c r="H1301" s="2" t="s">
        <v>48</v>
      </c>
      <c r="I1301" s="2" t="s">
        <v>36</v>
      </c>
      <c r="J1301" s="3" t="s">
        <v>32</v>
      </c>
      <c r="M1301" s="2">
        <f>IF(J1301="1000+", 1000, (LEFT(J1301,FIND("-",J1301)-1)+RIGHT(J1301,LEN(J1301)-FIND("-",J1301)))/2)</f>
        <v>45</v>
      </c>
      <c r="N1301" s="2">
        <f>ROUND(E1301 * 0.7+F1301 * 0.2+G1301 * 0.1,2)</f>
        <v>48.9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65</v>
      </c>
      <c r="P1301" s="2">
        <f>E1301 - O1301</f>
        <v>-18</v>
      </c>
      <c r="Q1301" s="2">
        <f>ROUND(
  SIGN(P1301)*
  IF(ABS(P1301)&lt;=10,ABS(P1301)*0.5,
     IF(ABS(P1301)&lt;=15,5+(ABS(P1301)-10)*(1.67/5),
        6.67+(ABS(P1301)-15)*0.333)),
2)</f>
        <v>-7.67</v>
      </c>
    </row>
    <row r="1302" spans="1:17" ht="34.5" customHeight="1" x14ac:dyDescent="0.3">
      <c r="B1302" s="2">
        <v>1301</v>
      </c>
      <c r="C1302" s="13">
        <f>ROUND(MAX(MIN(N1302 + Q1302, 100), 0), 2)</f>
        <v>41.2</v>
      </c>
      <c r="D1302" s="2" t="s">
        <v>1133</v>
      </c>
      <c r="E1302" s="2">
        <v>45</v>
      </c>
      <c r="F1302" s="7">
        <v>65</v>
      </c>
      <c r="G1302" s="7">
        <v>67</v>
      </c>
      <c r="H1302" s="2" t="s">
        <v>85</v>
      </c>
      <c r="I1302" s="2" t="s">
        <v>22</v>
      </c>
      <c r="J1302" s="3" t="s">
        <v>18</v>
      </c>
      <c r="M1302" s="2">
        <f>IF(J1302="1000+", 1000, (LEFT(J1302,FIND("-",J1302)-1)+RIGHT(J1302,LEN(J1302)-FIND("-",J1302)))/2)</f>
        <v>75</v>
      </c>
      <c r="N1302" s="2">
        <f>ROUND(E1302 * 0.7+F1302 * 0.2+G1302 * 0.1,2)</f>
        <v>51.2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70</v>
      </c>
      <c r="P1302" s="2">
        <f>E1302 - O1302</f>
        <v>-25</v>
      </c>
      <c r="Q1302" s="2">
        <f>ROUND(
  SIGN(P1302)*
  IF(ABS(P1302)&lt;=10,ABS(P1302)*0.5,
     IF(ABS(P1302)&lt;=15,5+(ABS(P1302)-10)*(1.67/5),
        6.67+(ABS(P1302)-15)*0.333)),
2)</f>
        <v>-10</v>
      </c>
    </row>
    <row r="1303" spans="1:17" ht="34.5" customHeight="1" x14ac:dyDescent="0.3">
      <c r="B1303" s="2">
        <v>1302</v>
      </c>
      <c r="C1303" s="13">
        <f>ROUND(MAX(MIN(N1303 + Q1303, 100), 0), 2)</f>
        <v>41.17</v>
      </c>
      <c r="D1303" s="2" t="s">
        <v>1137</v>
      </c>
      <c r="E1303" s="2">
        <v>47</v>
      </c>
      <c r="F1303" s="5">
        <v>74</v>
      </c>
      <c r="G1303" s="7">
        <v>68</v>
      </c>
      <c r="H1303" s="2" t="s">
        <v>31</v>
      </c>
      <c r="I1303" s="2" t="s">
        <v>119</v>
      </c>
      <c r="J1303" s="3" t="s">
        <v>28</v>
      </c>
      <c r="M1303" s="2">
        <f>IF(J1303="1000+", 1000, (LEFT(J1303,FIND("-",J1303)-1)+RIGHT(J1303,LEN(J1303)-FIND("-",J1303)))/2)</f>
        <v>200</v>
      </c>
      <c r="N1303" s="2">
        <f>ROUND(E1303 * 0.7+F1303 * 0.2+G1303 * 0.1,2)</f>
        <v>54.5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82</v>
      </c>
      <c r="P1303" s="2">
        <f>E1303 - O1303</f>
        <v>-35</v>
      </c>
      <c r="Q1303" s="2">
        <f>ROUND(
  SIGN(P1303)*
  IF(ABS(P1303)&lt;=10,ABS(P1303)*0.5,
     IF(ABS(P1303)&lt;=15,5+(ABS(P1303)-10)*(1.67/5),
        6.67+(ABS(P1303)-15)*0.333)),
2)</f>
        <v>-13.33</v>
      </c>
    </row>
    <row r="1304" spans="1:17" ht="34.5" customHeight="1" x14ac:dyDescent="0.3">
      <c r="B1304" s="2">
        <v>1303</v>
      </c>
      <c r="C1304" s="13">
        <f>ROUND(MAX(MIN(N1304 + Q1304, 100), 0), 2)</f>
        <v>41.1</v>
      </c>
      <c r="D1304" s="2" t="s">
        <v>1168</v>
      </c>
      <c r="E1304" s="2">
        <v>52</v>
      </c>
      <c r="F1304" s="2">
        <v>56</v>
      </c>
      <c r="G1304" s="2">
        <v>45</v>
      </c>
      <c r="H1304" s="2" t="s">
        <v>71</v>
      </c>
      <c r="I1304" s="2" t="s">
        <v>218</v>
      </c>
      <c r="J1304" s="3" t="s">
        <v>88</v>
      </c>
      <c r="M1304" s="2">
        <f>IF(J1304="1000+", 1000, (LEFT(J1304,FIND("-",J1304)-1)+RIGHT(J1304,LEN(J1304)-FIND("-",J1304)))/2)</f>
        <v>150</v>
      </c>
      <c r="N1304" s="2">
        <f>ROUND(E1304 * 0.7+F1304 * 0.2+G1304 * 0.1,2)</f>
        <v>52.1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80</v>
      </c>
      <c r="P1304" s="2">
        <f>E1304 - O1304</f>
        <v>-28</v>
      </c>
      <c r="Q1304" s="2">
        <f>ROUND(
  SIGN(P1304)*
  IF(ABS(P1304)&lt;=10,ABS(P1304)*0.5,
     IF(ABS(P1304)&lt;=15,5+(ABS(P1304)-10)*(1.67/5),
        6.67+(ABS(P1304)-15)*0.333)),
2)</f>
        <v>-11</v>
      </c>
    </row>
    <row r="1305" spans="1:17" ht="34.5" customHeight="1" x14ac:dyDescent="0.3">
      <c r="B1305" s="2">
        <v>1304</v>
      </c>
      <c r="C1305" s="13">
        <f>ROUND(MAX(MIN(N1305 + Q1305, 100), 0), 2)</f>
        <v>41</v>
      </c>
      <c r="D1305" s="2" t="s">
        <v>1161</v>
      </c>
      <c r="E1305" s="2">
        <v>45</v>
      </c>
      <c r="F1305" s="2">
        <v>50</v>
      </c>
      <c r="G1305" s="2">
        <v>45</v>
      </c>
      <c r="H1305" s="2" t="s">
        <v>12</v>
      </c>
      <c r="I1305" s="2" t="s">
        <v>36</v>
      </c>
      <c r="J1305" s="3" t="s">
        <v>37</v>
      </c>
      <c r="M1305" s="2">
        <f>IF(J1305="1000+", 1000, (LEFT(J1305,FIND("-",J1305)-1)+RIGHT(J1305,LEN(J1305)-FIND("-",J1305)))/2)</f>
        <v>15</v>
      </c>
      <c r="N1305" s="2">
        <f>ROUND(E1305 * 0.7+F1305 * 0.2+G1305 * 0.1,2)</f>
        <v>46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55</v>
      </c>
      <c r="P1305" s="2">
        <f>E1305 - O1305</f>
        <v>-10</v>
      </c>
      <c r="Q1305" s="2">
        <f>ROUND(
  SIGN(P1305)*
  IF(ABS(P1305)&lt;=10,ABS(P1305)*0.5,
     IF(ABS(P1305)&lt;=15,5+(ABS(P1305)-10)*(1.67/5),
        6.67+(ABS(P1305)-15)*0.333)),
2)</f>
        <v>-5</v>
      </c>
    </row>
    <row r="1306" spans="1:17" ht="34.5" customHeight="1" x14ac:dyDescent="0.3">
      <c r="B1306" s="2">
        <v>1305</v>
      </c>
      <c r="C1306" s="13">
        <f>ROUND(MAX(MIN(N1306 + Q1306, 100), 0), 2)</f>
        <v>40.93</v>
      </c>
      <c r="D1306" s="2" t="s">
        <v>1169</v>
      </c>
      <c r="E1306" s="2">
        <v>48</v>
      </c>
      <c r="F1306" s="7">
        <v>60</v>
      </c>
      <c r="G1306" s="7">
        <v>60</v>
      </c>
      <c r="H1306" s="2" t="s">
        <v>31</v>
      </c>
      <c r="I1306" s="2" t="s">
        <v>276</v>
      </c>
      <c r="J1306" s="3" t="s">
        <v>140</v>
      </c>
      <c r="M1306" s="2">
        <f>IF(J1306="1000+", 1000, (LEFT(J1306,FIND("-",J1306)-1)+RIGHT(J1306,LEN(J1306)-FIND("-",J1306)))/2)</f>
        <v>115</v>
      </c>
      <c r="N1306" s="2">
        <f>ROUND(E1306 * 0.7+F1306 * 0.2+G1306 * 0.1,2)</f>
        <v>51.6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75</v>
      </c>
      <c r="P1306" s="2">
        <f>E1306 - O1306</f>
        <v>-27</v>
      </c>
      <c r="Q1306" s="2">
        <f>ROUND(
  SIGN(P1306)*
  IF(ABS(P1306)&lt;=10,ABS(P1306)*0.5,
     IF(ABS(P1306)&lt;=15,5+(ABS(P1306)-10)*(1.67/5),
        6.67+(ABS(P1306)-15)*0.333)),
2)</f>
        <v>-10.67</v>
      </c>
    </row>
    <row r="1307" spans="1:17" ht="34.5" customHeight="1" x14ac:dyDescent="0.3">
      <c r="B1307" s="2">
        <v>1306</v>
      </c>
      <c r="C1307" s="13">
        <f>ROUND(MAX(MIN(N1307 + Q1307, 100), 0), 2)</f>
        <v>40.729999999999997</v>
      </c>
      <c r="D1307" s="2" t="s">
        <v>1183</v>
      </c>
      <c r="E1307" s="2">
        <v>50</v>
      </c>
      <c r="F1307" s="2">
        <v>52</v>
      </c>
      <c r="G1307" s="2">
        <v>30</v>
      </c>
      <c r="H1307" s="2" t="s">
        <v>31</v>
      </c>
      <c r="I1307" s="2" t="s">
        <v>464</v>
      </c>
      <c r="J1307" s="3" t="s">
        <v>23</v>
      </c>
      <c r="M1307" s="2">
        <f>IF(J1307="1000+", 1000, (LEFT(J1307,FIND("-",J1307)-1)+RIGHT(J1307,LEN(J1307)-FIND("-",J1307)))/2)</f>
        <v>60</v>
      </c>
      <c r="N1307" s="2">
        <f>ROUND(E1307 * 0.7+F1307 * 0.2+G1307 * 0.1,2)</f>
        <v>48.4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68</v>
      </c>
      <c r="P1307" s="2">
        <f>E1307 - O1307</f>
        <v>-18</v>
      </c>
      <c r="Q1307" s="2">
        <f>ROUND(
  SIGN(P1307)*
  IF(ABS(P1307)&lt;=10,ABS(P1307)*0.5,
     IF(ABS(P1307)&lt;=15,5+(ABS(P1307)-10)*(1.67/5),
        6.67+(ABS(P1307)-15)*0.333)),
2)</f>
        <v>-7.67</v>
      </c>
    </row>
    <row r="1308" spans="1:17" ht="34.5" customHeight="1" x14ac:dyDescent="0.3">
      <c r="B1308" s="2">
        <v>1307</v>
      </c>
      <c r="C1308" s="13">
        <f>ROUND(MAX(MIN(N1308 + Q1308, 100), 0), 2)</f>
        <v>40.700000000000003</v>
      </c>
      <c r="D1308" s="2" t="s">
        <v>1173</v>
      </c>
      <c r="E1308" s="2">
        <v>47</v>
      </c>
      <c r="F1308" s="7">
        <v>60</v>
      </c>
      <c r="G1308" s="2">
        <v>58</v>
      </c>
      <c r="H1308" s="2" t="s">
        <v>512</v>
      </c>
      <c r="I1308" s="2" t="s">
        <v>1132</v>
      </c>
      <c r="J1308" s="3" t="s">
        <v>122</v>
      </c>
      <c r="M1308" s="2">
        <f>IF(J1308="1000+", 1000, (LEFT(J1308,FIND("-",J1308)-1)+RIGHT(J1308,LEN(J1308)-FIND("-",J1308)))/2)</f>
        <v>105</v>
      </c>
      <c r="N1308" s="2">
        <f>ROUND(E1308 * 0.7+F1308 * 0.2+G1308 * 0.1,2)</f>
        <v>50.7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72</v>
      </c>
      <c r="P1308" s="2">
        <f>E1308 - O1308</f>
        <v>-25</v>
      </c>
      <c r="Q1308" s="2">
        <f>ROUND(
  SIGN(P1308)*
  IF(ABS(P1308)&lt;=10,ABS(P1308)*0.5,
     IF(ABS(P1308)&lt;=15,5+(ABS(P1308)-10)*(1.67/5),
        6.67+(ABS(P1308)-15)*0.333)),
2)</f>
        <v>-10</v>
      </c>
    </row>
    <row r="1309" spans="1:17" ht="34.5" customHeight="1" x14ac:dyDescent="0.3">
      <c r="B1309" s="2">
        <v>1308</v>
      </c>
      <c r="C1309" s="13">
        <f>ROUND(MAX(MIN(N1309 + Q1309, 100), 0), 2)</f>
        <v>40.6</v>
      </c>
      <c r="D1309" s="2" t="s">
        <v>1176</v>
      </c>
      <c r="E1309" s="2">
        <v>47</v>
      </c>
      <c r="F1309" s="7">
        <v>60</v>
      </c>
      <c r="G1309" s="2">
        <v>57</v>
      </c>
      <c r="H1309" s="2" t="s">
        <v>71</v>
      </c>
      <c r="I1309" s="2" t="s">
        <v>218</v>
      </c>
      <c r="J1309" s="3" t="s">
        <v>122</v>
      </c>
      <c r="M1309" s="2">
        <f>IF(J1309="1000+", 1000, (LEFT(J1309,FIND("-",J1309)-1)+RIGHT(J1309,LEN(J1309)-FIND("-",J1309)))/2)</f>
        <v>105</v>
      </c>
      <c r="N1309" s="2">
        <f>ROUND(E1309 * 0.7+F1309 * 0.2+G1309 * 0.1,2)</f>
        <v>50.6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72</v>
      </c>
      <c r="P1309" s="2">
        <f>E1309 - O1309</f>
        <v>-25</v>
      </c>
      <c r="Q1309" s="2">
        <f>ROUND(
  SIGN(P1309)*
  IF(ABS(P1309)&lt;=10,ABS(P1309)*0.5,
     IF(ABS(P1309)&lt;=15,5+(ABS(P1309)-10)*(1.67/5),
        6.67+(ABS(P1309)-15)*0.333)),
2)</f>
        <v>-10</v>
      </c>
    </row>
    <row r="1310" spans="1:17" ht="34.5" customHeight="1" x14ac:dyDescent="0.3">
      <c r="B1310" s="2">
        <v>1309</v>
      </c>
      <c r="C1310" s="13">
        <f>ROUND(MAX(MIN(N1310 + Q1310, 100), 0), 2)</f>
        <v>40.57</v>
      </c>
      <c r="D1310" s="2" t="s">
        <v>1172</v>
      </c>
      <c r="E1310" s="2">
        <v>46</v>
      </c>
      <c r="F1310" s="7">
        <v>61</v>
      </c>
      <c r="G1310" s="7">
        <v>65</v>
      </c>
      <c r="H1310" s="2" t="s">
        <v>533</v>
      </c>
      <c r="I1310" s="2" t="s">
        <v>22</v>
      </c>
      <c r="J1310" s="3" t="s">
        <v>122</v>
      </c>
      <c r="M1310" s="2">
        <f>IF(J1310="1000+", 1000, (LEFT(J1310,FIND("-",J1310)-1)+RIGHT(J1310,LEN(J1310)-FIND("-",J1310)))/2)</f>
        <v>105</v>
      </c>
      <c r="N1310" s="2">
        <f>ROUND(E1310 * 0.7+F1310 * 0.2+G1310 * 0.1,2)</f>
        <v>50.9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72</v>
      </c>
      <c r="P1310" s="2">
        <f>E1310 - O1310</f>
        <v>-26</v>
      </c>
      <c r="Q1310" s="2">
        <f>ROUND(
  SIGN(P1310)*
  IF(ABS(P1310)&lt;=10,ABS(P1310)*0.5,
     IF(ABS(P1310)&lt;=15,5+(ABS(P1310)-10)*(1.67/5),
        6.67+(ABS(P1310)-15)*0.333)),
2)</f>
        <v>-10.33</v>
      </c>
    </row>
    <row r="1311" spans="1:17" ht="34.5" customHeight="1" x14ac:dyDescent="0.3">
      <c r="B1311" s="2">
        <v>1310</v>
      </c>
      <c r="C1311" s="13">
        <f>ROUND(MAX(MIN(N1311 + Q1311, 100), 0), 2)</f>
        <v>40.57</v>
      </c>
      <c r="D1311" s="2" t="s">
        <v>1155</v>
      </c>
      <c r="E1311" s="2">
        <v>48</v>
      </c>
      <c r="F1311" s="7">
        <v>65</v>
      </c>
      <c r="G1311" s="7">
        <v>63</v>
      </c>
      <c r="H1311" s="2" t="s">
        <v>434</v>
      </c>
      <c r="I1311" s="2" t="s">
        <v>17</v>
      </c>
      <c r="J1311" s="3" t="s">
        <v>88</v>
      </c>
      <c r="M1311" s="2">
        <f>IF(J1311="1000+", 1000, (LEFT(J1311,FIND("-",J1311)-1)+RIGHT(J1311,LEN(J1311)-FIND("-",J1311)))/2)</f>
        <v>150</v>
      </c>
      <c r="N1311" s="2">
        <f>ROUND(E1311 * 0.7+F1311 * 0.2+G1311 * 0.1,2)</f>
        <v>52.9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80</v>
      </c>
      <c r="P1311" s="2">
        <f>E1311 - O1311</f>
        <v>-32</v>
      </c>
      <c r="Q1311" s="2">
        <f>ROUND(
  SIGN(P1311)*
  IF(ABS(P1311)&lt;=10,ABS(P1311)*0.5,
     IF(ABS(P1311)&lt;=15,5+(ABS(P1311)-10)*(1.67/5),
        6.67+(ABS(P1311)-15)*0.333)),
2)</f>
        <v>-12.33</v>
      </c>
    </row>
    <row r="1312" spans="1:17" ht="34.5" customHeight="1" x14ac:dyDescent="0.3">
      <c r="B1312" s="2">
        <v>1311</v>
      </c>
      <c r="C1312" s="13">
        <f>ROUND(MAX(MIN(N1312 + Q1312, 100), 0), 2)</f>
        <v>40.4</v>
      </c>
      <c r="D1312" s="2" t="s">
        <v>1179</v>
      </c>
      <c r="E1312" s="2">
        <v>51</v>
      </c>
      <c r="F1312" s="7">
        <v>69</v>
      </c>
      <c r="G1312" s="2">
        <v>29</v>
      </c>
      <c r="H1312" s="2" t="s">
        <v>583</v>
      </c>
      <c r="I1312" s="2" t="s">
        <v>17</v>
      </c>
      <c r="J1312" s="3" t="s">
        <v>28</v>
      </c>
      <c r="M1312" s="2">
        <f>IF(J1312="1000+", 1000, (LEFT(J1312,FIND("-",J1312)-1)+RIGHT(J1312,LEN(J1312)-FIND("-",J1312)))/2)</f>
        <v>200</v>
      </c>
      <c r="N1312" s="2">
        <f>ROUND(E1312 * 0.7+F1312 * 0.2+G1312 * 0.1,2)</f>
        <v>52.4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82</v>
      </c>
      <c r="P1312" s="2">
        <f>E1312 - O1312</f>
        <v>-31</v>
      </c>
      <c r="Q1312" s="2">
        <f>ROUND(
  SIGN(P1312)*
  IF(ABS(P1312)&lt;=10,ABS(P1312)*0.5,
     IF(ABS(P1312)&lt;=15,5+(ABS(P1312)-10)*(1.67/5),
        6.67+(ABS(P1312)-15)*0.333)),
2)</f>
        <v>-12</v>
      </c>
    </row>
    <row r="1313" spans="1:17" ht="34.5" customHeight="1" x14ac:dyDescent="0.3">
      <c r="B1313" s="2">
        <v>1312</v>
      </c>
      <c r="C1313" s="13">
        <f>ROUND(MAX(MIN(N1313 + Q1313, 100), 0), 2)</f>
        <v>40.4</v>
      </c>
      <c r="D1313" s="2" t="s">
        <v>1154</v>
      </c>
      <c r="E1313" s="2">
        <v>45</v>
      </c>
      <c r="F1313" s="7">
        <v>64</v>
      </c>
      <c r="G1313" s="7">
        <v>61</v>
      </c>
      <c r="H1313" s="2" t="s">
        <v>48</v>
      </c>
      <c r="I1313" s="2" t="s">
        <v>576</v>
      </c>
      <c r="J1313" s="3" t="s">
        <v>18</v>
      </c>
      <c r="M1313" s="2">
        <f>IF(J1313="1000+", 1000, (LEFT(J1313,FIND("-",J1313)-1)+RIGHT(J1313,LEN(J1313)-FIND("-",J1313)))/2)</f>
        <v>75</v>
      </c>
      <c r="N1313" s="2">
        <f>ROUND(E1313 * 0.7+F1313 * 0.2+G1313 * 0.1,2)</f>
        <v>50.4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70</v>
      </c>
      <c r="P1313" s="2">
        <f>E1313 - O1313</f>
        <v>-25</v>
      </c>
      <c r="Q1313" s="2">
        <f>ROUND(
  SIGN(P1313)*
  IF(ABS(P1313)&lt;=10,ABS(P1313)*0.5,
     IF(ABS(P1313)&lt;=15,5+(ABS(P1313)-10)*(1.67/5),
        6.67+(ABS(P1313)-15)*0.333)),
2)</f>
        <v>-10</v>
      </c>
    </row>
    <row r="1314" spans="1:17" ht="34.5" customHeight="1" x14ac:dyDescent="0.3">
      <c r="A1314" s="2">
        <v>2026</v>
      </c>
      <c r="B1314" s="2">
        <v>1313</v>
      </c>
      <c r="C1314" s="13">
        <f>ROUND(MAX(MIN(N1314 + Q1314, 100), 0), 2)</f>
        <v>40.299999999999997</v>
      </c>
      <c r="D1314" s="2" t="s">
        <v>2020</v>
      </c>
      <c r="E1314" s="2">
        <v>45</v>
      </c>
      <c r="F1314" s="7">
        <v>60</v>
      </c>
      <c r="G1314" s="7">
        <v>68</v>
      </c>
      <c r="H1314" s="2" t="s">
        <v>1256</v>
      </c>
      <c r="I1314" s="2" t="s">
        <v>1258</v>
      </c>
      <c r="J1314" s="3" t="s">
        <v>1264</v>
      </c>
      <c r="M1314" s="2">
        <f>IF(J1314="1000+", 1000, (LEFT(J1314,FIND("-",J1314)-1)+RIGHT(J1314,LEN(J1314)-FIND("-",J1314)))/2)</f>
        <v>75</v>
      </c>
      <c r="N1314" s="2">
        <f>ROUND(E1314 * 0.7+F1314 * 0.2+G1314 * 0.1,2)</f>
        <v>50.3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70</v>
      </c>
      <c r="P1314" s="2">
        <f>E1314 - O1314</f>
        <v>-25</v>
      </c>
      <c r="Q1314" s="2">
        <f>ROUND(
  SIGN(P1314)*
  IF(ABS(P1314)&lt;=10,ABS(P1314)*0.5,
     IF(ABS(P1314)&lt;=15,5+(ABS(P1314)-10)*(1.67/5),
        6.67+(ABS(P1314)-15)*0.333)),
2)</f>
        <v>-10</v>
      </c>
    </row>
    <row r="1315" spans="1:17" ht="34.5" customHeight="1" x14ac:dyDescent="0.3">
      <c r="B1315" s="2">
        <v>1314</v>
      </c>
      <c r="C1315" s="13">
        <f>ROUND(MAX(MIN(N1315 + Q1315, 100), 0), 2)</f>
        <v>40.270000000000003</v>
      </c>
      <c r="D1315" s="2" t="s">
        <v>1190</v>
      </c>
      <c r="E1315" s="2">
        <v>49</v>
      </c>
      <c r="F1315" s="2">
        <v>50</v>
      </c>
      <c r="G1315" s="2">
        <v>53</v>
      </c>
      <c r="H1315" s="2" t="s">
        <v>48</v>
      </c>
      <c r="I1315" s="2" t="s">
        <v>177</v>
      </c>
      <c r="J1315" s="3" t="s">
        <v>122</v>
      </c>
      <c r="M1315" s="2">
        <f>IF(J1315="1000+", 1000, (LEFT(J1315,FIND("-",J1315)-1)+RIGHT(J1315,LEN(J1315)-FIND("-",J1315)))/2)</f>
        <v>105</v>
      </c>
      <c r="N1315" s="2">
        <f>ROUND(E1315 * 0.7+F1315 * 0.2+G1315 * 0.1,2)</f>
        <v>49.6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72</v>
      </c>
      <c r="P1315" s="2">
        <f>E1315 - O1315</f>
        <v>-23</v>
      </c>
      <c r="Q1315" s="2">
        <f>ROUND(
  SIGN(P1315)*
  IF(ABS(P1315)&lt;=10,ABS(P1315)*0.5,
     IF(ABS(P1315)&lt;=15,5+(ABS(P1315)-10)*(1.67/5),
        6.67+(ABS(P1315)-15)*0.333)),
2)</f>
        <v>-9.33</v>
      </c>
    </row>
    <row r="1316" spans="1:17" ht="34.5" customHeight="1" x14ac:dyDescent="0.3">
      <c r="B1316" s="2">
        <v>1315</v>
      </c>
      <c r="C1316" s="13">
        <f>ROUND(MAX(MIN(N1316 + Q1316, 100), 0), 2)</f>
        <v>40.229999999999997</v>
      </c>
      <c r="D1316" s="2" t="s">
        <v>1170</v>
      </c>
      <c r="E1316" s="2">
        <v>45</v>
      </c>
      <c r="F1316" s="7">
        <v>64</v>
      </c>
      <c r="G1316" s="7">
        <v>66</v>
      </c>
      <c r="H1316" s="2" t="s">
        <v>217</v>
      </c>
      <c r="I1316" s="2" t="s">
        <v>218</v>
      </c>
      <c r="J1316" s="3" t="s">
        <v>122</v>
      </c>
      <c r="M1316" s="2">
        <f>IF(J1316="1000+", 1000, (LEFT(J1316,FIND("-",J1316)-1)+RIGHT(J1316,LEN(J1316)-FIND("-",J1316)))/2)</f>
        <v>105</v>
      </c>
      <c r="N1316" s="2">
        <f>ROUND(E1316 * 0.7+F1316 * 0.2+G1316 * 0.1,2)</f>
        <v>50.9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72</v>
      </c>
      <c r="P1316" s="2">
        <f>E1316 - O1316</f>
        <v>-27</v>
      </c>
      <c r="Q1316" s="2">
        <f>ROUND(
  SIGN(P1316)*
  IF(ABS(P1316)&lt;=10,ABS(P1316)*0.5,
     IF(ABS(P1316)&lt;=15,5+(ABS(P1316)-10)*(1.67/5),
        6.67+(ABS(P1316)-15)*0.333)),
2)</f>
        <v>-10.67</v>
      </c>
    </row>
    <row r="1317" spans="1:17" ht="34.5" customHeight="1" x14ac:dyDescent="0.3">
      <c r="B1317" s="2">
        <v>1316</v>
      </c>
      <c r="C1317" s="13">
        <f>ROUND(MAX(MIN(N1317 + Q1317, 100), 0), 2)</f>
        <v>40.200000000000003</v>
      </c>
      <c r="D1317" s="2" t="s">
        <v>1174</v>
      </c>
      <c r="E1317" s="2">
        <v>46</v>
      </c>
      <c r="F1317" s="2">
        <v>55</v>
      </c>
      <c r="G1317" s="2">
        <v>50</v>
      </c>
      <c r="H1317" s="2" t="s">
        <v>48</v>
      </c>
      <c r="I1317" s="2" t="s">
        <v>36</v>
      </c>
      <c r="J1317" s="3" t="s">
        <v>32</v>
      </c>
      <c r="M1317" s="2">
        <f>IF(J1317="1000+", 1000, (LEFT(J1317,FIND("-",J1317)-1)+RIGHT(J1317,LEN(J1317)-FIND("-",J1317)))/2)</f>
        <v>45</v>
      </c>
      <c r="N1317" s="2">
        <f>ROUND(E1317 * 0.7+F1317 * 0.2+G1317 * 0.1,2)</f>
        <v>48.2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65</v>
      </c>
      <c r="P1317" s="2">
        <f>E1317 - O1317</f>
        <v>-19</v>
      </c>
      <c r="Q1317" s="2">
        <f>ROUND(
  SIGN(P1317)*
  IF(ABS(P1317)&lt;=10,ABS(P1317)*0.5,
     IF(ABS(P1317)&lt;=15,5+(ABS(P1317)-10)*(1.67/5),
        6.67+(ABS(P1317)-15)*0.333)),
2)</f>
        <v>-8</v>
      </c>
    </row>
    <row r="1318" spans="1:17" ht="34.5" customHeight="1" x14ac:dyDescent="0.3">
      <c r="B1318" s="2">
        <v>1317</v>
      </c>
      <c r="C1318" s="13">
        <f>ROUND(MAX(MIN(N1318 + Q1318, 100), 0), 2)</f>
        <v>40.200000000000003</v>
      </c>
      <c r="D1318" s="2" t="s">
        <v>1187</v>
      </c>
      <c r="E1318" s="2">
        <v>42</v>
      </c>
      <c r="F1318" s="2">
        <v>50</v>
      </c>
      <c r="G1318" s="2">
        <v>48</v>
      </c>
      <c r="H1318" s="2" t="s">
        <v>104</v>
      </c>
      <c r="I1318" s="2" t="s">
        <v>447</v>
      </c>
      <c r="J1318" s="3" t="s">
        <v>92</v>
      </c>
      <c r="M1318" s="2">
        <f>IF(J1318="1000+", 1000, (LEFT(J1318,FIND("-",J1318)-1)+RIGHT(J1318,LEN(J1318)-FIND("-",J1318)))/2)</f>
        <v>12.5</v>
      </c>
      <c r="N1318" s="2">
        <f>ROUND(E1318 * 0.7+F1318 * 0.2+G1318 * 0.1,2)</f>
        <v>44.2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50</v>
      </c>
      <c r="P1318" s="2">
        <f>E1318 - O1318</f>
        <v>-8</v>
      </c>
      <c r="Q1318" s="2">
        <f>ROUND(
  SIGN(P1318)*
  IF(ABS(P1318)&lt;=10,ABS(P1318)*0.5,
     IF(ABS(P1318)&lt;=15,5+(ABS(P1318)-10)*(1.67/5),
        6.67+(ABS(P1318)-15)*0.333)),
2)</f>
        <v>-4</v>
      </c>
    </row>
    <row r="1319" spans="1:17" ht="34.5" customHeight="1" x14ac:dyDescent="0.3">
      <c r="B1319" s="2">
        <v>1318</v>
      </c>
      <c r="C1319" s="13">
        <f>ROUND(MAX(MIN(N1319 + Q1319, 100), 0), 2)</f>
        <v>40.17</v>
      </c>
      <c r="D1319" s="2" t="s">
        <v>1163</v>
      </c>
      <c r="E1319" s="2">
        <v>49</v>
      </c>
      <c r="F1319" s="5">
        <v>75</v>
      </c>
      <c r="G1319" s="2">
        <v>52</v>
      </c>
      <c r="H1319" s="2" t="s">
        <v>434</v>
      </c>
      <c r="I1319" s="2" t="s">
        <v>17</v>
      </c>
      <c r="J1319" s="3" t="s">
        <v>65</v>
      </c>
      <c r="M1319" s="2">
        <f>IF(J1319="1000+", 1000, (LEFT(J1319,FIND("-",J1319)-1)+RIGHT(J1319,LEN(J1319)-FIND("-",J1319)))/2)</f>
        <v>250</v>
      </c>
      <c r="N1319" s="2">
        <f>ROUND(E1319 * 0.7+F1319 * 0.2+G1319 * 0.1,2)</f>
        <v>54.5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87</v>
      </c>
      <c r="P1319" s="2">
        <f>E1319 - O1319</f>
        <v>-38</v>
      </c>
      <c r="Q1319" s="2">
        <f>ROUND(
  SIGN(P1319)*
  IF(ABS(P1319)&lt;=10,ABS(P1319)*0.5,
     IF(ABS(P1319)&lt;=15,5+(ABS(P1319)-10)*(1.67/5),
        6.67+(ABS(P1319)-15)*0.333)),
2)</f>
        <v>-14.33</v>
      </c>
    </row>
    <row r="1320" spans="1:17" ht="34.5" customHeight="1" x14ac:dyDescent="0.3">
      <c r="B1320" s="2">
        <v>1319</v>
      </c>
      <c r="C1320" s="13">
        <f>ROUND(MAX(MIN(N1320 + Q1320, 100), 0), 2)</f>
        <v>40</v>
      </c>
      <c r="D1320" s="2" t="s">
        <v>1178</v>
      </c>
      <c r="E1320" s="2">
        <v>51</v>
      </c>
      <c r="F1320" s="7">
        <v>60</v>
      </c>
      <c r="G1320" s="2">
        <v>53</v>
      </c>
      <c r="H1320" s="2" t="s">
        <v>649</v>
      </c>
      <c r="I1320" s="2" t="s">
        <v>17</v>
      </c>
      <c r="J1320" s="3" t="s">
        <v>14</v>
      </c>
      <c r="M1320" s="2">
        <f>IF(J1320="1000+", 1000, (LEFT(J1320,FIND("-",J1320)-1)+RIGHT(J1320,LEN(J1320)-FIND("-",J1320)))/2)</f>
        <v>225</v>
      </c>
      <c r="N1320" s="2">
        <f>ROUND(E1320 * 0.7+F1320 * 0.2+G1320 * 0.1,2)</f>
        <v>53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85</v>
      </c>
      <c r="P1320" s="2">
        <f>E1320 - O1320</f>
        <v>-34</v>
      </c>
      <c r="Q1320" s="2">
        <f>ROUND(
  SIGN(P1320)*
  IF(ABS(P1320)&lt;=10,ABS(P1320)*0.5,
     IF(ABS(P1320)&lt;=15,5+(ABS(P1320)-10)*(1.67/5),
        6.67+(ABS(P1320)-15)*0.333)),
2)</f>
        <v>-13</v>
      </c>
    </row>
    <row r="1321" spans="1:17" ht="34.5" customHeight="1" x14ac:dyDescent="0.3">
      <c r="B1321" s="2">
        <v>1320</v>
      </c>
      <c r="C1321" s="13">
        <f>ROUND(MAX(MIN(N1321 + Q1321, 100), 0), 2)</f>
        <v>39.869999999999997</v>
      </c>
      <c r="D1321" s="2" t="s">
        <v>1175</v>
      </c>
      <c r="E1321" s="2">
        <v>45</v>
      </c>
      <c r="F1321" s="2">
        <v>58</v>
      </c>
      <c r="G1321" s="7">
        <v>61</v>
      </c>
      <c r="H1321" s="2" t="s">
        <v>61</v>
      </c>
      <c r="I1321" s="2" t="s">
        <v>22</v>
      </c>
      <c r="J1321" s="3" t="s">
        <v>160</v>
      </c>
      <c r="M1321" s="2">
        <f>IF(J1321="1000+", 1000, (LEFT(J1321,FIND("-",J1321)-1)+RIGHT(J1321,LEN(J1321)-FIND("-",J1321)))/2)</f>
        <v>60</v>
      </c>
      <c r="N1321" s="2">
        <f>ROUND(E1321 * 0.7+F1321 * 0.2+G1321 * 0.1,2)</f>
        <v>49.2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68</v>
      </c>
      <c r="P1321" s="2">
        <f>E1321 - O1321</f>
        <v>-23</v>
      </c>
      <c r="Q1321" s="2">
        <f>ROUND(
  SIGN(P1321)*
  IF(ABS(P1321)&lt;=10,ABS(P1321)*0.5,
     IF(ABS(P1321)&lt;=15,5+(ABS(P1321)-10)*(1.67/5),
        6.67+(ABS(P1321)-15)*0.333)),
2)</f>
        <v>-9.33</v>
      </c>
    </row>
    <row r="1322" spans="1:17" ht="34.5" customHeight="1" x14ac:dyDescent="0.3">
      <c r="B1322" s="2">
        <v>1321</v>
      </c>
      <c r="C1322" s="13">
        <f>ROUND(MAX(MIN(N1322 + Q1322, 100), 0), 2)</f>
        <v>39.729999999999997</v>
      </c>
      <c r="D1322" s="2" t="s">
        <v>1182</v>
      </c>
      <c r="E1322" s="2">
        <v>47</v>
      </c>
      <c r="F1322" s="2">
        <v>57</v>
      </c>
      <c r="G1322" s="2">
        <v>41</v>
      </c>
      <c r="H1322" s="2" t="s">
        <v>847</v>
      </c>
      <c r="I1322" s="2" t="s">
        <v>36</v>
      </c>
      <c r="J1322" s="3" t="s">
        <v>23</v>
      </c>
      <c r="M1322" s="2">
        <f>IF(J1322="1000+", 1000, (LEFT(J1322,FIND("-",J1322)-1)+RIGHT(J1322,LEN(J1322)-FIND("-",J1322)))/2)</f>
        <v>60</v>
      </c>
      <c r="N1322" s="2">
        <f>ROUND(E1322 * 0.7+F1322 * 0.2+G1322 * 0.1,2)</f>
        <v>48.4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68</v>
      </c>
      <c r="P1322" s="2">
        <f>E1322 - O1322</f>
        <v>-21</v>
      </c>
      <c r="Q1322" s="2">
        <f>ROUND(
  SIGN(P1322)*
  IF(ABS(P1322)&lt;=10,ABS(P1322)*0.5,
     IF(ABS(P1322)&lt;=15,5+(ABS(P1322)-10)*(1.67/5),
        6.67+(ABS(P1322)-15)*0.333)),
2)</f>
        <v>-8.67</v>
      </c>
    </row>
    <row r="1323" spans="1:17" ht="34.5" customHeight="1" x14ac:dyDescent="0.3">
      <c r="B1323" s="2">
        <v>1322</v>
      </c>
      <c r="C1323" s="13">
        <f>ROUND(MAX(MIN(N1323 + Q1323, 100), 0), 2)</f>
        <v>39.43</v>
      </c>
      <c r="D1323" s="2" t="s">
        <v>1180</v>
      </c>
      <c r="E1323" s="2">
        <v>50</v>
      </c>
      <c r="F1323" s="2">
        <v>50</v>
      </c>
      <c r="G1323" s="7">
        <v>61</v>
      </c>
      <c r="H1323" s="2" t="s">
        <v>135</v>
      </c>
      <c r="I1323" s="2" t="s">
        <v>325</v>
      </c>
      <c r="J1323" s="3" t="s">
        <v>88</v>
      </c>
      <c r="M1323" s="2">
        <f>IF(J1323="1000+", 1000, (LEFT(J1323,FIND("-",J1323)-1)+RIGHT(J1323,LEN(J1323)-FIND("-",J1323)))/2)</f>
        <v>150</v>
      </c>
      <c r="N1323" s="2">
        <f>ROUND(E1323 * 0.7+F1323 * 0.2+G1323 * 0.1,2)</f>
        <v>51.1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80</v>
      </c>
      <c r="P1323" s="2">
        <f>E1323 - O1323</f>
        <v>-30</v>
      </c>
      <c r="Q1323" s="2">
        <f>ROUND(
  SIGN(P1323)*
  IF(ABS(P1323)&lt;=10,ABS(P1323)*0.5,
     IF(ABS(P1323)&lt;=15,5+(ABS(P1323)-10)*(1.67/5),
        6.67+(ABS(P1323)-15)*0.333)),
2)</f>
        <v>-11.67</v>
      </c>
    </row>
    <row r="1324" spans="1:17" ht="34.5" customHeight="1" x14ac:dyDescent="0.3">
      <c r="B1324" s="2">
        <v>1323</v>
      </c>
      <c r="C1324" s="13">
        <f>ROUND(MAX(MIN(N1324 + Q1324, 100), 0), 2)</f>
        <v>39.4</v>
      </c>
      <c r="D1324" s="2" t="s">
        <v>1194</v>
      </c>
      <c r="E1324" s="2">
        <v>48</v>
      </c>
      <c r="F1324" s="2">
        <v>53</v>
      </c>
      <c r="G1324" s="2">
        <v>42</v>
      </c>
      <c r="H1324" s="2" t="s">
        <v>324</v>
      </c>
      <c r="I1324" s="2" t="s">
        <v>22</v>
      </c>
      <c r="J1324" s="3" t="s">
        <v>18</v>
      </c>
      <c r="M1324" s="2">
        <f>IF(J1324="1000+", 1000, (LEFT(J1324,FIND("-",J1324)-1)+RIGHT(J1324,LEN(J1324)-FIND("-",J1324)))/2)</f>
        <v>75</v>
      </c>
      <c r="N1324" s="2">
        <f>ROUND(E1324 * 0.7+F1324 * 0.2+G1324 * 0.1,2)</f>
        <v>48.4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70</v>
      </c>
      <c r="P1324" s="2">
        <f>E1324 - O1324</f>
        <v>-22</v>
      </c>
      <c r="Q1324" s="2">
        <f>ROUND(
  SIGN(P1324)*
  IF(ABS(P1324)&lt;=10,ABS(P1324)*0.5,
     IF(ABS(P1324)&lt;=15,5+(ABS(P1324)-10)*(1.67/5),
        6.67+(ABS(P1324)-15)*0.333)),
2)</f>
        <v>-9</v>
      </c>
    </row>
    <row r="1325" spans="1:17" ht="34.5" customHeight="1" x14ac:dyDescent="0.3">
      <c r="A1325" s="2">
        <v>2026</v>
      </c>
      <c r="B1325" s="2">
        <v>1324</v>
      </c>
      <c r="C1325" s="13">
        <f>ROUND(MAX(MIN(N1325 + Q1325, 100), 0), 2)</f>
        <v>39.4</v>
      </c>
      <c r="D1325" s="2" t="s">
        <v>1851</v>
      </c>
      <c r="E1325" s="2">
        <v>47</v>
      </c>
      <c r="F1325" s="2">
        <v>57</v>
      </c>
      <c r="G1325" s="2">
        <v>51</v>
      </c>
      <c r="H1325" s="2" t="s">
        <v>1857</v>
      </c>
      <c r="I1325" s="2" t="s">
        <v>1258</v>
      </c>
      <c r="J1325" s="3" t="s">
        <v>1279</v>
      </c>
      <c r="M1325" s="2">
        <f>IF(J1325="1000+", 1000, (LEFT(J1325,FIND("-",J1325)-1)+RIGHT(J1325,LEN(J1325)-FIND("-",J1325)))/2)</f>
        <v>105</v>
      </c>
      <c r="N1325" s="2">
        <f>ROUND(E1325 * 0.7+F1325 * 0.2+G1325 * 0.1,2)</f>
        <v>49.4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72</v>
      </c>
      <c r="P1325" s="2">
        <f>E1325 - O1325</f>
        <v>-25</v>
      </c>
      <c r="Q1325" s="2">
        <f>ROUND(
  SIGN(P1325)*
  IF(ABS(P1325)&lt;=10,ABS(P1325)*0.5,
     IF(ABS(P1325)&lt;=15,5+(ABS(P1325)-10)*(1.67/5),
        6.67+(ABS(P1325)-15)*0.333)),
2)</f>
        <v>-10</v>
      </c>
    </row>
    <row r="1326" spans="1:17" ht="34.5" customHeight="1" x14ac:dyDescent="0.3">
      <c r="B1326" s="2">
        <v>1325</v>
      </c>
      <c r="C1326" s="13">
        <f>ROUND(MAX(MIN(N1326 + Q1326, 100), 0), 2)</f>
        <v>39</v>
      </c>
      <c r="D1326" s="2" t="s">
        <v>1200</v>
      </c>
      <c r="E1326" s="2">
        <v>50</v>
      </c>
      <c r="F1326" s="2">
        <v>45</v>
      </c>
      <c r="G1326" s="2">
        <v>40</v>
      </c>
      <c r="H1326" s="2" t="s">
        <v>61</v>
      </c>
      <c r="I1326" s="2" t="s">
        <v>218</v>
      </c>
      <c r="J1326" s="3" t="s">
        <v>122</v>
      </c>
      <c r="M1326" s="2">
        <f>IF(J1326="1000+", 1000, (LEFT(J1326,FIND("-",J1326)-1)+RIGHT(J1326,LEN(J1326)-FIND("-",J1326)))/2)</f>
        <v>105</v>
      </c>
      <c r="N1326" s="2">
        <f>ROUND(E1326 * 0.7+F1326 * 0.2+G1326 * 0.1,2)</f>
        <v>48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72</v>
      </c>
      <c r="P1326" s="2">
        <f>E1326 - O1326</f>
        <v>-22</v>
      </c>
      <c r="Q1326" s="2">
        <f>ROUND(
  SIGN(P1326)*
  IF(ABS(P1326)&lt;=10,ABS(P1326)*0.5,
     IF(ABS(P1326)&lt;=15,5+(ABS(P1326)-10)*(1.67/5),
        6.67+(ABS(P1326)-15)*0.333)),
2)</f>
        <v>-9</v>
      </c>
    </row>
    <row r="1327" spans="1:17" ht="34.5" customHeight="1" x14ac:dyDescent="0.3">
      <c r="A1327" s="2">
        <v>2026</v>
      </c>
      <c r="B1327" s="2">
        <v>1326</v>
      </c>
      <c r="C1327" s="13">
        <f>ROUND(MAX(MIN(N1327 + Q1327, 100), 0), 2)</f>
        <v>38.86</v>
      </c>
      <c r="D1327" s="11" t="s">
        <v>1327</v>
      </c>
      <c r="E1327" s="2">
        <v>45</v>
      </c>
      <c r="F1327" s="2">
        <v>55</v>
      </c>
      <c r="G1327" s="2">
        <v>37</v>
      </c>
      <c r="H1327" s="11" t="s">
        <v>1333</v>
      </c>
      <c r="I1327" s="2" t="s">
        <v>36</v>
      </c>
      <c r="J1327" s="19" t="s">
        <v>1263</v>
      </c>
      <c r="M1327" s="2">
        <f>IF(J1327="1000+", 1000, (LEFT(J1327,FIND("-",J1327)-1)+RIGHT(J1327,LEN(J1327)-FIND("-",J1327)))/2)</f>
        <v>30</v>
      </c>
      <c r="N1327" s="2">
        <f>ROUND(E1327 * 0.7+F1327 * 0.2+G1327 * 0.1,2)</f>
        <v>46.2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62</v>
      </c>
      <c r="P1327" s="2">
        <f>E1327 - O1327</f>
        <v>-17</v>
      </c>
      <c r="Q1327" s="2">
        <f>ROUND(
  SIGN(P1327)*
  IF(ABS(P1327)&lt;=10,ABS(P1327)*0.5,
     IF(ABS(P1327)&lt;=15,5+(ABS(P1327)-10)*(1.67/5),
        6.67+(ABS(P1327)-15)*0.333)),
2)</f>
        <v>-7.34</v>
      </c>
    </row>
    <row r="1328" spans="1:17" ht="34.5" customHeight="1" x14ac:dyDescent="0.3">
      <c r="B1328" s="2">
        <v>1327</v>
      </c>
      <c r="C1328" s="13">
        <f>ROUND(MAX(MIN(N1328 + Q1328, 100), 0), 2)</f>
        <v>38.700000000000003</v>
      </c>
      <c r="D1328" s="2" t="s">
        <v>1185</v>
      </c>
      <c r="E1328" s="2">
        <v>46</v>
      </c>
      <c r="F1328" s="2">
        <v>50</v>
      </c>
      <c r="G1328" s="2">
        <v>45</v>
      </c>
      <c r="H1328" s="2" t="s">
        <v>217</v>
      </c>
      <c r="I1328" s="2" t="s">
        <v>72</v>
      </c>
      <c r="J1328" s="3" t="s">
        <v>1186</v>
      </c>
      <c r="M1328" s="2">
        <f>IF(J1328="1000+", 1000, (LEFT(J1328,FIND("-",J1328)-1)+RIGHT(J1328,LEN(J1328)-FIND("-",J1328)))/2)</f>
        <v>45</v>
      </c>
      <c r="N1328" s="2">
        <f>ROUND(E1328 * 0.7+F1328 * 0.2+G1328 * 0.1,2)</f>
        <v>46.7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65</v>
      </c>
      <c r="P1328" s="2">
        <f>E1328 - O1328</f>
        <v>-19</v>
      </c>
      <c r="Q1328" s="2">
        <f>ROUND(
  SIGN(P1328)*
  IF(ABS(P1328)&lt;=10,ABS(P1328)*0.5,
     IF(ABS(P1328)&lt;=15,5+(ABS(P1328)-10)*(1.67/5),
        6.67+(ABS(P1328)-15)*0.333)),
2)</f>
        <v>-8</v>
      </c>
    </row>
    <row r="1329" spans="2:17" ht="34.5" customHeight="1" x14ac:dyDescent="0.3">
      <c r="B1329" s="2">
        <v>1328</v>
      </c>
      <c r="C1329" s="13">
        <f>ROUND(MAX(MIN(N1329 + Q1329, 100), 0), 2)</f>
        <v>38.4</v>
      </c>
      <c r="D1329" s="2" t="s">
        <v>1184</v>
      </c>
      <c r="E1329" s="2">
        <v>43</v>
      </c>
      <c r="F1329" s="2">
        <v>55</v>
      </c>
      <c r="G1329" s="2">
        <v>53</v>
      </c>
      <c r="H1329" s="2" t="s">
        <v>31</v>
      </c>
      <c r="I1329" s="2" t="s">
        <v>36</v>
      </c>
      <c r="J1329" s="3" t="s">
        <v>146</v>
      </c>
      <c r="M1329" s="2">
        <f>IF(J1329="1000+", 1000, (LEFT(J1329,FIND("-",J1329)-1)+RIGHT(J1329,LEN(J1329)-FIND("-",J1329)))/2)</f>
        <v>30</v>
      </c>
      <c r="N1329" s="2">
        <f>ROUND(E1329 * 0.7+F1329 * 0.2+G1329 * 0.1,2)</f>
        <v>46.4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62</v>
      </c>
      <c r="P1329" s="2">
        <f>E1329 - O1329</f>
        <v>-19</v>
      </c>
      <c r="Q1329" s="2">
        <f>ROUND(
  SIGN(P1329)*
  IF(ABS(P1329)&lt;=10,ABS(P1329)*0.5,
     IF(ABS(P1329)&lt;=15,5+(ABS(P1329)-10)*(1.67/5),
        6.67+(ABS(P1329)-15)*0.333)),
2)</f>
        <v>-8</v>
      </c>
    </row>
    <row r="1330" spans="2:17" ht="34.5" customHeight="1" x14ac:dyDescent="0.3">
      <c r="B1330" s="2">
        <v>1329</v>
      </c>
      <c r="C1330" s="13">
        <f>ROUND(MAX(MIN(N1330 + Q1330, 100), 0), 2)</f>
        <v>38.36</v>
      </c>
      <c r="D1330" s="2" t="s">
        <v>1188</v>
      </c>
      <c r="E1330" s="2">
        <v>45</v>
      </c>
      <c r="F1330" s="2">
        <v>50</v>
      </c>
      <c r="G1330" s="2">
        <v>42</v>
      </c>
      <c r="H1330" s="2" t="s">
        <v>85</v>
      </c>
      <c r="I1330" s="2" t="s">
        <v>22</v>
      </c>
      <c r="J1330" s="3" t="s">
        <v>146</v>
      </c>
      <c r="M1330" s="2">
        <f>IF(J1330="1000+", 1000, (LEFT(J1330,FIND("-",J1330)-1)+RIGHT(J1330,LEN(J1330)-FIND("-",J1330)))/2)</f>
        <v>30</v>
      </c>
      <c r="N1330" s="2">
        <f>ROUND(E1330 * 0.7+F1330 * 0.2+G1330 * 0.1,2)</f>
        <v>45.7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62</v>
      </c>
      <c r="P1330" s="2">
        <f>E1330 - O1330</f>
        <v>-17</v>
      </c>
      <c r="Q1330" s="2">
        <f>ROUND(
  SIGN(P1330)*
  IF(ABS(P1330)&lt;=10,ABS(P1330)*0.5,
     IF(ABS(P1330)&lt;=15,5+(ABS(P1330)-10)*(1.67/5),
        6.67+(ABS(P1330)-15)*0.333)),
2)</f>
        <v>-7.34</v>
      </c>
    </row>
    <row r="1331" spans="2:17" ht="34.5" customHeight="1" x14ac:dyDescent="0.3">
      <c r="B1331" s="2">
        <v>1330</v>
      </c>
      <c r="C1331" s="13">
        <f>ROUND(MAX(MIN(N1331 + Q1331, 100), 0), 2)</f>
        <v>38.33</v>
      </c>
      <c r="D1331" s="2" t="s">
        <v>1181</v>
      </c>
      <c r="E1331" s="2">
        <v>45</v>
      </c>
      <c r="F1331" s="2">
        <v>50</v>
      </c>
      <c r="G1331" s="2">
        <v>35</v>
      </c>
      <c r="H1331" s="2" t="s">
        <v>48</v>
      </c>
      <c r="I1331" s="2" t="s">
        <v>316</v>
      </c>
      <c r="J1331" s="3" t="s">
        <v>132</v>
      </c>
      <c r="M1331" s="2">
        <f>IF(J1331="1000+", 1000, (LEFT(J1331,FIND("-",J1331)-1)+RIGHT(J1331,LEN(J1331)-FIND("-",J1331)))/2)</f>
        <v>20</v>
      </c>
      <c r="N1331" s="2">
        <f>ROUND(E1331 * 0.7+F1331 * 0.2+G1331 * 0.1,2)</f>
        <v>45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60</v>
      </c>
      <c r="P1331" s="2">
        <f>E1331 - O1331</f>
        <v>-15</v>
      </c>
      <c r="Q1331" s="2">
        <f>ROUND(
  SIGN(P1331)*
  IF(ABS(P1331)&lt;=10,ABS(P1331)*0.5,
     IF(ABS(P1331)&lt;=15,5+(ABS(P1331)-10)*(1.67/5),
        6.67+(ABS(P1331)-15)*0.333)),
2)</f>
        <v>-6.67</v>
      </c>
    </row>
    <row r="1332" spans="2:17" ht="34.5" customHeight="1" x14ac:dyDescent="0.3">
      <c r="B1332" s="2">
        <v>1331</v>
      </c>
      <c r="C1332" s="13">
        <f>ROUND(MAX(MIN(N1332 + Q1332, 100), 0), 2)</f>
        <v>38.229999999999997</v>
      </c>
      <c r="D1332" s="2" t="s">
        <v>1201</v>
      </c>
      <c r="E1332" s="2">
        <v>45</v>
      </c>
      <c r="F1332" s="2">
        <v>50</v>
      </c>
      <c r="G1332" s="2">
        <v>34</v>
      </c>
      <c r="H1332" s="2" t="s">
        <v>48</v>
      </c>
      <c r="I1332" s="2" t="s">
        <v>36</v>
      </c>
      <c r="J1332" s="3" t="s">
        <v>132</v>
      </c>
      <c r="M1332" s="2">
        <f>IF(J1332="1000+", 1000, (LEFT(J1332,FIND("-",J1332)-1)+RIGHT(J1332,LEN(J1332)-FIND("-",J1332)))/2)</f>
        <v>20</v>
      </c>
      <c r="N1332" s="2">
        <f>ROUND(E1332 * 0.7+F1332 * 0.2+G1332 * 0.1,2)</f>
        <v>44.9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60</v>
      </c>
      <c r="P1332" s="2">
        <f>E1332 - O1332</f>
        <v>-15</v>
      </c>
      <c r="Q1332" s="2">
        <f>ROUND(
  SIGN(P1332)*
  IF(ABS(P1332)&lt;=10,ABS(P1332)*0.5,
     IF(ABS(P1332)&lt;=15,5+(ABS(P1332)-10)*(1.67/5),
        6.67+(ABS(P1332)-15)*0.333)),
2)</f>
        <v>-6.67</v>
      </c>
    </row>
    <row r="1333" spans="2:17" ht="34.5" customHeight="1" x14ac:dyDescent="0.3">
      <c r="B1333" s="2">
        <v>1332</v>
      </c>
      <c r="C1333" s="13">
        <f>ROUND(MAX(MIN(N1333 + Q1333, 100), 0), 2)</f>
        <v>38.1</v>
      </c>
      <c r="D1333" s="2" t="s">
        <v>1189</v>
      </c>
      <c r="E1333" s="2">
        <v>50</v>
      </c>
      <c r="F1333" s="5">
        <v>72</v>
      </c>
      <c r="G1333" s="2">
        <v>37</v>
      </c>
      <c r="H1333" s="2" t="s">
        <v>174</v>
      </c>
      <c r="I1333" s="2" t="s">
        <v>100</v>
      </c>
      <c r="J1333" s="3" t="s">
        <v>42</v>
      </c>
      <c r="M1333" s="2">
        <f>IF(J1333="1000+", 1000, (LEFT(J1333,FIND("-",J1333)-1)+RIGHT(J1333,LEN(J1333)-FIND("-",J1333)))/2)</f>
        <v>600</v>
      </c>
      <c r="N1333" s="2">
        <f>ROUND(E1333 * 0.7+F1333 * 0.2+G1333 * 0.1,2)</f>
        <v>53.1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90</v>
      </c>
      <c r="P1333" s="2">
        <f>E1333 - O1333</f>
        <v>-40</v>
      </c>
      <c r="Q1333" s="2">
        <f>ROUND(
  SIGN(P1333)*
  IF(ABS(P1333)&lt;=10,ABS(P1333)*0.5,
     IF(ABS(P1333)&lt;=15,5+(ABS(P1333)-10)*(1.67/5),
        6.67+(ABS(P1333)-15)*0.333)),
2)</f>
        <v>-15</v>
      </c>
    </row>
    <row r="1334" spans="2:17" ht="34.5" customHeight="1" x14ac:dyDescent="0.3">
      <c r="B1334" s="2">
        <v>1333</v>
      </c>
      <c r="C1334" s="13">
        <f>ROUND(MAX(MIN(N1334 + Q1334, 100), 0), 2)</f>
        <v>38.03</v>
      </c>
      <c r="D1334" s="2" t="s">
        <v>1198</v>
      </c>
      <c r="E1334" s="2">
        <v>48</v>
      </c>
      <c r="F1334" s="2">
        <v>58</v>
      </c>
      <c r="G1334" s="2">
        <v>35</v>
      </c>
      <c r="H1334" s="2" t="s">
        <v>416</v>
      </c>
      <c r="I1334" s="2" t="s">
        <v>177</v>
      </c>
      <c r="J1334" s="3" t="s">
        <v>140</v>
      </c>
      <c r="M1334" s="2">
        <f>IF(J1334="1000+", 1000, (LEFT(J1334,FIND("-",J1334)-1)+RIGHT(J1334,LEN(J1334)-FIND("-",J1334)))/2)</f>
        <v>115</v>
      </c>
      <c r="N1334" s="2">
        <f>ROUND(E1334 * 0.7+F1334 * 0.2+G1334 * 0.1,2)</f>
        <v>48.7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75</v>
      </c>
      <c r="P1334" s="2">
        <f>E1334 - O1334</f>
        <v>-27</v>
      </c>
      <c r="Q1334" s="2">
        <f>ROUND(
  SIGN(P1334)*
  IF(ABS(P1334)&lt;=10,ABS(P1334)*0.5,
     IF(ABS(P1334)&lt;=15,5+(ABS(P1334)-10)*(1.67/5),
        6.67+(ABS(P1334)-15)*0.333)),
2)</f>
        <v>-10.67</v>
      </c>
    </row>
    <row r="1335" spans="2:17" ht="34.5" customHeight="1" x14ac:dyDescent="0.3">
      <c r="B1335" s="2">
        <v>1334</v>
      </c>
      <c r="C1335" s="13">
        <f>ROUND(MAX(MIN(N1335 + Q1335, 100), 0), 2)</f>
        <v>38</v>
      </c>
      <c r="D1335" s="2" t="s">
        <v>1191</v>
      </c>
      <c r="E1335" s="2">
        <v>49</v>
      </c>
      <c r="F1335" s="2">
        <v>50</v>
      </c>
      <c r="G1335" s="2">
        <v>57</v>
      </c>
      <c r="H1335" s="2" t="s">
        <v>71</v>
      </c>
      <c r="I1335" s="2" t="s">
        <v>36</v>
      </c>
      <c r="J1335" s="3" t="s">
        <v>88</v>
      </c>
      <c r="M1335" s="2">
        <f>IF(J1335="1000+", 1000, (LEFT(J1335,FIND("-",J1335)-1)+RIGHT(J1335,LEN(J1335)-FIND("-",J1335)))/2)</f>
        <v>150</v>
      </c>
      <c r="N1335" s="2">
        <f>ROUND(E1335 * 0.7+F1335 * 0.2+G1335 * 0.1,2)</f>
        <v>50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80</v>
      </c>
      <c r="P1335" s="2">
        <f>E1335 - O1335</f>
        <v>-31</v>
      </c>
      <c r="Q1335" s="2">
        <f>ROUND(
  SIGN(P1335)*
  IF(ABS(P1335)&lt;=10,ABS(P1335)*0.5,
     IF(ABS(P1335)&lt;=15,5+(ABS(P1335)-10)*(1.67/5),
        6.67+(ABS(P1335)-15)*0.333)),
2)</f>
        <v>-12</v>
      </c>
    </row>
    <row r="1336" spans="2:17" ht="34.5" customHeight="1" x14ac:dyDescent="0.3">
      <c r="B1336" s="2">
        <v>1335</v>
      </c>
      <c r="C1336" s="13">
        <f>ROUND(MAX(MIN(N1336 + Q1336, 100), 0), 2)</f>
        <v>37.700000000000003</v>
      </c>
      <c r="D1336" s="2" t="s">
        <v>1203</v>
      </c>
      <c r="E1336" s="2">
        <v>41</v>
      </c>
      <c r="F1336" s="2">
        <v>50</v>
      </c>
      <c r="G1336" s="2">
        <v>35</v>
      </c>
      <c r="H1336" s="2" t="s">
        <v>104</v>
      </c>
      <c r="I1336" s="2" t="s">
        <v>447</v>
      </c>
      <c r="J1336" s="3" t="s">
        <v>92</v>
      </c>
      <c r="M1336" s="2">
        <f>IF(J1336="1000+", 1000, (LEFT(J1336,FIND("-",J1336)-1)+RIGHT(J1336,LEN(J1336)-FIND("-",J1336)))/2)</f>
        <v>12.5</v>
      </c>
      <c r="N1336" s="2">
        <f>ROUND(E1336 * 0.7+F1336 * 0.2+G1336 * 0.1,2)</f>
        <v>42.2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50</v>
      </c>
      <c r="P1336" s="2">
        <f>E1336 - O1336</f>
        <v>-9</v>
      </c>
      <c r="Q1336" s="2">
        <f>ROUND(
  SIGN(P1336)*
  IF(ABS(P1336)&lt;=10,ABS(P1336)*0.5,
     IF(ABS(P1336)&lt;=15,5+(ABS(P1336)-10)*(1.67/5),
        6.67+(ABS(P1336)-15)*0.333)),
2)</f>
        <v>-4.5</v>
      </c>
    </row>
    <row r="1337" spans="2:17" ht="34.5" customHeight="1" x14ac:dyDescent="0.3">
      <c r="B1337" s="2">
        <v>1336</v>
      </c>
      <c r="C1337" s="13">
        <f>ROUND(MAX(MIN(N1337 + Q1337, 100), 0), 2)</f>
        <v>37.43</v>
      </c>
      <c r="D1337" s="2" t="s">
        <v>1199</v>
      </c>
      <c r="E1337" s="2">
        <v>45</v>
      </c>
      <c r="F1337" s="7">
        <v>61</v>
      </c>
      <c r="G1337" s="2">
        <v>44</v>
      </c>
      <c r="H1337" s="2" t="s">
        <v>847</v>
      </c>
      <c r="I1337" s="2" t="s">
        <v>228</v>
      </c>
      <c r="J1337" s="3" t="s">
        <v>122</v>
      </c>
      <c r="M1337" s="2">
        <f>IF(J1337="1000+", 1000, (LEFT(J1337,FIND("-",J1337)-1)+RIGHT(J1337,LEN(J1337)-FIND("-",J1337)))/2)</f>
        <v>105</v>
      </c>
      <c r="N1337" s="2">
        <f>ROUND(E1337 * 0.7+F1337 * 0.2+G1337 * 0.1,2)</f>
        <v>48.1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72</v>
      </c>
      <c r="P1337" s="2">
        <f>E1337 - O1337</f>
        <v>-27</v>
      </c>
      <c r="Q1337" s="2">
        <f>ROUND(
  SIGN(P1337)*
  IF(ABS(P1337)&lt;=10,ABS(P1337)*0.5,
     IF(ABS(P1337)&lt;=15,5+(ABS(P1337)-10)*(1.67/5),
        6.67+(ABS(P1337)-15)*0.333)),
2)</f>
        <v>-10.67</v>
      </c>
    </row>
    <row r="1338" spans="2:17" ht="34.5" customHeight="1" x14ac:dyDescent="0.3">
      <c r="B1338" s="2">
        <v>1337</v>
      </c>
      <c r="C1338" s="13">
        <f>ROUND(MAX(MIN(N1338 + Q1338, 100), 0), 2)</f>
        <v>37.229999999999997</v>
      </c>
      <c r="D1338" s="2" t="s">
        <v>1196</v>
      </c>
      <c r="E1338" s="2">
        <v>43</v>
      </c>
      <c r="F1338" s="2">
        <v>59</v>
      </c>
      <c r="G1338" s="7">
        <v>60</v>
      </c>
      <c r="H1338" s="2" t="s">
        <v>31</v>
      </c>
      <c r="I1338" s="2" t="s">
        <v>551</v>
      </c>
      <c r="J1338" s="3" t="s">
        <v>18</v>
      </c>
      <c r="M1338" s="2">
        <f>IF(J1338="1000+", 1000, (LEFT(J1338,FIND("-",J1338)-1)+RIGHT(J1338,LEN(J1338)-FIND("-",J1338)))/2)</f>
        <v>75</v>
      </c>
      <c r="N1338" s="2">
        <f>ROUND(E1338 * 0.7+F1338 * 0.2+G1338 * 0.1,2)</f>
        <v>47.9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70</v>
      </c>
      <c r="P1338" s="2">
        <f>E1338 - O1338</f>
        <v>-27</v>
      </c>
      <c r="Q1338" s="2">
        <f>ROUND(
  SIGN(P1338)*
  IF(ABS(P1338)&lt;=10,ABS(P1338)*0.5,
     IF(ABS(P1338)&lt;=15,5+(ABS(P1338)-10)*(1.67/5),
        6.67+(ABS(P1338)-15)*0.333)),
2)</f>
        <v>-10.67</v>
      </c>
    </row>
    <row r="1339" spans="2:17" ht="34.5" customHeight="1" x14ac:dyDescent="0.3">
      <c r="B1339" s="2">
        <v>1338</v>
      </c>
      <c r="C1339" s="13">
        <f>ROUND(MAX(MIN(N1339 + Q1339, 100), 0), 2)</f>
        <v>37.200000000000003</v>
      </c>
      <c r="D1339" s="2" t="s">
        <v>1177</v>
      </c>
      <c r="E1339" s="2">
        <v>41</v>
      </c>
      <c r="F1339" s="2">
        <v>50</v>
      </c>
      <c r="G1339" s="2">
        <v>30</v>
      </c>
      <c r="H1339" s="2" t="s">
        <v>104</v>
      </c>
      <c r="I1339" s="2" t="s">
        <v>36</v>
      </c>
      <c r="J1339" s="3" t="s">
        <v>1574</v>
      </c>
      <c r="M1339" s="2">
        <f>IF(J1339="1000+", 1000, (LEFT(J1339,FIND("-",J1339)-1)+RIGHT(J1339,LEN(J1339)-FIND("-",J1339)))/2)</f>
        <v>12.5</v>
      </c>
      <c r="N1339" s="2">
        <f>ROUND(E1339 * 0.7+F1339 * 0.2+G1339 * 0.1,2)</f>
        <v>41.7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50</v>
      </c>
      <c r="P1339" s="2">
        <f>E1339 - O1339</f>
        <v>-9</v>
      </c>
      <c r="Q1339" s="2">
        <f>ROUND(
  SIGN(P1339)*
  IF(ABS(P1339)&lt;=10,ABS(P1339)*0.5,
     IF(ABS(P1339)&lt;=15,5+(ABS(P1339)-10)*(1.67/5),
        6.67+(ABS(P1339)-15)*0.333)),
2)</f>
        <v>-4.5</v>
      </c>
    </row>
    <row r="1340" spans="2:17" ht="34.5" customHeight="1" x14ac:dyDescent="0.3">
      <c r="B1340" s="2">
        <v>1339</v>
      </c>
      <c r="C1340" s="13">
        <f>ROUND(MAX(MIN(N1340 + Q1340, 100), 0), 2)</f>
        <v>36.9</v>
      </c>
      <c r="D1340" s="2" t="s">
        <v>1193</v>
      </c>
      <c r="E1340" s="2">
        <v>47</v>
      </c>
      <c r="F1340" s="2">
        <v>56</v>
      </c>
      <c r="G1340" s="5">
        <v>78</v>
      </c>
      <c r="H1340" s="2" t="s">
        <v>339</v>
      </c>
      <c r="I1340" s="2" t="s">
        <v>49</v>
      </c>
      <c r="J1340" s="3" t="s">
        <v>65</v>
      </c>
      <c r="M1340" s="2">
        <f>IF(J1340="1000+", 1000, (LEFT(J1340,FIND("-",J1340)-1)+RIGHT(J1340,LEN(J1340)-FIND("-",J1340)))/2)</f>
        <v>250</v>
      </c>
      <c r="N1340" s="2">
        <f>ROUND(E1340 * 0.7+F1340 * 0.2+G1340 * 0.1,2)</f>
        <v>51.9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87</v>
      </c>
      <c r="P1340" s="2">
        <f>E1340 - O1340</f>
        <v>-40</v>
      </c>
      <c r="Q1340" s="2">
        <f>ROUND(
  SIGN(P1340)*
  IF(ABS(P1340)&lt;=10,ABS(P1340)*0.5,
     IF(ABS(P1340)&lt;=15,5+(ABS(P1340)-10)*(1.67/5),
        6.67+(ABS(P1340)-15)*0.333)),
2)</f>
        <v>-15</v>
      </c>
    </row>
    <row r="1341" spans="2:17" ht="34.5" customHeight="1" x14ac:dyDescent="0.3">
      <c r="B1341" s="2">
        <v>1340</v>
      </c>
      <c r="C1341" s="13">
        <f>ROUND(MAX(MIN(N1341 + Q1341, 100), 0), 2)</f>
        <v>36.83</v>
      </c>
      <c r="D1341" s="2" t="s">
        <v>1210</v>
      </c>
      <c r="E1341" s="2">
        <v>53</v>
      </c>
      <c r="F1341" s="2">
        <v>40</v>
      </c>
      <c r="G1341" s="2">
        <v>24</v>
      </c>
      <c r="H1341" s="2" t="s">
        <v>138</v>
      </c>
      <c r="I1341" s="2" t="s">
        <v>27</v>
      </c>
      <c r="J1341" s="3" t="s">
        <v>88</v>
      </c>
      <c r="M1341" s="2">
        <f>IF(J1341="1000+", 1000, (LEFT(J1341,FIND("-",J1341)-1)+RIGHT(J1341,LEN(J1341)-FIND("-",J1341)))/2)</f>
        <v>150</v>
      </c>
      <c r="N1341" s="2">
        <f>ROUND(E1341 * 0.7+F1341 * 0.2+G1341 * 0.1,2)</f>
        <v>47.5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80</v>
      </c>
      <c r="P1341" s="2">
        <f>E1341 - O1341</f>
        <v>-27</v>
      </c>
      <c r="Q1341" s="2">
        <f>ROUND(
  SIGN(P1341)*
  IF(ABS(P1341)&lt;=10,ABS(P1341)*0.5,
     IF(ABS(P1341)&lt;=15,5+(ABS(P1341)-10)*(1.67/5),
        6.67+(ABS(P1341)-15)*0.333)),
2)</f>
        <v>-10.67</v>
      </c>
    </row>
    <row r="1342" spans="2:17" ht="34.5" customHeight="1" x14ac:dyDescent="0.3">
      <c r="B1342" s="2">
        <v>1341</v>
      </c>
      <c r="C1342" s="13">
        <f>ROUND(MAX(MIN(N1342 + Q1342, 100), 0), 2)</f>
        <v>36.83</v>
      </c>
      <c r="D1342" s="2" t="s">
        <v>1192</v>
      </c>
      <c r="E1342" s="2">
        <v>41</v>
      </c>
      <c r="F1342" s="7">
        <v>60</v>
      </c>
      <c r="G1342" s="2">
        <v>58</v>
      </c>
      <c r="H1342" s="2" t="s">
        <v>48</v>
      </c>
      <c r="I1342" s="2" t="s">
        <v>218</v>
      </c>
      <c r="J1342" s="3" t="s">
        <v>32</v>
      </c>
      <c r="M1342" s="2">
        <f>IF(J1342="1000+", 1000, (LEFT(J1342,FIND("-",J1342)-1)+RIGHT(J1342,LEN(J1342)-FIND("-",J1342)))/2)</f>
        <v>45</v>
      </c>
      <c r="N1342" s="2">
        <f>ROUND(E1342 * 0.7+F1342 * 0.2+G1342 * 0.1,2)</f>
        <v>46.5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65</v>
      </c>
      <c r="P1342" s="2">
        <f>E1342 - O1342</f>
        <v>-24</v>
      </c>
      <c r="Q1342" s="2">
        <f>ROUND(
  SIGN(P1342)*
  IF(ABS(P1342)&lt;=10,ABS(P1342)*0.5,
     IF(ABS(P1342)&lt;=15,5+(ABS(P1342)-10)*(1.67/5),
        6.67+(ABS(P1342)-15)*0.333)),
2)</f>
        <v>-9.67</v>
      </c>
    </row>
    <row r="1343" spans="2:17" ht="34.5" customHeight="1" x14ac:dyDescent="0.3">
      <c r="B1343" s="2">
        <v>1342</v>
      </c>
      <c r="C1343" s="13">
        <f>ROUND(MAX(MIN(N1343 + Q1343, 100), 0), 2)</f>
        <v>36.700000000000003</v>
      </c>
      <c r="D1343" s="2" t="s">
        <v>1215</v>
      </c>
      <c r="E1343" s="2">
        <v>55</v>
      </c>
      <c r="F1343" s="2">
        <v>32</v>
      </c>
      <c r="G1343" s="2">
        <v>18</v>
      </c>
      <c r="H1343" s="2" t="s">
        <v>240</v>
      </c>
      <c r="I1343" s="2" t="s">
        <v>241</v>
      </c>
      <c r="J1343" s="3" t="s">
        <v>88</v>
      </c>
      <c r="M1343" s="2">
        <f>IF(J1343="1000+", 1000, (LEFT(J1343,FIND("-",J1343)-1)+RIGHT(J1343,LEN(J1343)-FIND("-",J1343)))/2)</f>
        <v>150</v>
      </c>
      <c r="N1343" s="2">
        <f>ROUND(E1343 * 0.7+F1343 * 0.2+G1343 * 0.1,2)</f>
        <v>46.7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80</v>
      </c>
      <c r="P1343" s="2">
        <f>E1343 - O1343</f>
        <v>-25</v>
      </c>
      <c r="Q1343" s="2">
        <f>ROUND(
  SIGN(P1343)*
  IF(ABS(P1343)&lt;=10,ABS(P1343)*0.5,
     IF(ABS(P1343)&lt;=15,5+(ABS(P1343)-10)*(1.67/5),
        6.67+(ABS(P1343)-15)*0.333)),
2)</f>
        <v>-10</v>
      </c>
    </row>
    <row r="1344" spans="2:17" ht="34.5" customHeight="1" x14ac:dyDescent="0.3">
      <c r="B1344" s="2">
        <v>1343</v>
      </c>
      <c r="C1344" s="13">
        <f>ROUND(MAX(MIN(N1344 + Q1344, 100), 0), 2)</f>
        <v>36.54</v>
      </c>
      <c r="D1344" s="2" t="s">
        <v>1195</v>
      </c>
      <c r="E1344" s="2">
        <v>46</v>
      </c>
      <c r="F1344" s="7">
        <v>64</v>
      </c>
      <c r="G1344" s="2">
        <v>52</v>
      </c>
      <c r="H1344" s="2" t="s">
        <v>958</v>
      </c>
      <c r="I1344" s="2" t="s">
        <v>22</v>
      </c>
      <c r="J1344" s="3" t="s">
        <v>28</v>
      </c>
      <c r="M1344" s="2">
        <f>IF(J1344="1000+", 1000, (LEFT(J1344,FIND("-",J1344)-1)+RIGHT(J1344,LEN(J1344)-FIND("-",J1344)))/2)</f>
        <v>200</v>
      </c>
      <c r="N1344" s="2">
        <f>ROUND(E1344 * 0.7+F1344 * 0.2+G1344 * 0.1,2)</f>
        <v>50.2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82</v>
      </c>
      <c r="P1344" s="2">
        <f>E1344 - O1344</f>
        <v>-36</v>
      </c>
      <c r="Q1344" s="2">
        <f>ROUND(
  SIGN(P1344)*
  IF(ABS(P1344)&lt;=10,ABS(P1344)*0.5,
     IF(ABS(P1344)&lt;=15,5+(ABS(P1344)-10)*(1.67/5),
        6.67+(ABS(P1344)-15)*0.333)),
2)</f>
        <v>-13.66</v>
      </c>
    </row>
    <row r="1345" spans="1:17" ht="34.5" customHeight="1" x14ac:dyDescent="0.3">
      <c r="B1345" s="2">
        <v>1344</v>
      </c>
      <c r="C1345" s="13">
        <f>ROUND(MAX(MIN(N1345 + Q1345, 100), 0), 2)</f>
        <v>36.270000000000003</v>
      </c>
      <c r="D1345" s="2" t="s">
        <v>1220</v>
      </c>
      <c r="E1345" s="2">
        <v>52</v>
      </c>
      <c r="F1345" s="2">
        <v>40</v>
      </c>
      <c r="G1345" s="7">
        <v>62</v>
      </c>
      <c r="H1345" s="2" t="s">
        <v>434</v>
      </c>
      <c r="I1345" s="2" t="s">
        <v>27</v>
      </c>
      <c r="J1345" s="3" t="s">
        <v>42</v>
      </c>
      <c r="M1345" s="2">
        <f>IF(J1345="1000+", 1000, (LEFT(J1345,FIND("-",J1345)-1)+RIGHT(J1345,LEN(J1345)-FIND("-",J1345)))/2)</f>
        <v>600</v>
      </c>
      <c r="N1345" s="2">
        <f>ROUND(E1345 * 0.7+F1345 * 0.2+G1345 * 0.1,2)</f>
        <v>50.6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90</v>
      </c>
      <c r="P1345" s="2">
        <f>E1345 - O1345</f>
        <v>-38</v>
      </c>
      <c r="Q1345" s="2">
        <f>ROUND(
  SIGN(P1345)*
  IF(ABS(P1345)&lt;=10,ABS(P1345)*0.5,
     IF(ABS(P1345)&lt;=15,5+(ABS(P1345)-10)*(1.67/5),
        6.67+(ABS(P1345)-15)*0.333)),
2)</f>
        <v>-14.33</v>
      </c>
    </row>
    <row r="1346" spans="1:17" ht="34.5" customHeight="1" x14ac:dyDescent="0.3">
      <c r="B1346" s="2">
        <v>1345</v>
      </c>
      <c r="C1346" s="13">
        <f>ROUND(MAX(MIN(N1346 + Q1346, 100), 0), 2)</f>
        <v>36.270000000000003</v>
      </c>
      <c r="D1346" s="2" t="s">
        <v>1204</v>
      </c>
      <c r="E1346" s="2">
        <v>45</v>
      </c>
      <c r="F1346" s="2">
        <v>45</v>
      </c>
      <c r="G1346" s="2">
        <v>51</v>
      </c>
      <c r="H1346" s="2" t="s">
        <v>171</v>
      </c>
      <c r="I1346" s="2" t="s">
        <v>36</v>
      </c>
      <c r="J1346" s="3" t="s">
        <v>23</v>
      </c>
      <c r="M1346" s="2">
        <f>IF(J1346="1000+", 1000, (LEFT(J1346,FIND("-",J1346)-1)+RIGHT(J1346,LEN(J1346)-FIND("-",J1346)))/2)</f>
        <v>60</v>
      </c>
      <c r="N1346" s="2">
        <f>ROUND(E1346 * 0.7+F1346 * 0.2+G1346 * 0.1,2)</f>
        <v>45.6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68</v>
      </c>
      <c r="P1346" s="2">
        <f>E1346 - O1346</f>
        <v>-23</v>
      </c>
      <c r="Q1346" s="2">
        <f>ROUND(
  SIGN(P1346)*
  IF(ABS(P1346)&lt;=10,ABS(P1346)*0.5,
     IF(ABS(P1346)&lt;=15,5+(ABS(P1346)-10)*(1.67/5),
        6.67+(ABS(P1346)-15)*0.333)),
2)</f>
        <v>-9.33</v>
      </c>
    </row>
    <row r="1347" spans="1:17" ht="34.5" customHeight="1" x14ac:dyDescent="0.3">
      <c r="B1347" s="2">
        <v>1346</v>
      </c>
      <c r="C1347" s="13">
        <f>ROUND(MAX(MIN(N1347 + Q1347, 100), 0), 2)</f>
        <v>35.869999999999997</v>
      </c>
      <c r="D1347" s="2" t="s">
        <v>1197</v>
      </c>
      <c r="E1347" s="2">
        <v>40</v>
      </c>
      <c r="F1347" s="7">
        <v>66</v>
      </c>
      <c r="G1347" s="5">
        <v>70</v>
      </c>
      <c r="H1347" s="2" t="s">
        <v>31</v>
      </c>
      <c r="I1347" s="2" t="s">
        <v>106</v>
      </c>
      <c r="J1347" s="3" t="s">
        <v>122</v>
      </c>
      <c r="M1347" s="2">
        <f>IF(J1347="1000+", 1000, (LEFT(J1347,FIND("-",J1347)-1)+RIGHT(J1347,LEN(J1347)-FIND("-",J1347)))/2)</f>
        <v>105</v>
      </c>
      <c r="N1347" s="2">
        <f>ROUND(E1347 * 0.7+F1347 * 0.2+G1347 * 0.1,2)</f>
        <v>48.2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72</v>
      </c>
      <c r="P1347" s="2">
        <f>E1347 - O1347</f>
        <v>-32</v>
      </c>
      <c r="Q1347" s="2">
        <f>ROUND(
  SIGN(P1347)*
  IF(ABS(P1347)&lt;=10,ABS(P1347)*0.5,
     IF(ABS(P1347)&lt;=15,5+(ABS(P1347)-10)*(1.67/5),
        6.67+(ABS(P1347)-15)*0.333)),
2)</f>
        <v>-12.33</v>
      </c>
    </row>
    <row r="1348" spans="1:17" ht="34.5" customHeight="1" x14ac:dyDescent="0.3">
      <c r="B1348" s="2">
        <v>1347</v>
      </c>
      <c r="C1348" s="13">
        <f>ROUND(MAX(MIN(N1348 + Q1348, 100), 0), 2)</f>
        <v>35.700000000000003</v>
      </c>
      <c r="D1348" s="2" t="s">
        <v>1202</v>
      </c>
      <c r="E1348" s="2">
        <v>45</v>
      </c>
      <c r="F1348" s="7">
        <v>60</v>
      </c>
      <c r="G1348" s="7">
        <v>62</v>
      </c>
      <c r="H1348" s="2" t="s">
        <v>322</v>
      </c>
      <c r="I1348" s="2" t="s">
        <v>325</v>
      </c>
      <c r="J1348" s="3" t="s">
        <v>28</v>
      </c>
      <c r="M1348" s="2">
        <f>IF(J1348="1000+", 1000, (LEFT(J1348,FIND("-",J1348)-1)+RIGHT(J1348,LEN(J1348)-FIND("-",J1348)))/2)</f>
        <v>200</v>
      </c>
      <c r="N1348" s="2">
        <f>ROUND(E1348 * 0.7+F1348 * 0.2+G1348 * 0.1,2)</f>
        <v>49.7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82</v>
      </c>
      <c r="P1348" s="2">
        <f>E1348 - O1348</f>
        <v>-37</v>
      </c>
      <c r="Q1348" s="2">
        <f>ROUND(
  SIGN(P1348)*
  IF(ABS(P1348)&lt;=10,ABS(P1348)*0.5,
     IF(ABS(P1348)&lt;=15,5+(ABS(P1348)-10)*(1.67/5),
        6.67+(ABS(P1348)-15)*0.333)),
2)</f>
        <v>-14</v>
      </c>
    </row>
    <row r="1349" spans="1:17" ht="34.5" customHeight="1" x14ac:dyDescent="0.3">
      <c r="B1349" s="2">
        <v>1348</v>
      </c>
      <c r="C1349" s="13">
        <f>ROUND(MAX(MIN(N1349 + Q1349, 100), 0), 2)</f>
        <v>35.630000000000003</v>
      </c>
      <c r="D1349" s="2" t="s">
        <v>1205</v>
      </c>
      <c r="E1349" s="2">
        <v>41</v>
      </c>
      <c r="F1349" s="2">
        <v>51</v>
      </c>
      <c r="G1349" s="2">
        <v>54</v>
      </c>
      <c r="H1349" s="2" t="s">
        <v>48</v>
      </c>
      <c r="I1349" s="2" t="s">
        <v>218</v>
      </c>
      <c r="J1349" s="3" t="s">
        <v>146</v>
      </c>
      <c r="M1349" s="2">
        <f>IF(J1349="1000+", 1000, (LEFT(J1349,FIND("-",J1349)-1)+RIGHT(J1349,LEN(J1349)-FIND("-",J1349)))/2)</f>
        <v>30</v>
      </c>
      <c r="N1349" s="2">
        <f>ROUND(E1349 * 0.7+F1349 * 0.2+G1349 * 0.1,2)</f>
        <v>44.3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62</v>
      </c>
      <c r="P1349" s="2">
        <f>E1349 - O1349</f>
        <v>-21</v>
      </c>
      <c r="Q1349" s="2">
        <f>ROUND(
  SIGN(P1349)*
  IF(ABS(P1349)&lt;=10,ABS(P1349)*0.5,
     IF(ABS(P1349)&lt;=15,5+(ABS(P1349)-10)*(1.67/5),
        6.67+(ABS(P1349)-15)*0.333)),
2)</f>
        <v>-8.67</v>
      </c>
    </row>
    <row r="1350" spans="1:17" ht="34.5" customHeight="1" x14ac:dyDescent="0.3">
      <c r="B1350" s="2">
        <v>1349</v>
      </c>
      <c r="C1350" s="13">
        <f>ROUND(MAX(MIN(N1350 + Q1350, 100), 0), 2)</f>
        <v>35.270000000000003</v>
      </c>
      <c r="D1350" s="2" t="s">
        <v>1209</v>
      </c>
      <c r="E1350" s="2">
        <v>46</v>
      </c>
      <c r="F1350" s="2">
        <v>51</v>
      </c>
      <c r="G1350" s="2">
        <v>42</v>
      </c>
      <c r="H1350" s="2" t="s">
        <v>163</v>
      </c>
      <c r="I1350" s="2" t="s">
        <v>22</v>
      </c>
      <c r="J1350" s="3" t="s">
        <v>140</v>
      </c>
      <c r="M1350" s="2">
        <f>IF(J1350="1000+", 1000, (LEFT(J1350,FIND("-",J1350)-1)+RIGHT(J1350,LEN(J1350)-FIND("-",J1350)))/2)</f>
        <v>115</v>
      </c>
      <c r="N1350" s="2">
        <f>ROUND(E1350 * 0.7+F1350 * 0.2+G1350 * 0.1,2)</f>
        <v>46.6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75</v>
      </c>
      <c r="P1350" s="2">
        <f>E1350 - O1350</f>
        <v>-29</v>
      </c>
      <c r="Q1350" s="2">
        <f>ROUND(
  SIGN(P1350)*
  IF(ABS(P1350)&lt;=10,ABS(P1350)*0.5,
     IF(ABS(P1350)&lt;=15,5+(ABS(P1350)-10)*(1.67/5),
        6.67+(ABS(P1350)-15)*0.333)),
2)</f>
        <v>-11.33</v>
      </c>
    </row>
    <row r="1351" spans="1:17" ht="34.5" customHeight="1" x14ac:dyDescent="0.3">
      <c r="B1351" s="2">
        <v>1350</v>
      </c>
      <c r="C1351" s="13">
        <f>ROUND(MAX(MIN(N1351 + Q1351, 100), 0), 2)</f>
        <v>34.6</v>
      </c>
      <c r="D1351" s="2" t="s">
        <v>1216</v>
      </c>
      <c r="E1351" s="2">
        <v>51</v>
      </c>
      <c r="F1351" s="2">
        <v>40</v>
      </c>
      <c r="G1351" s="2">
        <v>39</v>
      </c>
      <c r="H1351" s="2" t="s">
        <v>1407</v>
      </c>
      <c r="I1351" s="2" t="s">
        <v>41</v>
      </c>
      <c r="J1351" s="3" t="s">
        <v>14</v>
      </c>
      <c r="M1351" s="2">
        <f>IF(J1351="1000+", 1000, (LEFT(J1351,FIND("-",J1351)-1)+RIGHT(J1351,LEN(J1351)-FIND("-",J1351)))/2)</f>
        <v>225</v>
      </c>
      <c r="N1351" s="2">
        <f>ROUND(E1351 * 0.7+F1351 * 0.2+G1351 * 0.1,2)</f>
        <v>47.6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85</v>
      </c>
      <c r="P1351" s="2">
        <f>E1351 - O1351</f>
        <v>-34</v>
      </c>
      <c r="Q1351" s="2">
        <f>ROUND(
  SIGN(P1351)*
  IF(ABS(P1351)&lt;=10,ABS(P1351)*0.5,
     IF(ABS(P1351)&lt;=15,5+(ABS(P1351)-10)*(1.67/5),
        6.67+(ABS(P1351)-15)*0.333)),
2)</f>
        <v>-13</v>
      </c>
    </row>
    <row r="1352" spans="1:17" ht="34.5" customHeight="1" x14ac:dyDescent="0.3">
      <c r="B1352" s="2">
        <v>1351</v>
      </c>
      <c r="C1352" s="13">
        <f>ROUND(MAX(MIN(N1352 + Q1352, 100), 0), 2)</f>
        <v>34.53</v>
      </c>
      <c r="D1352" s="2" t="s">
        <v>1213</v>
      </c>
      <c r="E1352" s="2">
        <v>45</v>
      </c>
      <c r="F1352" s="2">
        <v>54</v>
      </c>
      <c r="G1352" s="2">
        <v>39</v>
      </c>
      <c r="H1352" s="2" t="s">
        <v>71</v>
      </c>
      <c r="I1352" s="2" t="s">
        <v>325</v>
      </c>
      <c r="J1352" s="3" t="s">
        <v>140</v>
      </c>
      <c r="M1352" s="2">
        <f>IF(J1352="1000+", 1000, (LEFT(J1352,FIND("-",J1352)-1)+RIGHT(J1352,LEN(J1352)-FIND("-",J1352)))/2)</f>
        <v>115</v>
      </c>
      <c r="N1352" s="2">
        <f>ROUND(E1352 * 0.7+F1352 * 0.2+G1352 * 0.1,2)</f>
        <v>46.2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75</v>
      </c>
      <c r="P1352" s="2">
        <f>E1352 - O1352</f>
        <v>-30</v>
      </c>
      <c r="Q1352" s="2">
        <f>ROUND(
  SIGN(P1352)*
  IF(ABS(P1352)&lt;=10,ABS(P1352)*0.5,
     IF(ABS(P1352)&lt;=15,5+(ABS(P1352)-10)*(1.67/5),
        6.67+(ABS(P1352)-15)*0.333)),
2)</f>
        <v>-11.67</v>
      </c>
    </row>
    <row r="1353" spans="1:17" ht="34.5" customHeight="1" x14ac:dyDescent="0.3">
      <c r="B1353" s="2">
        <v>1352</v>
      </c>
      <c r="C1353" s="13">
        <f>ROUND(MAX(MIN(N1353 + Q1353, 100), 0), 2)</f>
        <v>34.14</v>
      </c>
      <c r="D1353" s="2" t="s">
        <v>1208</v>
      </c>
      <c r="E1353" s="2">
        <v>44</v>
      </c>
      <c r="F1353" s="7">
        <v>60</v>
      </c>
      <c r="G1353" s="2">
        <v>50</v>
      </c>
      <c r="H1353" s="2" t="s">
        <v>434</v>
      </c>
      <c r="I1353" s="2" t="s">
        <v>22</v>
      </c>
      <c r="J1353" s="3" t="s">
        <v>88</v>
      </c>
      <c r="M1353" s="2">
        <f>IF(J1353="1000+", 1000, (LEFT(J1353,FIND("-",J1353)-1)+RIGHT(J1353,LEN(J1353)-FIND("-",J1353)))/2)</f>
        <v>150</v>
      </c>
      <c r="N1353" s="2">
        <f>ROUND(E1353 * 0.7+F1353 * 0.2+G1353 * 0.1,2)</f>
        <v>47.8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80</v>
      </c>
      <c r="P1353" s="2">
        <f>E1353 - O1353</f>
        <v>-36</v>
      </c>
      <c r="Q1353" s="2">
        <f>ROUND(
  SIGN(P1353)*
  IF(ABS(P1353)&lt;=10,ABS(P1353)*0.5,
     IF(ABS(P1353)&lt;=15,5+(ABS(P1353)-10)*(1.67/5),
        6.67+(ABS(P1353)-15)*0.333)),
2)</f>
        <v>-13.66</v>
      </c>
    </row>
    <row r="1354" spans="1:17" ht="34.5" customHeight="1" x14ac:dyDescent="0.3">
      <c r="B1354" s="2">
        <v>1353</v>
      </c>
      <c r="C1354" s="13">
        <f>ROUND(MAX(MIN(N1354 + Q1354, 100), 0), 2)</f>
        <v>34.07</v>
      </c>
      <c r="D1354" s="2" t="s">
        <v>1207</v>
      </c>
      <c r="E1354" s="2">
        <v>44</v>
      </c>
      <c r="F1354" s="2">
        <v>56</v>
      </c>
      <c r="G1354" s="7">
        <v>64</v>
      </c>
      <c r="H1354" s="2" t="s">
        <v>71</v>
      </c>
      <c r="I1354" s="2" t="s">
        <v>22</v>
      </c>
      <c r="J1354" s="3" t="s">
        <v>28</v>
      </c>
      <c r="M1354" s="2">
        <f>IF(J1354="1000+", 1000, (LEFT(J1354,FIND("-",J1354)-1)+RIGHT(J1354,LEN(J1354)-FIND("-",J1354)))/2)</f>
        <v>200</v>
      </c>
      <c r="N1354" s="2">
        <f>ROUND(E1354 * 0.7+F1354 * 0.2+G1354 * 0.1,2)</f>
        <v>48.4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82</v>
      </c>
      <c r="P1354" s="2">
        <f>E1354 - O1354</f>
        <v>-38</v>
      </c>
      <c r="Q1354" s="2">
        <f>ROUND(
  SIGN(P1354)*
  IF(ABS(P1354)&lt;=10,ABS(P1354)*0.5,
     IF(ABS(P1354)&lt;=15,5+(ABS(P1354)-10)*(1.67/5),
        6.67+(ABS(P1354)-15)*0.333)),
2)</f>
        <v>-14.33</v>
      </c>
    </row>
    <row r="1355" spans="1:17" ht="34.5" customHeight="1" x14ac:dyDescent="0.3">
      <c r="A1355" s="2">
        <v>2026</v>
      </c>
      <c r="B1355" s="2">
        <v>1354</v>
      </c>
      <c r="C1355" s="13">
        <f>ROUND(MAX(MIN(N1355 + Q1355, 100), 0), 2)</f>
        <v>33.67</v>
      </c>
      <c r="D1355" s="2" t="s">
        <v>1954</v>
      </c>
      <c r="E1355" s="2">
        <v>54</v>
      </c>
      <c r="F1355" s="2">
        <v>18</v>
      </c>
      <c r="G1355" s="2">
        <v>26</v>
      </c>
      <c r="H1355" s="2" t="s">
        <v>1257</v>
      </c>
      <c r="I1355" s="2" t="s">
        <v>1276</v>
      </c>
      <c r="J1355" s="3" t="s">
        <v>1260</v>
      </c>
      <c r="M1355" s="2">
        <f>IF(J1355="1000+", 1000, (LEFT(J1355,FIND("-",J1355)-1)+RIGHT(J1355,LEN(J1355)-FIND("-",J1355)))/2)</f>
        <v>150</v>
      </c>
      <c r="N1355" s="2">
        <f>ROUND(E1355 * 0.7+F1355 * 0.2+G1355 * 0.1,2)</f>
        <v>44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80</v>
      </c>
      <c r="P1355" s="2">
        <f>E1355 - O1355</f>
        <v>-26</v>
      </c>
      <c r="Q1355" s="2">
        <f>ROUND(
  SIGN(P1355)*
  IF(ABS(P1355)&lt;=10,ABS(P1355)*0.5,
     IF(ABS(P1355)&lt;=15,5+(ABS(P1355)-10)*(1.67/5),
        6.67+(ABS(P1355)-15)*0.333)),
2)</f>
        <v>-10.33</v>
      </c>
    </row>
    <row r="1356" spans="1:17" ht="34.5" customHeight="1" x14ac:dyDescent="0.3">
      <c r="B1356" s="2">
        <v>1355</v>
      </c>
      <c r="C1356" s="13">
        <f>ROUND(MAX(MIN(N1356 + Q1356, 100), 0), 2)</f>
        <v>33.53</v>
      </c>
      <c r="D1356" s="2" t="s">
        <v>1214</v>
      </c>
      <c r="E1356" s="2">
        <v>41</v>
      </c>
      <c r="F1356" s="2">
        <v>50</v>
      </c>
      <c r="G1356" s="2">
        <v>35</v>
      </c>
      <c r="H1356" s="2" t="s">
        <v>675</v>
      </c>
      <c r="I1356" s="2" t="s">
        <v>218</v>
      </c>
      <c r="J1356" s="3" t="s">
        <v>146</v>
      </c>
      <c r="M1356" s="2">
        <f>IF(J1356="1000+", 1000, (LEFT(J1356,FIND("-",J1356)-1)+RIGHT(J1356,LEN(J1356)-FIND("-",J1356)))/2)</f>
        <v>30</v>
      </c>
      <c r="N1356" s="2">
        <f>ROUND(E1356 * 0.7+F1356 * 0.2+G1356 * 0.1,2)</f>
        <v>42.2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62</v>
      </c>
      <c r="P1356" s="2">
        <f>E1356 - O1356</f>
        <v>-21</v>
      </c>
      <c r="Q1356" s="2">
        <f>ROUND(
  SIGN(P1356)*
  IF(ABS(P1356)&lt;=10,ABS(P1356)*0.5,
     IF(ABS(P1356)&lt;=15,5+(ABS(P1356)-10)*(1.67/5),
        6.67+(ABS(P1356)-15)*0.333)),
2)</f>
        <v>-8.67</v>
      </c>
    </row>
    <row r="1357" spans="1:17" ht="34.5" customHeight="1" x14ac:dyDescent="0.3">
      <c r="B1357" s="2">
        <v>1356</v>
      </c>
      <c r="C1357" s="13">
        <f>ROUND(MAX(MIN(N1357 + Q1357, 100), 0), 2)</f>
        <v>33.4</v>
      </c>
      <c r="D1357" s="2" t="s">
        <v>1211</v>
      </c>
      <c r="E1357" s="2">
        <v>45</v>
      </c>
      <c r="F1357" s="7">
        <v>64</v>
      </c>
      <c r="G1357" s="2">
        <v>41</v>
      </c>
      <c r="H1357" s="2" t="s">
        <v>1212</v>
      </c>
      <c r="I1357" s="2" t="s">
        <v>79</v>
      </c>
      <c r="J1357" s="3" t="s">
        <v>14</v>
      </c>
      <c r="M1357" s="2">
        <f>IF(J1357="1000+", 1000, (LEFT(J1357,FIND("-",J1357)-1)+RIGHT(J1357,LEN(J1357)-FIND("-",J1357)))/2)</f>
        <v>225</v>
      </c>
      <c r="N1357" s="2">
        <f>ROUND(E1357 * 0.7+F1357 * 0.2+G1357 * 0.1,2)</f>
        <v>48.4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85</v>
      </c>
      <c r="P1357" s="2">
        <f>E1357 - O1357</f>
        <v>-40</v>
      </c>
      <c r="Q1357" s="2">
        <f>ROUND(
  SIGN(P1357)*
  IF(ABS(P1357)&lt;=10,ABS(P1357)*0.5,
     IF(ABS(P1357)&lt;=15,5+(ABS(P1357)-10)*(1.67/5),
        6.67+(ABS(P1357)-15)*0.333)),
2)</f>
        <v>-15</v>
      </c>
    </row>
    <row r="1358" spans="1:17" ht="34.5" customHeight="1" x14ac:dyDescent="0.3">
      <c r="B1358" s="2">
        <v>1357</v>
      </c>
      <c r="C1358" s="13">
        <f>ROUND(MAX(MIN(N1358 + Q1358, 100), 0), 2)</f>
        <v>32.81</v>
      </c>
      <c r="D1358" s="2" t="s">
        <v>1217</v>
      </c>
      <c r="E1358" s="2">
        <v>38</v>
      </c>
      <c r="F1358" s="6">
        <v>88</v>
      </c>
      <c r="G1358" s="5">
        <v>76</v>
      </c>
      <c r="H1358" s="2" t="s">
        <v>661</v>
      </c>
      <c r="I1358" s="2" t="s">
        <v>79</v>
      </c>
      <c r="J1358" s="3" t="s">
        <v>42</v>
      </c>
      <c r="M1358" s="2">
        <f>IF(J1358="1000+", 1000, (LEFT(J1358,FIND("-",J1358)-1)+RIGHT(J1358,LEN(J1358)-FIND("-",J1358)))/2)</f>
        <v>600</v>
      </c>
      <c r="N1358" s="2">
        <f>ROUND(E1358 * 0.7+F1358 * 0.2+G1358 * 0.1,2)</f>
        <v>51.8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90</v>
      </c>
      <c r="P1358" s="2">
        <f>E1358 - O1358</f>
        <v>-52</v>
      </c>
      <c r="Q1358" s="2">
        <f>ROUND(
  SIGN(P1358)*
  IF(ABS(P1358)&lt;=10,ABS(P1358)*0.5,
     IF(ABS(P1358)&lt;=15,5+(ABS(P1358)-10)*(1.67/5),
        6.67+(ABS(P1358)-15)*0.333)),
2)</f>
        <v>-18.989999999999998</v>
      </c>
    </row>
    <row r="1359" spans="1:17" ht="34.5" customHeight="1" x14ac:dyDescent="0.3">
      <c r="B1359" s="2">
        <v>1358</v>
      </c>
      <c r="C1359" s="13">
        <f>ROUND(MAX(MIN(N1359 + Q1359, 100), 0), 2)</f>
        <v>32.74</v>
      </c>
      <c r="D1359" s="2" t="s">
        <v>1221</v>
      </c>
      <c r="E1359" s="2">
        <v>51</v>
      </c>
      <c r="F1359" s="2">
        <v>33</v>
      </c>
      <c r="G1359" s="2">
        <v>41</v>
      </c>
      <c r="H1359" s="2" t="s">
        <v>85</v>
      </c>
      <c r="I1359" s="2" t="s">
        <v>27</v>
      </c>
      <c r="J1359" s="3" t="s">
        <v>65</v>
      </c>
      <c r="M1359" s="2">
        <f>IF(J1359="1000+", 1000, (LEFT(J1359,FIND("-",J1359)-1)+RIGHT(J1359,LEN(J1359)-FIND("-",J1359)))/2)</f>
        <v>250</v>
      </c>
      <c r="N1359" s="2">
        <f>ROUND(E1359 * 0.7+F1359 * 0.2+G1359 * 0.1,2)</f>
        <v>46.4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87</v>
      </c>
      <c r="P1359" s="2">
        <f>E1359 - O1359</f>
        <v>-36</v>
      </c>
      <c r="Q1359" s="2">
        <f>ROUND(
  SIGN(P1359)*
  IF(ABS(P1359)&lt;=10,ABS(P1359)*0.5,
     IF(ABS(P1359)&lt;=15,5+(ABS(P1359)-10)*(1.67/5),
        6.67+(ABS(P1359)-15)*0.333)),
2)</f>
        <v>-13.66</v>
      </c>
    </row>
    <row r="1360" spans="1:17" ht="34.5" customHeight="1" x14ac:dyDescent="0.3">
      <c r="B1360" s="2">
        <v>1359</v>
      </c>
      <c r="C1360" s="13">
        <f>ROUND(MAX(MIN(N1360 + Q1360, 100), 0), 2)</f>
        <v>32.6</v>
      </c>
      <c r="D1360" s="2" t="s">
        <v>1219</v>
      </c>
      <c r="E1360" s="2">
        <v>40</v>
      </c>
      <c r="F1360" s="2">
        <v>55</v>
      </c>
      <c r="G1360" s="2">
        <v>46</v>
      </c>
      <c r="H1360" s="2" t="s">
        <v>61</v>
      </c>
      <c r="I1360" s="2" t="s">
        <v>22</v>
      </c>
      <c r="J1360" s="3" t="s">
        <v>23</v>
      </c>
      <c r="M1360" s="2">
        <f>IF(J1360="1000+", 1000, (LEFT(J1360,FIND("-",J1360)-1)+RIGHT(J1360,LEN(J1360)-FIND("-",J1360)))/2)</f>
        <v>60</v>
      </c>
      <c r="N1360" s="2">
        <f>ROUND(E1360 * 0.7+F1360 * 0.2+G1360 * 0.1,2)</f>
        <v>43.6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68</v>
      </c>
      <c r="P1360" s="2">
        <f>E1360 - O1360</f>
        <v>-28</v>
      </c>
      <c r="Q1360" s="2">
        <f>ROUND(
  SIGN(P1360)*
  IF(ABS(P1360)&lt;=10,ABS(P1360)*0.5,
     IF(ABS(P1360)&lt;=15,5+(ABS(P1360)-10)*(1.67/5),
        6.67+(ABS(P1360)-15)*0.333)),
2)</f>
        <v>-11</v>
      </c>
    </row>
    <row r="1361" spans="1:17" ht="34.5" customHeight="1" x14ac:dyDescent="0.3">
      <c r="B1361" s="2">
        <v>1360</v>
      </c>
      <c r="C1361" s="13">
        <f>ROUND(MAX(MIN(N1361 + Q1361, 100), 0), 2)</f>
        <v>30.8</v>
      </c>
      <c r="D1361" s="2" t="s">
        <v>1218</v>
      </c>
      <c r="E1361" s="2">
        <v>40</v>
      </c>
      <c r="F1361" s="2">
        <v>58</v>
      </c>
      <c r="G1361" s="7">
        <v>62</v>
      </c>
      <c r="H1361" s="2" t="s">
        <v>12</v>
      </c>
      <c r="I1361" s="2" t="s">
        <v>183</v>
      </c>
      <c r="J1361" s="3" t="s">
        <v>88</v>
      </c>
      <c r="M1361" s="2">
        <f>IF(J1361="1000+", 1000, (LEFT(J1361,FIND("-",J1361)-1)+RIGHT(J1361,LEN(J1361)-FIND("-",J1361)))/2)</f>
        <v>150</v>
      </c>
      <c r="N1361" s="2">
        <f>ROUND(E1361 * 0.7+F1361 * 0.2+G1361 * 0.1,2)</f>
        <v>45.8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80</v>
      </c>
      <c r="P1361" s="2">
        <f>E1361 - O1361</f>
        <v>-40</v>
      </c>
      <c r="Q1361" s="2">
        <f>ROUND(
  SIGN(P1361)*
  IF(ABS(P1361)&lt;=10,ABS(P1361)*0.5,
     IF(ABS(P1361)&lt;=15,5+(ABS(P1361)-10)*(1.67/5),
        6.67+(ABS(P1361)-15)*0.333)),
2)</f>
        <v>-15</v>
      </c>
    </row>
    <row r="1362" spans="1:17" ht="34.5" customHeight="1" x14ac:dyDescent="0.3">
      <c r="B1362" s="2">
        <v>1361</v>
      </c>
      <c r="C1362" s="13">
        <f>ROUND(MAX(MIN(N1362 + Q1362, 100), 0), 2)</f>
        <v>30.37</v>
      </c>
      <c r="D1362" s="2" t="s">
        <v>1224</v>
      </c>
      <c r="E1362" s="2">
        <v>37</v>
      </c>
      <c r="F1362" s="2">
        <v>50</v>
      </c>
      <c r="G1362" s="2">
        <v>38</v>
      </c>
      <c r="H1362" s="2" t="s">
        <v>12</v>
      </c>
      <c r="I1362" s="2" t="s">
        <v>447</v>
      </c>
      <c r="J1362" s="3" t="s">
        <v>132</v>
      </c>
      <c r="M1362" s="2">
        <f>IF(J1362="1000+", 1000, (LEFT(J1362,FIND("-",J1362)-1)+RIGHT(J1362,LEN(J1362)-FIND("-",J1362)))/2)</f>
        <v>20</v>
      </c>
      <c r="N1362" s="2">
        <f>ROUND(E1362 * 0.7+F1362 * 0.2+G1362 * 0.1,2)</f>
        <v>39.700000000000003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60</v>
      </c>
      <c r="P1362" s="2">
        <f>E1362 - O1362</f>
        <v>-23</v>
      </c>
      <c r="Q1362" s="2">
        <f>ROUND(
  SIGN(P1362)*
  IF(ABS(P1362)&lt;=10,ABS(P1362)*0.5,
     IF(ABS(P1362)&lt;=15,5+(ABS(P1362)-10)*(1.67/5),
        6.67+(ABS(P1362)-15)*0.333)),
2)</f>
        <v>-9.33</v>
      </c>
    </row>
    <row r="1363" spans="1:17" ht="34.5" customHeight="1" x14ac:dyDescent="0.3">
      <c r="B1363" s="2">
        <v>1362</v>
      </c>
      <c r="C1363" s="13">
        <f>ROUND(MAX(MIN(N1363 + Q1363, 100), 0), 2)</f>
        <v>29.83</v>
      </c>
      <c r="D1363" s="2" t="s">
        <v>1223</v>
      </c>
      <c r="E1363" s="2">
        <v>35</v>
      </c>
      <c r="F1363" s="2">
        <v>53</v>
      </c>
      <c r="G1363" s="7">
        <v>64</v>
      </c>
      <c r="H1363" s="2" t="s">
        <v>968</v>
      </c>
      <c r="I1363" s="2" t="s">
        <v>36</v>
      </c>
      <c r="J1363" s="3" t="s">
        <v>32</v>
      </c>
      <c r="M1363" s="2">
        <f>IF(J1363="1000+", 1000, (LEFT(J1363,FIND("-",J1363)-1)+RIGHT(J1363,LEN(J1363)-FIND("-",J1363)))/2)</f>
        <v>45</v>
      </c>
      <c r="N1363" s="2">
        <f>ROUND(E1363 * 0.7+F1363 * 0.2+G1363 * 0.1,2)</f>
        <v>41.5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65</v>
      </c>
      <c r="P1363" s="2">
        <f>E1363 - O1363</f>
        <v>-30</v>
      </c>
      <c r="Q1363" s="2">
        <f>ROUND(
  SIGN(P1363)*
  IF(ABS(P1363)&lt;=10,ABS(P1363)*0.5,
     IF(ABS(P1363)&lt;=15,5+(ABS(P1363)-10)*(1.67/5),
        6.67+(ABS(P1363)-15)*0.333)),
2)</f>
        <v>-11.67</v>
      </c>
    </row>
    <row r="1364" spans="1:17" ht="34.5" customHeight="1" x14ac:dyDescent="0.3">
      <c r="A1364" s="2">
        <v>2026</v>
      </c>
      <c r="B1364" s="2">
        <v>1363</v>
      </c>
      <c r="C1364" s="13">
        <f>ROUND(MAX(MIN(N1364 + Q1364, 100), 0), 2)</f>
        <v>28.97</v>
      </c>
      <c r="D1364" s="2" t="s">
        <v>1876</v>
      </c>
      <c r="E1364" s="2">
        <v>36</v>
      </c>
      <c r="F1364" s="2">
        <v>56</v>
      </c>
      <c r="G1364" s="2">
        <v>29</v>
      </c>
      <c r="H1364" s="2" t="s">
        <v>1895</v>
      </c>
      <c r="I1364" s="2" t="s">
        <v>36</v>
      </c>
      <c r="J1364" s="3" t="s">
        <v>1263</v>
      </c>
      <c r="M1364" s="2">
        <f>IF(J1364="1000+", 1000, (LEFT(J1364,FIND("-",J1364)-1)+RIGHT(J1364,LEN(J1364)-FIND("-",J1364)))/2)</f>
        <v>30</v>
      </c>
      <c r="N1364" s="2">
        <f>ROUND(E1364 * 0.7+F1364 * 0.2+G1364 * 0.1,2)</f>
        <v>39.299999999999997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62</v>
      </c>
      <c r="P1364" s="2">
        <f>E1364 - O1364</f>
        <v>-26</v>
      </c>
      <c r="Q1364" s="2">
        <f>ROUND(
  SIGN(P1364)*
  IF(ABS(P1364)&lt;=10,ABS(P1364)*0.5,
     IF(ABS(P1364)&lt;=15,5+(ABS(P1364)-10)*(1.67/5),
        6.67+(ABS(P1364)-15)*0.333)),
2)</f>
        <v>-10.33</v>
      </c>
    </row>
    <row r="1365" spans="1:17" ht="34.5" customHeight="1" x14ac:dyDescent="0.3">
      <c r="B1365" s="2">
        <v>1364</v>
      </c>
      <c r="C1365" s="13">
        <f>ROUND(MAX(MIN(N1365 + Q1365, 100), 0), 2)</f>
        <v>28.91</v>
      </c>
      <c r="D1365" s="2" t="s">
        <v>1222</v>
      </c>
      <c r="E1365" s="2">
        <v>39</v>
      </c>
      <c r="F1365" s="2">
        <v>50</v>
      </c>
      <c r="G1365" s="5">
        <v>76</v>
      </c>
      <c r="H1365" s="2" t="s">
        <v>53</v>
      </c>
      <c r="I1365" s="2" t="s">
        <v>72</v>
      </c>
      <c r="J1365" s="3" t="s">
        <v>28</v>
      </c>
      <c r="M1365" s="2">
        <f>IF(J1365="1000+", 1000, (LEFT(J1365,FIND("-",J1365)-1)+RIGHT(J1365,LEN(J1365)-FIND("-",J1365)))/2)</f>
        <v>200</v>
      </c>
      <c r="N1365" s="2">
        <f>ROUND(E1365 * 0.7+F1365 * 0.2+G1365 * 0.1,2)</f>
        <v>44.9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82</v>
      </c>
      <c r="P1365" s="2">
        <f>E1365 - O1365</f>
        <v>-43</v>
      </c>
      <c r="Q1365" s="2">
        <f>ROUND(
  SIGN(P1365)*
  IF(ABS(P1365)&lt;=10,ABS(P1365)*0.5,
     IF(ABS(P1365)&lt;=15,5+(ABS(P1365)-10)*(1.67/5),
        6.67+(ABS(P1365)-15)*0.333)),
2)</f>
        <v>-15.99</v>
      </c>
    </row>
    <row r="1366" spans="1:17" ht="34.5" customHeight="1" x14ac:dyDescent="0.3">
      <c r="B1366" s="2">
        <v>1365</v>
      </c>
      <c r="C1366" s="13">
        <f>ROUND(MAX(MIN(N1366 + Q1366, 100), 0), 2)</f>
        <v>27.64</v>
      </c>
      <c r="D1366" s="2" t="s">
        <v>1226</v>
      </c>
      <c r="E1366" s="2">
        <v>40</v>
      </c>
      <c r="F1366" s="7">
        <v>64</v>
      </c>
      <c r="G1366" s="2">
        <v>35</v>
      </c>
      <c r="H1366" s="2" t="s">
        <v>533</v>
      </c>
      <c r="I1366" s="2" t="s">
        <v>513</v>
      </c>
      <c r="J1366" s="3" t="s">
        <v>14</v>
      </c>
      <c r="M1366" s="2">
        <f>IF(J1366="1000+", 1000, (LEFT(J1366,FIND("-",J1366)-1)+RIGHT(J1366,LEN(J1366)-FIND("-",J1366)))/2)</f>
        <v>225</v>
      </c>
      <c r="N1366" s="2">
        <f>ROUND(E1366 * 0.7+F1366 * 0.2+G1366 * 0.1,2)</f>
        <v>44.3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85</v>
      </c>
      <c r="P1366" s="2">
        <f>E1366 - O1366</f>
        <v>-45</v>
      </c>
      <c r="Q1366" s="2">
        <f>ROUND(
  SIGN(P1366)*
  IF(ABS(P1366)&lt;=10,ABS(P1366)*0.5,
     IF(ABS(P1366)&lt;=15,5+(ABS(P1366)-10)*(1.67/5),
        6.67+(ABS(P1366)-15)*0.333)),
2)</f>
        <v>-16.66</v>
      </c>
    </row>
    <row r="1367" spans="1:17" ht="34.5" customHeight="1" x14ac:dyDescent="0.3">
      <c r="B1367" s="2">
        <v>1366</v>
      </c>
      <c r="C1367" s="13">
        <f>ROUND(MAX(MIN(N1367 + Q1367, 100), 0), 2)</f>
        <v>27.3</v>
      </c>
      <c r="D1367" s="2" t="s">
        <v>1235</v>
      </c>
      <c r="E1367" s="2">
        <v>50</v>
      </c>
      <c r="F1367" s="2">
        <v>10</v>
      </c>
      <c r="G1367" s="2">
        <v>53</v>
      </c>
      <c r="H1367" s="2" t="s">
        <v>61</v>
      </c>
      <c r="I1367" s="2" t="s">
        <v>27</v>
      </c>
      <c r="J1367" s="3" t="s">
        <v>42</v>
      </c>
      <c r="M1367" s="2">
        <f>IF(J1367="1000+", 1000, (LEFT(J1367,FIND("-",J1367)-1)+RIGHT(J1367,LEN(J1367)-FIND("-",J1367)))/2)</f>
        <v>600</v>
      </c>
      <c r="N1367" s="2">
        <f>ROUND(E1367 * 0.7+F1367 * 0.2+G1367 * 0.1,2)</f>
        <v>42.3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90</v>
      </c>
      <c r="P1367" s="2">
        <f>E1367 - O1367</f>
        <v>-40</v>
      </c>
      <c r="Q1367" s="2">
        <f>ROUND(
  SIGN(P1367)*
  IF(ABS(P1367)&lt;=10,ABS(P1367)*0.5,
     IF(ABS(P1367)&lt;=15,5+(ABS(P1367)-10)*(1.67/5),
        6.67+(ABS(P1367)-15)*0.333)),
2)</f>
        <v>-15</v>
      </c>
    </row>
    <row r="1368" spans="1:17" ht="34.5" customHeight="1" x14ac:dyDescent="0.3">
      <c r="B1368" s="2">
        <v>1367</v>
      </c>
      <c r="C1368" s="13">
        <f>ROUND(MAX(MIN(N1368 + Q1368, 100), 0), 2)</f>
        <v>27.07</v>
      </c>
      <c r="D1368" s="2" t="s">
        <v>1227</v>
      </c>
      <c r="E1368" s="2">
        <v>33</v>
      </c>
      <c r="F1368" s="7">
        <v>60</v>
      </c>
      <c r="G1368" s="2">
        <v>53</v>
      </c>
      <c r="H1368" s="2" t="s">
        <v>697</v>
      </c>
      <c r="I1368" s="2" t="s">
        <v>218</v>
      </c>
      <c r="J1368" s="3" t="s">
        <v>23</v>
      </c>
      <c r="M1368" s="2">
        <f>IF(J1368="1000+", 1000, (LEFT(J1368,FIND("-",J1368)-1)+RIGHT(J1368,LEN(J1368)-FIND("-",J1368)))/2)</f>
        <v>60</v>
      </c>
      <c r="N1368" s="2">
        <f>ROUND(E1368 * 0.7+F1368 * 0.2+G1368 * 0.1,2)</f>
        <v>40.4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68</v>
      </c>
      <c r="P1368" s="2">
        <f>E1368 - O1368</f>
        <v>-35</v>
      </c>
      <c r="Q1368" s="2">
        <f>ROUND(
  SIGN(P1368)*
  IF(ABS(P1368)&lt;=10,ABS(P1368)*0.5,
     IF(ABS(P1368)&lt;=15,5+(ABS(P1368)-10)*(1.67/5),
        6.67+(ABS(P1368)-15)*0.333)),
2)</f>
        <v>-13.33</v>
      </c>
    </row>
    <row r="1369" spans="1:17" ht="34.5" customHeight="1" x14ac:dyDescent="0.3">
      <c r="B1369" s="2">
        <v>1368</v>
      </c>
      <c r="C1369" s="13">
        <f>ROUND(MAX(MIN(N1369 + Q1369, 100), 0), 2)</f>
        <v>27.07</v>
      </c>
      <c r="D1369" s="2" t="s">
        <v>1225</v>
      </c>
      <c r="E1369" s="2">
        <v>34</v>
      </c>
      <c r="F1369" s="2">
        <v>59</v>
      </c>
      <c r="G1369" s="7">
        <v>68</v>
      </c>
      <c r="H1369" s="2" t="s">
        <v>533</v>
      </c>
      <c r="I1369" s="2" t="s">
        <v>218</v>
      </c>
      <c r="J1369" s="3" t="s">
        <v>140</v>
      </c>
      <c r="M1369" s="2">
        <f>IF(J1369="1000+", 1000, (LEFT(J1369,FIND("-",J1369)-1)+RIGHT(J1369,LEN(J1369)-FIND("-",J1369)))/2)</f>
        <v>115</v>
      </c>
      <c r="N1369" s="2">
        <f>ROUND(E1369 * 0.7+F1369 * 0.2+G1369 * 0.1,2)</f>
        <v>42.4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75</v>
      </c>
      <c r="P1369" s="2">
        <f>E1369 - O1369</f>
        <v>-41</v>
      </c>
      <c r="Q1369" s="2">
        <f>ROUND(
  SIGN(P1369)*
  IF(ABS(P1369)&lt;=10,ABS(P1369)*0.5,
     IF(ABS(P1369)&lt;=15,5+(ABS(P1369)-10)*(1.67/5),
        6.67+(ABS(P1369)-15)*0.333)),
2)</f>
        <v>-15.33</v>
      </c>
    </row>
    <row r="1370" spans="1:17" ht="34.5" customHeight="1" x14ac:dyDescent="0.3">
      <c r="A1370" s="2">
        <v>2026</v>
      </c>
      <c r="B1370" s="2">
        <v>1369</v>
      </c>
      <c r="C1370" s="13">
        <f>ROUND(MAX(MIN(N1370 + Q1370, 100), 0), 2)</f>
        <v>25.47</v>
      </c>
      <c r="D1370" s="2" t="s">
        <v>2009</v>
      </c>
      <c r="E1370" s="2">
        <v>40</v>
      </c>
      <c r="F1370" s="2">
        <v>45</v>
      </c>
      <c r="G1370" s="7">
        <v>68</v>
      </c>
      <c r="H1370" s="2" t="s">
        <v>1257</v>
      </c>
      <c r="I1370" s="2" t="s">
        <v>1387</v>
      </c>
      <c r="J1370" s="3" t="s">
        <v>1539</v>
      </c>
      <c r="M1370" s="2">
        <f>IF(J1370="1000+", 1000, (LEFT(J1370,FIND("-",J1370)-1)+RIGHT(J1370,LEN(J1370)-FIND("-",J1370)))/2)</f>
        <v>600</v>
      </c>
      <c r="N1370" s="2">
        <f>ROUND(E1370 * 0.7+F1370 * 0.2+G1370 * 0.1,2)</f>
        <v>43.8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90</v>
      </c>
      <c r="P1370" s="2">
        <f>E1370 - O1370</f>
        <v>-50</v>
      </c>
      <c r="Q1370" s="2">
        <f>ROUND(
  SIGN(P1370)*
  IF(ABS(P1370)&lt;=10,ABS(P1370)*0.5,
     IF(ABS(P1370)&lt;=15,5+(ABS(P1370)-10)*(1.67/5),
        6.67+(ABS(P1370)-15)*0.333)),
2)</f>
        <v>-18.329999999999998</v>
      </c>
    </row>
    <row r="1371" spans="1:17" ht="34.5" customHeight="1" x14ac:dyDescent="0.3">
      <c r="B1371" s="2">
        <v>1370</v>
      </c>
      <c r="C1371" s="13">
        <f>ROUND(MAX(MIN(N1371 + Q1371, 100), 0), 2)</f>
        <v>24.73</v>
      </c>
      <c r="D1371" s="2" t="s">
        <v>1230</v>
      </c>
      <c r="E1371" s="2">
        <v>35</v>
      </c>
      <c r="F1371" s="2">
        <v>57</v>
      </c>
      <c r="G1371" s="2">
        <v>5</v>
      </c>
      <c r="H1371" s="2" t="s">
        <v>153</v>
      </c>
      <c r="I1371" s="2" t="s">
        <v>154</v>
      </c>
      <c r="J1371" s="3" t="s">
        <v>32</v>
      </c>
      <c r="M1371" s="2">
        <f>IF(J1371="1000+", 1000, (LEFT(J1371,FIND("-",J1371)-1)+RIGHT(J1371,LEN(J1371)-FIND("-",J1371)))/2)</f>
        <v>45</v>
      </c>
      <c r="N1371" s="2">
        <f>ROUND(E1371 * 0.7+F1371 * 0.2+G1371 * 0.1,2)</f>
        <v>36.4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65</v>
      </c>
      <c r="P1371" s="2">
        <f>E1371 - O1371</f>
        <v>-30</v>
      </c>
      <c r="Q1371" s="2">
        <f>ROUND(
  SIGN(P1371)*
  IF(ABS(P1371)&lt;=10,ABS(P1371)*0.5,
     IF(ABS(P1371)&lt;=15,5+(ABS(P1371)-10)*(1.67/5),
        6.67+(ABS(P1371)-15)*0.333)),
2)</f>
        <v>-11.67</v>
      </c>
    </row>
    <row r="1372" spans="1:17" ht="34.5" customHeight="1" x14ac:dyDescent="0.3">
      <c r="B1372" s="2">
        <v>1371</v>
      </c>
      <c r="C1372" s="13">
        <f>ROUND(MAX(MIN(N1372 + Q1372, 100), 0), 2)</f>
        <v>23.77</v>
      </c>
      <c r="D1372" s="2" t="s">
        <v>1228</v>
      </c>
      <c r="E1372" s="2">
        <v>38</v>
      </c>
      <c r="F1372" s="2">
        <v>50</v>
      </c>
      <c r="G1372" s="2">
        <v>35</v>
      </c>
      <c r="H1372" s="2" t="s">
        <v>1229</v>
      </c>
      <c r="I1372" s="2" t="s">
        <v>218</v>
      </c>
      <c r="J1372" s="3" t="s">
        <v>28</v>
      </c>
      <c r="M1372" s="2">
        <f>IF(J1372="1000+", 1000, (LEFT(J1372,FIND("-",J1372)-1)+RIGHT(J1372,LEN(J1372)-FIND("-",J1372)))/2)</f>
        <v>200</v>
      </c>
      <c r="N1372" s="2">
        <f>ROUND(E1372 * 0.7+F1372 * 0.2+G1372 * 0.1,2)</f>
        <v>40.1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82</v>
      </c>
      <c r="P1372" s="2">
        <f>E1372 - O1372</f>
        <v>-44</v>
      </c>
      <c r="Q1372" s="2">
        <f>ROUND(
  SIGN(P1372)*
  IF(ABS(P1372)&lt;=10,ABS(P1372)*0.5,
     IF(ABS(P1372)&lt;=15,5+(ABS(P1372)-10)*(1.67/5),
        6.67+(ABS(P1372)-15)*0.333)),
2)</f>
        <v>-16.329999999999998</v>
      </c>
    </row>
    <row r="1373" spans="1:17" ht="34.5" customHeight="1" x14ac:dyDescent="0.3">
      <c r="B1373" s="2">
        <v>1372</v>
      </c>
      <c r="C1373" s="13">
        <f>ROUND(MAX(MIN(N1373 + Q1373, 100), 0), 2)</f>
        <v>23.5</v>
      </c>
      <c r="D1373" s="2" t="s">
        <v>1231</v>
      </c>
      <c r="E1373" s="2">
        <v>35</v>
      </c>
      <c r="F1373" s="2">
        <v>45</v>
      </c>
      <c r="G1373" s="2">
        <v>50</v>
      </c>
      <c r="H1373" s="2" t="s">
        <v>31</v>
      </c>
      <c r="I1373" s="2" t="s">
        <v>551</v>
      </c>
      <c r="J1373" s="3" t="s">
        <v>140</v>
      </c>
      <c r="M1373" s="2">
        <f>IF(J1373="1000+", 1000, (LEFT(J1373,FIND("-",J1373)-1)+RIGHT(J1373,LEN(J1373)-FIND("-",J1373)))/2)</f>
        <v>115</v>
      </c>
      <c r="N1373" s="2">
        <f>ROUND(E1373 * 0.7+F1373 * 0.2+G1373 * 0.1,2)</f>
        <v>38.5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75</v>
      </c>
      <c r="P1373" s="2">
        <f>E1373 - O1373</f>
        <v>-40</v>
      </c>
      <c r="Q1373" s="2">
        <f>ROUND(
  SIGN(P1373)*
  IF(ABS(P1373)&lt;=10,ABS(P1373)*0.5,
     IF(ABS(P1373)&lt;=15,5+(ABS(P1373)-10)*(1.67/5),
        6.67+(ABS(P1373)-15)*0.333)),
2)</f>
        <v>-15</v>
      </c>
    </row>
    <row r="1374" spans="1:17" ht="34.5" customHeight="1" x14ac:dyDescent="0.3">
      <c r="B1374" s="2">
        <v>1373</v>
      </c>
      <c r="C1374" s="13">
        <f>ROUND(MAX(MIN(N1374 + Q1374, 100), 0), 2)</f>
        <v>22.6</v>
      </c>
      <c r="D1374" s="2" t="s">
        <v>1233</v>
      </c>
      <c r="E1374" s="2">
        <v>40</v>
      </c>
      <c r="F1374" s="2">
        <v>20</v>
      </c>
      <c r="G1374" s="2">
        <v>56</v>
      </c>
      <c r="H1374" s="2" t="s">
        <v>434</v>
      </c>
      <c r="I1374" s="2" t="s">
        <v>218</v>
      </c>
      <c r="J1374" s="3" t="s">
        <v>88</v>
      </c>
      <c r="M1374" s="2">
        <f>IF(J1374="1000+", 1000, (LEFT(J1374,FIND("-",J1374)-1)+RIGHT(J1374,LEN(J1374)-FIND("-",J1374)))/2)</f>
        <v>150</v>
      </c>
      <c r="N1374" s="2">
        <f>ROUND(E1374 * 0.7+F1374 * 0.2+G1374 * 0.1,2)</f>
        <v>37.6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80</v>
      </c>
      <c r="P1374" s="2">
        <f>E1374 - O1374</f>
        <v>-40</v>
      </c>
      <c r="Q1374" s="2">
        <f>ROUND(
  SIGN(P1374)*
  IF(ABS(P1374)&lt;=10,ABS(P1374)*0.5,
     IF(ABS(P1374)&lt;=15,5+(ABS(P1374)-10)*(1.67/5),
        6.67+(ABS(P1374)-15)*0.333)),
2)</f>
        <v>-15</v>
      </c>
    </row>
    <row r="1375" spans="1:17" ht="34.5" customHeight="1" x14ac:dyDescent="0.3">
      <c r="B1375" s="2">
        <v>1374</v>
      </c>
      <c r="C1375" s="13">
        <f>ROUND(MAX(MIN(N1375 + Q1375, 100), 0), 2)</f>
        <v>19.239999999999998</v>
      </c>
      <c r="D1375" s="2" t="s">
        <v>1234</v>
      </c>
      <c r="E1375" s="2">
        <v>32</v>
      </c>
      <c r="F1375" s="2">
        <v>45</v>
      </c>
      <c r="G1375" s="2">
        <v>15</v>
      </c>
      <c r="H1375" s="2" t="s">
        <v>610</v>
      </c>
      <c r="I1375" s="2" t="s">
        <v>22</v>
      </c>
      <c r="J1375" s="3" t="s">
        <v>23</v>
      </c>
      <c r="M1375" s="2">
        <f>IF(J1375="1000+", 1000, (LEFT(J1375,FIND("-",J1375)-1)+RIGHT(J1375,LEN(J1375)-FIND("-",J1375)))/2)</f>
        <v>60</v>
      </c>
      <c r="N1375" s="2">
        <f>ROUND(E1375 * 0.7+F1375 * 0.2+G1375 * 0.1,2)</f>
        <v>32.9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68</v>
      </c>
      <c r="P1375" s="2">
        <f>E1375 - O1375</f>
        <v>-36</v>
      </c>
      <c r="Q1375" s="2">
        <f>ROUND(
  SIGN(P1375)*
  IF(ABS(P1375)&lt;=10,ABS(P1375)*0.5,
     IF(ABS(P1375)&lt;=15,5+(ABS(P1375)-10)*(1.67/5),
        6.67+(ABS(P1375)-15)*0.333)),
2)</f>
        <v>-13.66</v>
      </c>
    </row>
    <row r="1376" spans="1:17" ht="34.5" customHeight="1" x14ac:dyDescent="0.3">
      <c r="B1376" s="2">
        <v>1375</v>
      </c>
      <c r="C1376" s="13">
        <f>ROUND(MAX(MIN(N1376 + Q1376, 100), 0), 2)</f>
        <v>19.010000000000002</v>
      </c>
      <c r="D1376" s="2" t="s">
        <v>1232</v>
      </c>
      <c r="E1376" s="2">
        <v>27</v>
      </c>
      <c r="F1376" s="5">
        <v>72</v>
      </c>
      <c r="G1376" s="7">
        <v>67</v>
      </c>
      <c r="H1376" s="2" t="s">
        <v>71</v>
      </c>
      <c r="I1376" s="2" t="s">
        <v>17</v>
      </c>
      <c r="J1376" s="3" t="s">
        <v>14</v>
      </c>
      <c r="M1376" s="2">
        <f>IF(J1376="1000+", 1000, (LEFT(J1376,FIND("-",J1376)-1)+RIGHT(J1376,LEN(J1376)-FIND("-",J1376)))/2)</f>
        <v>225</v>
      </c>
      <c r="N1376" s="2">
        <f>ROUND(E1376 * 0.7+F1376 * 0.2+G1376 * 0.1,2)</f>
        <v>40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85</v>
      </c>
      <c r="P1376" s="2">
        <f>E1376 - O1376</f>
        <v>-58</v>
      </c>
      <c r="Q1376" s="2">
        <f>ROUND(
  SIGN(P1376)*
  IF(ABS(P1376)&lt;=10,ABS(P1376)*0.5,
     IF(ABS(P1376)&lt;=15,5+(ABS(P1376)-10)*(1.67/5),
        6.67+(ABS(P1376)-15)*0.333)),
2)</f>
        <v>-20.99</v>
      </c>
    </row>
    <row r="1377" spans="1:17" ht="34.5" customHeight="1" x14ac:dyDescent="0.3">
      <c r="B1377" s="2">
        <v>1376</v>
      </c>
      <c r="C1377" s="13">
        <f>ROUND(MAX(MIN(N1377 + Q1377, 100), 0), 2)</f>
        <v>17.670000000000002</v>
      </c>
      <c r="D1377" s="2" t="s">
        <v>1240</v>
      </c>
      <c r="E1377" s="2">
        <v>40</v>
      </c>
      <c r="F1377" s="2">
        <v>20</v>
      </c>
      <c r="G1377" s="2">
        <v>40</v>
      </c>
      <c r="H1377" s="2" t="s">
        <v>174</v>
      </c>
      <c r="I1377" s="2" t="s">
        <v>100</v>
      </c>
      <c r="J1377" s="3" t="s">
        <v>42</v>
      </c>
      <c r="M1377" s="2">
        <f>IF(J1377="1000+", 1000, (LEFT(J1377,FIND("-",J1377)-1)+RIGHT(J1377,LEN(J1377)-FIND("-",J1377)))/2)</f>
        <v>600</v>
      </c>
      <c r="N1377" s="2">
        <f>ROUND(E1377 * 0.7+F1377 * 0.2+G1377 * 0.1,2)</f>
        <v>36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90</v>
      </c>
      <c r="P1377" s="2">
        <f>E1377 - O1377</f>
        <v>-50</v>
      </c>
      <c r="Q1377" s="2">
        <f>ROUND(
  SIGN(P1377)*
  IF(ABS(P1377)&lt;=10,ABS(P1377)*0.5,
     IF(ABS(P1377)&lt;=15,5+(ABS(P1377)-10)*(1.67/5),
        6.67+(ABS(P1377)-15)*0.333)),
2)</f>
        <v>-18.329999999999998</v>
      </c>
    </row>
    <row r="1378" spans="1:17" ht="34.5" customHeight="1" x14ac:dyDescent="0.3">
      <c r="B1378" s="2">
        <v>1377</v>
      </c>
      <c r="C1378" s="13">
        <f>ROUND(MAX(MIN(N1378 + Q1378, 100), 0), 2)</f>
        <v>16.14</v>
      </c>
      <c r="D1378" s="2" t="s">
        <v>1238</v>
      </c>
      <c r="E1378" s="2">
        <v>31</v>
      </c>
      <c r="F1378" s="2">
        <v>25</v>
      </c>
      <c r="G1378" s="2">
        <v>41</v>
      </c>
      <c r="H1378" s="2" t="s">
        <v>163</v>
      </c>
      <c r="I1378" s="2" t="s">
        <v>22</v>
      </c>
      <c r="J1378" s="3" t="s">
        <v>18</v>
      </c>
      <c r="M1378" s="2">
        <f>IF(J1378="1000+", 1000, (LEFT(J1378,FIND("-",J1378)-1)+RIGHT(J1378,LEN(J1378)-FIND("-",J1378)))/2)</f>
        <v>75</v>
      </c>
      <c r="N1378" s="2">
        <f>ROUND(E1378 * 0.7+F1378 * 0.2+G1378 * 0.1,2)</f>
        <v>30.8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70</v>
      </c>
      <c r="P1378" s="2">
        <f>E1378 - O1378</f>
        <v>-39</v>
      </c>
      <c r="Q1378" s="2">
        <f>ROUND(
  SIGN(P1378)*
  IF(ABS(P1378)&lt;=10,ABS(P1378)*0.5,
     IF(ABS(P1378)&lt;=15,5+(ABS(P1378)-10)*(1.67/5),
        6.67+(ABS(P1378)-15)*0.333)),
2)</f>
        <v>-14.66</v>
      </c>
    </row>
    <row r="1379" spans="1:17" ht="34.5" customHeight="1" x14ac:dyDescent="0.3">
      <c r="B1379" s="2">
        <v>1378</v>
      </c>
      <c r="C1379" s="13">
        <f>ROUND(MAX(MIN(N1379 + Q1379, 100), 0), 2)</f>
        <v>15.71</v>
      </c>
      <c r="D1379" s="2" t="s">
        <v>1236</v>
      </c>
      <c r="E1379" s="2">
        <v>26</v>
      </c>
      <c r="F1379" s="5">
        <v>70</v>
      </c>
      <c r="G1379" s="7">
        <v>65</v>
      </c>
      <c r="H1379" s="2" t="s">
        <v>197</v>
      </c>
      <c r="I1379" s="2" t="s">
        <v>228</v>
      </c>
      <c r="J1379" s="3" t="s">
        <v>42</v>
      </c>
      <c r="M1379" s="2">
        <f>IF(J1379="1000+", 1000, (LEFT(J1379,FIND("-",J1379)-1)+RIGHT(J1379,LEN(J1379)-FIND("-",J1379)))/2)</f>
        <v>600</v>
      </c>
      <c r="N1379" s="2">
        <f>ROUND(E1379 * 0.7+F1379 * 0.2+G1379 * 0.1,2)</f>
        <v>38.700000000000003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90</v>
      </c>
      <c r="P1379" s="2">
        <f>E1379 - O1379</f>
        <v>-64</v>
      </c>
      <c r="Q1379" s="2">
        <f>ROUND(
  SIGN(P1379)*
  IF(ABS(P1379)&lt;=10,ABS(P1379)*0.5,
     IF(ABS(P1379)&lt;=15,5+(ABS(P1379)-10)*(1.67/5),
        6.67+(ABS(P1379)-15)*0.333)),
2)</f>
        <v>-22.99</v>
      </c>
    </row>
    <row r="1380" spans="1:17" ht="34.5" customHeight="1" x14ac:dyDescent="0.3">
      <c r="B1380" s="2">
        <v>1379</v>
      </c>
      <c r="C1380" s="13">
        <f>ROUND(MAX(MIN(N1380 + Q1380, 100), 0), 2)</f>
        <v>11.7</v>
      </c>
      <c r="D1380" s="2" t="s">
        <v>1239</v>
      </c>
      <c r="E1380" s="2">
        <v>25</v>
      </c>
      <c r="F1380" s="2">
        <v>30</v>
      </c>
      <c r="G1380" s="2">
        <v>32</v>
      </c>
      <c r="H1380" s="2" t="s">
        <v>697</v>
      </c>
      <c r="I1380" s="2" t="s">
        <v>22</v>
      </c>
      <c r="J1380" s="3" t="s">
        <v>32</v>
      </c>
      <c r="M1380" s="2">
        <f>IF(J1380="1000+", 1000, (LEFT(J1380,FIND("-",J1380)-1)+RIGHT(J1380,LEN(J1380)-FIND("-",J1380)))/2)</f>
        <v>45</v>
      </c>
      <c r="N1380" s="2">
        <f>ROUND(E1380 * 0.7+F1380 * 0.2+G1380 * 0.1,2)</f>
        <v>26.7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65</v>
      </c>
      <c r="P1380" s="2">
        <f>E1380 - O1380</f>
        <v>-40</v>
      </c>
      <c r="Q1380" s="2">
        <f>ROUND(
  SIGN(P1380)*
  IF(ABS(P1380)&lt;=10,ABS(P1380)*0.5,
     IF(ABS(P1380)&lt;=15,5+(ABS(P1380)-10)*(1.67/5),
        6.67+(ABS(P1380)-15)*0.333)),
2)</f>
        <v>-15</v>
      </c>
    </row>
    <row r="1381" spans="1:17" ht="34.5" customHeight="1" x14ac:dyDescent="0.3">
      <c r="B1381" s="2">
        <v>1380</v>
      </c>
      <c r="C1381" s="13">
        <f>ROUND(MAX(MIN(N1381 + Q1381, 100), 0), 2)</f>
        <v>10.07</v>
      </c>
      <c r="D1381" s="2" t="s">
        <v>1237</v>
      </c>
      <c r="E1381" s="2">
        <v>20</v>
      </c>
      <c r="F1381" s="2">
        <v>57</v>
      </c>
      <c r="G1381" s="2">
        <v>30</v>
      </c>
      <c r="H1381" s="2" t="s">
        <v>610</v>
      </c>
      <c r="I1381" s="2" t="s">
        <v>22</v>
      </c>
      <c r="J1381" s="3" t="s">
        <v>18</v>
      </c>
      <c r="M1381" s="2">
        <f>IF(J1381="1000+", 1000, (LEFT(J1381,FIND("-",J1381)-1)+RIGHT(J1381,LEN(J1381)-FIND("-",J1381)))/2)</f>
        <v>75</v>
      </c>
      <c r="N1381" s="2">
        <f>ROUND(E1381 * 0.7+F1381 * 0.2+G1381 * 0.1,2)</f>
        <v>28.4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70</v>
      </c>
      <c r="P1381" s="2">
        <f>E1381 - O1381</f>
        <v>-50</v>
      </c>
      <c r="Q1381" s="2">
        <f>ROUND(
  SIGN(P1381)*
  IF(ABS(P1381)&lt;=10,ABS(P1381)*0.5,
     IF(ABS(P1381)&lt;=15,5+(ABS(P1381)-10)*(1.67/5),
        6.67+(ABS(P1381)-15)*0.333)),
2)</f>
        <v>-18.329999999999998</v>
      </c>
    </row>
    <row r="1382" spans="1:17" ht="34.5" customHeight="1" x14ac:dyDescent="0.3">
      <c r="B1382" s="2">
        <v>1381</v>
      </c>
      <c r="C1382" s="13">
        <f>ROUND(MAX(MIN(N1382 + Q1382, 100), 0), 2)</f>
        <v>8.34</v>
      </c>
      <c r="D1382" s="2" t="s">
        <v>1242</v>
      </c>
      <c r="E1382" s="2">
        <v>15</v>
      </c>
      <c r="F1382" s="2">
        <v>50</v>
      </c>
      <c r="G1382" s="2">
        <v>45</v>
      </c>
      <c r="H1382" s="2" t="s">
        <v>31</v>
      </c>
      <c r="I1382" s="2" t="s">
        <v>36</v>
      </c>
      <c r="J1382" s="3" t="s">
        <v>132</v>
      </c>
      <c r="M1382" s="2">
        <f>IF(J1382="1000+", 1000, (LEFT(J1382,FIND("-",J1382)-1)+RIGHT(J1382,LEN(J1382)-FIND("-",J1382)))/2)</f>
        <v>20</v>
      </c>
      <c r="N1382" s="2">
        <f>ROUND(E1382 * 0.7+F1382 * 0.2+G1382 * 0.1,2)</f>
        <v>25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60</v>
      </c>
      <c r="P1382" s="2">
        <f>E1382 - O1382</f>
        <v>-45</v>
      </c>
      <c r="Q1382" s="2">
        <f>ROUND(
  SIGN(P1382)*
  IF(ABS(P1382)&lt;=10,ABS(P1382)*0.5,
     IF(ABS(P1382)&lt;=15,5+(ABS(P1382)-10)*(1.67/5),
        6.67+(ABS(P1382)-15)*0.333)),
2)</f>
        <v>-16.66</v>
      </c>
    </row>
    <row r="1383" spans="1:17" ht="34.5" customHeight="1" x14ac:dyDescent="0.3">
      <c r="B1383" s="2">
        <v>1382</v>
      </c>
      <c r="C1383" s="13">
        <f>ROUND(MAX(MIN(N1383 + Q1383, 100), 0), 2)</f>
        <v>7.8</v>
      </c>
      <c r="D1383" s="2" t="s">
        <v>1241</v>
      </c>
      <c r="E1383" s="2">
        <v>18</v>
      </c>
      <c r="F1383" s="2">
        <v>30</v>
      </c>
      <c r="G1383" s="2">
        <v>32</v>
      </c>
      <c r="H1383" s="2" t="s">
        <v>149</v>
      </c>
      <c r="I1383" s="2" t="s">
        <v>36</v>
      </c>
      <c r="J1383" s="3" t="s">
        <v>37</v>
      </c>
      <c r="M1383" s="2">
        <f>IF(J1383="1000+", 1000, (LEFT(J1383,FIND("-",J1383)-1)+RIGHT(J1383,LEN(J1383)-FIND("-",J1383)))/2)</f>
        <v>15</v>
      </c>
      <c r="N1383" s="2">
        <f>ROUND(E1383 * 0.7+F1383 * 0.2+G1383 * 0.1,2)</f>
        <v>21.8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55</v>
      </c>
      <c r="P1383" s="2">
        <f>E1383 - O1383</f>
        <v>-37</v>
      </c>
      <c r="Q1383" s="2">
        <f>ROUND(
  SIGN(P1383)*
  IF(ABS(P1383)&lt;=10,ABS(P1383)*0.5,
     IF(ABS(P1383)&lt;=15,5+(ABS(P1383)-10)*(1.67/5),
        6.67+(ABS(P1383)-15)*0.333)),
2)</f>
        <v>-14</v>
      </c>
    </row>
    <row r="1384" spans="1:17" ht="34.5" customHeight="1" x14ac:dyDescent="0.3">
      <c r="B1384" s="2">
        <v>1383</v>
      </c>
      <c r="C1384" s="13">
        <f>ROUND(MAX(MIN(N1384 + Q1384, 100), 0), 2)</f>
        <v>5.65</v>
      </c>
      <c r="D1384" s="2" t="s">
        <v>1206</v>
      </c>
      <c r="E1384" s="2">
        <v>26</v>
      </c>
      <c r="F1384" s="2">
        <v>20</v>
      </c>
      <c r="G1384" s="6">
        <v>81</v>
      </c>
      <c r="H1384" s="2" t="s">
        <v>61</v>
      </c>
      <c r="I1384" s="2" t="s">
        <v>100</v>
      </c>
      <c r="J1384" s="3" t="s">
        <v>50</v>
      </c>
      <c r="M1384" s="2">
        <f>IF(J1384="1000+", 1000, (LEFT(J1384,FIND("-",J1384)-1)+RIGHT(J1384,LEN(J1384)-FIND("-",J1384)))/2)</f>
        <v>1000</v>
      </c>
      <c r="N1384" s="2">
        <f>ROUND(E1384 * 0.7+F1384 * 0.2+G1384 * 0.1,2)</f>
        <v>30.3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95</v>
      </c>
      <c r="P1384" s="2">
        <f>E1384 - O1384</f>
        <v>-69</v>
      </c>
      <c r="Q1384" s="2">
        <f>ROUND(
  SIGN(P1384)*
  IF(ABS(P1384)&lt;=10,ABS(P1384)*0.5,
     IF(ABS(P1384)&lt;=15,5+(ABS(P1384)-10)*(1.67/5),
        6.67+(ABS(P1384)-15)*0.333)),
2)</f>
        <v>-24.65</v>
      </c>
    </row>
    <row r="1385" spans="1:17" ht="34.5" customHeight="1" x14ac:dyDescent="0.3">
      <c r="B1385" s="2">
        <v>1384</v>
      </c>
      <c r="C1385" s="13">
        <f>ROUND(MAX(MIN(N1385 + Q1385, 100), 0), 2)</f>
        <v>0</v>
      </c>
      <c r="D1385" s="2" t="s">
        <v>1243</v>
      </c>
      <c r="E1385" s="2">
        <v>15</v>
      </c>
      <c r="F1385" s="2">
        <v>12</v>
      </c>
      <c r="G1385" s="2">
        <v>34</v>
      </c>
      <c r="H1385" s="2" t="s">
        <v>396</v>
      </c>
      <c r="I1385" s="2" t="s">
        <v>79</v>
      </c>
      <c r="J1385" s="3" t="s">
        <v>18</v>
      </c>
      <c r="M1385" s="2">
        <f>IF(J1385="1000+", 1000, (LEFT(J1385,FIND("-",J1385)-1)+RIGHT(J1385,LEN(J1385)-FIND("-",J1385)))/2)</f>
        <v>75</v>
      </c>
      <c r="N1385" s="2">
        <f>ROUND(E1385 * 0.7+F1385 * 0.2+G1385 * 0.1,2)</f>
        <v>16.3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70</v>
      </c>
      <c r="P1385" s="2">
        <f>E1385 - O1385</f>
        <v>-55</v>
      </c>
      <c r="Q1385" s="2">
        <f>ROUND(
  SIGN(P1385)*
  IF(ABS(P1385)&lt;=10,ABS(P1385)*0.5,
     IF(ABS(P1385)&lt;=15,5+(ABS(P1385)-10)*(1.67/5),
        6.67+(ABS(P1385)-15)*0.333)),
2)</f>
        <v>-19.989999999999998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2026-08-04T08:01:26Z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